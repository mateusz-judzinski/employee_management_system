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324" codeName="{372AB895-14C1-FC20-EB20-F1B4BCFD95AE}"/>
  <workbookPr codeName="Ten_skoroszyt"/>
  <mc:AlternateContent xmlns:mc="http://schemas.openxmlformats.org/markup-compatibility/2006">
    <mc:Choice Requires="x15">
      <x15ac:absPath xmlns:x15ac="http://schemas.microsoft.com/office/spreadsheetml/2010/11/ac" url="C:\Users\mateu\OneDrive\Desktop\ImportantShit\Job\projects\employee-management-system\src\main\resources\static\schedules\"/>
    </mc:Choice>
  </mc:AlternateContent>
  <xr:revisionPtr revIDLastSave="0" documentId="13_ncr:1_{E72F6188-BFCB-4AFB-9721-277B25691AA8}" xr6:coauthVersionLast="47" xr6:coauthVersionMax="47" xr10:uidLastSave="{00000000-0000-0000-0000-000000000000}"/>
  <bookViews>
    <workbookView xWindow="-108" yWindow="-108" windowWidth="23256" windowHeight="12456" tabRatio="777" xr2:uid="{00000000-000D-0000-FFFF-FFFF00000000}"/>
  </bookViews>
  <sheets>
    <sheet name="MAOP" sheetId="1" r:id="rId1"/>
    <sheet name="Statystyki dnia" sheetId="4" r:id="rId2"/>
  </sheets>
  <definedNames>
    <definedName name="_xlnm._FilterDatabase" localSheetId="1" hidden="1">'Statystyki dnia'!$B$5:$D$138</definedName>
    <definedName name="Excel_BuiltIn__FilterDatabase" localSheetId="1">'Statystyki dnia'!$B$8:$D$41</definedName>
    <definedName name="Excel_BuiltIn_Print_Area_1_1">#REF!</definedName>
    <definedName name="Excel_BuiltIn_Print_Area_1_1_1">#REF!</definedName>
    <definedName name="_xlnm.Print_Area" localSheetId="0">MAOP!$B$212:$AO$252</definedName>
    <definedName name="_xlnm.Print_Area" localSheetId="1">'Statystyki dnia'!$A$4:$D$33</definedName>
    <definedName name="suma">'Statystyki dnia'!#REF!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F10" i="1" l="1"/>
  <c r="O390" i="1" l="1"/>
  <c r="AD402" i="1"/>
  <c r="I347" i="1"/>
  <c r="F399" i="1"/>
  <c r="AJ351" i="1"/>
  <c r="AD313" i="1"/>
  <c r="AD311" i="1"/>
  <c r="I146" i="1"/>
  <c r="AM104" i="1"/>
  <c r="I101" i="1"/>
  <c r="I56" i="1"/>
  <c r="F73" i="1"/>
  <c r="U91" i="1"/>
  <c r="U92" i="1"/>
  <c r="U93" i="1"/>
  <c r="U94" i="1"/>
  <c r="U95" i="1"/>
  <c r="U96" i="1"/>
  <c r="U97" i="1"/>
  <c r="U98" i="1"/>
  <c r="U99" i="1"/>
  <c r="U100" i="1"/>
  <c r="U101" i="1"/>
  <c r="U102" i="1"/>
  <c r="U103" i="1"/>
  <c r="U104" i="1"/>
  <c r="U105" i="1"/>
  <c r="U106" i="1"/>
  <c r="U107" i="1"/>
  <c r="U108" i="1"/>
  <c r="U109" i="1"/>
  <c r="U110" i="1"/>
  <c r="U111" i="1"/>
  <c r="U112" i="1"/>
  <c r="U113" i="1"/>
  <c r="U114" i="1"/>
  <c r="U115" i="1"/>
  <c r="U116" i="1"/>
  <c r="U117" i="1"/>
  <c r="U118" i="1"/>
  <c r="U119" i="1"/>
  <c r="U120" i="1"/>
  <c r="U121" i="1"/>
  <c r="O79" i="1"/>
  <c r="O78" i="1"/>
  <c r="O77" i="1"/>
  <c r="O76" i="1"/>
  <c r="O75" i="1"/>
  <c r="O74" i="1"/>
  <c r="O73" i="1"/>
  <c r="O72" i="1"/>
  <c r="O71" i="1"/>
  <c r="O70" i="1"/>
  <c r="O69" i="1"/>
  <c r="O68" i="1"/>
  <c r="O67" i="1"/>
  <c r="O66" i="1"/>
  <c r="O65" i="1"/>
  <c r="O64" i="1"/>
  <c r="O63" i="1"/>
  <c r="O62" i="1"/>
  <c r="O61" i="1"/>
  <c r="O60" i="1"/>
  <c r="O59" i="1"/>
  <c r="O58" i="1"/>
  <c r="O57" i="1"/>
  <c r="O56" i="1"/>
  <c r="O55" i="1"/>
  <c r="O54" i="1"/>
  <c r="O53" i="1"/>
  <c r="O52" i="1"/>
  <c r="O51" i="1"/>
  <c r="O50" i="1"/>
  <c r="O49" i="1"/>
  <c r="L399" i="1"/>
  <c r="O32" i="1"/>
  <c r="O10" i="1"/>
  <c r="F151" i="1"/>
  <c r="U67" i="1"/>
  <c r="O25" i="1"/>
  <c r="E283" i="4"/>
  <c r="F283" i="4"/>
  <c r="G283" i="4"/>
  <c r="H283" i="4"/>
  <c r="I283" i="4"/>
  <c r="J283" i="4"/>
  <c r="K283" i="4"/>
  <c r="L283" i="4"/>
  <c r="M283" i="4"/>
  <c r="N283" i="4"/>
  <c r="O283" i="4"/>
  <c r="P283" i="4"/>
  <c r="Q283" i="4"/>
  <c r="R283" i="4"/>
  <c r="S283" i="4"/>
  <c r="T283" i="4"/>
  <c r="U283" i="4"/>
  <c r="V283" i="4"/>
  <c r="W283" i="4"/>
  <c r="X283" i="4"/>
  <c r="Y283" i="4"/>
  <c r="Z283" i="4"/>
  <c r="AA283" i="4"/>
  <c r="AB283" i="4"/>
  <c r="E284" i="4"/>
  <c r="F284" i="4"/>
  <c r="G284" i="4"/>
  <c r="H284" i="4"/>
  <c r="I284" i="4"/>
  <c r="J284" i="4"/>
  <c r="K284" i="4"/>
  <c r="L284" i="4"/>
  <c r="M284" i="4"/>
  <c r="N284" i="4"/>
  <c r="O284" i="4"/>
  <c r="P284" i="4"/>
  <c r="Q284" i="4"/>
  <c r="R284" i="4"/>
  <c r="S284" i="4"/>
  <c r="T284" i="4"/>
  <c r="U284" i="4"/>
  <c r="V284" i="4"/>
  <c r="W284" i="4"/>
  <c r="X284" i="4"/>
  <c r="Y284" i="4"/>
  <c r="Z284" i="4"/>
  <c r="AA284" i="4"/>
  <c r="AB284" i="4"/>
  <c r="H285" i="4"/>
  <c r="R58" i="1"/>
  <c r="B68" i="4" a="1"/>
  <c r="C67" i="4" a="1"/>
  <c r="C69" i="4" a="1"/>
  <c r="B72" i="4" a="1"/>
  <c r="B25" i="4" a="1"/>
  <c r="C108" i="4" a="1"/>
  <c r="C64" i="4" a="1"/>
  <c r="B24" i="4" a="1"/>
  <c r="B50" i="4" a="1"/>
  <c r="B123" i="4" a="1"/>
  <c r="B64" i="4" a="1"/>
  <c r="B66" i="4" a="1"/>
  <c r="C123" i="4" a="1"/>
  <c r="C72" i="4" a="1"/>
  <c r="C68" i="4" a="1"/>
  <c r="C24" i="4" a="1"/>
  <c r="B44" i="4" a="1"/>
  <c r="C93" i="4" a="1"/>
  <c r="B69" i="4" a="1"/>
  <c r="B55" i="4" a="1"/>
  <c r="C73" i="4" a="1"/>
  <c r="C66" i="4" a="1"/>
  <c r="B73" i="4" a="1"/>
  <c r="B93" i="4" a="1"/>
  <c r="B67" i="4" a="1"/>
  <c r="C25" i="4" a="1"/>
  <c r="B108" i="4" a="1"/>
  <c r="M48" i="1" l="1"/>
  <c r="S90" i="1"/>
  <c r="B50" i="4"/>
  <c r="B55" i="4"/>
  <c r="C64" i="4"/>
  <c r="B64" i="4"/>
  <c r="C73" i="4"/>
  <c r="B73" i="4"/>
  <c r="C72" i="4"/>
  <c r="B72" i="4"/>
  <c r="C68" i="4"/>
  <c r="B68" i="4"/>
  <c r="C67" i="4"/>
  <c r="B67" i="4"/>
  <c r="C66" i="4"/>
  <c r="B66" i="4"/>
  <c r="C123" i="4"/>
  <c r="B123" i="4"/>
  <c r="C25" i="4"/>
  <c r="B25" i="4"/>
  <c r="C108" i="4"/>
  <c r="B108" i="4"/>
  <c r="C93" i="4"/>
  <c r="B93" i="4"/>
  <c r="C24" i="4"/>
  <c r="B24" i="4"/>
  <c r="C69" i="4"/>
  <c r="B69" i="4"/>
  <c r="B44" i="4"/>
  <c r="AM457" i="1"/>
  <c r="AJ457" i="1"/>
  <c r="AG457" i="1"/>
  <c r="AD457" i="1"/>
  <c r="AA457" i="1"/>
  <c r="X457" i="1"/>
  <c r="U457" i="1"/>
  <c r="R457" i="1"/>
  <c r="O457" i="1"/>
  <c r="L457" i="1"/>
  <c r="I457" i="1"/>
  <c r="F457" i="1"/>
  <c r="AM456" i="1"/>
  <c r="AJ456" i="1"/>
  <c r="AG456" i="1"/>
  <c r="AD456" i="1"/>
  <c r="AA456" i="1"/>
  <c r="X456" i="1"/>
  <c r="U456" i="1"/>
  <c r="R456" i="1"/>
  <c r="O456" i="1"/>
  <c r="L456" i="1"/>
  <c r="I456" i="1"/>
  <c r="F456" i="1"/>
  <c r="AM455" i="1"/>
  <c r="AJ455" i="1"/>
  <c r="AG455" i="1"/>
  <c r="AD455" i="1"/>
  <c r="AA455" i="1"/>
  <c r="X455" i="1"/>
  <c r="U455" i="1"/>
  <c r="R455" i="1"/>
  <c r="O455" i="1"/>
  <c r="L455" i="1"/>
  <c r="I455" i="1"/>
  <c r="F455" i="1"/>
  <c r="AM454" i="1"/>
  <c r="AJ454" i="1"/>
  <c r="AG454" i="1"/>
  <c r="AD454" i="1"/>
  <c r="AA454" i="1"/>
  <c r="X454" i="1"/>
  <c r="U454" i="1"/>
  <c r="R454" i="1"/>
  <c r="O454" i="1"/>
  <c r="L454" i="1"/>
  <c r="I454" i="1"/>
  <c r="F454" i="1"/>
  <c r="AM453" i="1"/>
  <c r="AJ453" i="1"/>
  <c r="AG453" i="1"/>
  <c r="AD453" i="1"/>
  <c r="AA453" i="1"/>
  <c r="X453" i="1"/>
  <c r="U453" i="1"/>
  <c r="R453" i="1"/>
  <c r="O453" i="1"/>
  <c r="L453" i="1"/>
  <c r="I453" i="1"/>
  <c r="F453" i="1"/>
  <c r="AM452" i="1"/>
  <c r="AJ452" i="1"/>
  <c r="AG452" i="1"/>
  <c r="AD452" i="1"/>
  <c r="AA452" i="1"/>
  <c r="X452" i="1"/>
  <c r="U452" i="1"/>
  <c r="R452" i="1"/>
  <c r="O452" i="1"/>
  <c r="L452" i="1"/>
  <c r="I452" i="1"/>
  <c r="F452" i="1"/>
  <c r="AM451" i="1"/>
  <c r="AJ451" i="1"/>
  <c r="AG451" i="1"/>
  <c r="AD451" i="1"/>
  <c r="AA451" i="1"/>
  <c r="X451" i="1"/>
  <c r="U451" i="1"/>
  <c r="R451" i="1"/>
  <c r="O451" i="1"/>
  <c r="L451" i="1"/>
  <c r="I451" i="1"/>
  <c r="F451" i="1"/>
  <c r="AM450" i="1"/>
  <c r="AJ450" i="1"/>
  <c r="AG450" i="1"/>
  <c r="AD450" i="1"/>
  <c r="AA450" i="1"/>
  <c r="X450" i="1"/>
  <c r="U450" i="1"/>
  <c r="R450" i="1"/>
  <c r="O450" i="1"/>
  <c r="L450" i="1"/>
  <c r="I450" i="1"/>
  <c r="F450" i="1"/>
  <c r="AM449" i="1"/>
  <c r="AJ449" i="1"/>
  <c r="AG449" i="1"/>
  <c r="AD449" i="1"/>
  <c r="AA449" i="1"/>
  <c r="X449" i="1"/>
  <c r="U449" i="1"/>
  <c r="R449" i="1"/>
  <c r="O449" i="1"/>
  <c r="L449" i="1"/>
  <c r="I449" i="1"/>
  <c r="F449" i="1"/>
  <c r="AM448" i="1"/>
  <c r="AJ448" i="1"/>
  <c r="AG448" i="1"/>
  <c r="AD448" i="1"/>
  <c r="AA448" i="1"/>
  <c r="X448" i="1"/>
  <c r="U448" i="1"/>
  <c r="R448" i="1"/>
  <c r="O448" i="1"/>
  <c r="L448" i="1"/>
  <c r="I448" i="1"/>
  <c r="F448" i="1"/>
  <c r="AM447" i="1"/>
  <c r="AJ447" i="1"/>
  <c r="AG447" i="1"/>
  <c r="AD447" i="1"/>
  <c r="AA447" i="1"/>
  <c r="X447" i="1"/>
  <c r="U447" i="1"/>
  <c r="R447" i="1"/>
  <c r="O447" i="1"/>
  <c r="L447" i="1"/>
  <c r="I447" i="1"/>
  <c r="F447" i="1"/>
  <c r="AM446" i="1"/>
  <c r="AJ446" i="1"/>
  <c r="AG446" i="1"/>
  <c r="AD446" i="1"/>
  <c r="AA446" i="1"/>
  <c r="X446" i="1"/>
  <c r="U446" i="1"/>
  <c r="R446" i="1"/>
  <c r="O446" i="1"/>
  <c r="L446" i="1"/>
  <c r="I446" i="1"/>
  <c r="F446" i="1"/>
  <c r="AM445" i="1"/>
  <c r="AJ445" i="1"/>
  <c r="AG445" i="1"/>
  <c r="AD445" i="1"/>
  <c r="AA445" i="1"/>
  <c r="X445" i="1"/>
  <c r="U445" i="1"/>
  <c r="R445" i="1"/>
  <c r="O445" i="1"/>
  <c r="L445" i="1"/>
  <c r="I445" i="1"/>
  <c r="F445" i="1"/>
  <c r="AM444" i="1"/>
  <c r="AJ444" i="1"/>
  <c r="AG444" i="1"/>
  <c r="AD444" i="1"/>
  <c r="AA444" i="1"/>
  <c r="X444" i="1"/>
  <c r="U444" i="1"/>
  <c r="R444" i="1"/>
  <c r="O444" i="1"/>
  <c r="L444" i="1"/>
  <c r="I444" i="1"/>
  <c r="F444" i="1"/>
  <c r="AM443" i="1"/>
  <c r="AJ443" i="1"/>
  <c r="AG443" i="1"/>
  <c r="AD443" i="1"/>
  <c r="AA443" i="1"/>
  <c r="X443" i="1"/>
  <c r="U443" i="1"/>
  <c r="R443" i="1"/>
  <c r="O443" i="1"/>
  <c r="L443" i="1"/>
  <c r="I443" i="1"/>
  <c r="F443" i="1"/>
  <c r="AM442" i="1"/>
  <c r="AJ442" i="1"/>
  <c r="AG442" i="1"/>
  <c r="AD442" i="1"/>
  <c r="AA442" i="1"/>
  <c r="X442" i="1"/>
  <c r="U442" i="1"/>
  <c r="R442" i="1"/>
  <c r="O442" i="1"/>
  <c r="L442" i="1"/>
  <c r="I442" i="1"/>
  <c r="F442" i="1"/>
  <c r="AM441" i="1"/>
  <c r="AJ441" i="1"/>
  <c r="AG441" i="1"/>
  <c r="AD441" i="1"/>
  <c r="AA441" i="1"/>
  <c r="X441" i="1"/>
  <c r="U441" i="1"/>
  <c r="R441" i="1"/>
  <c r="O441" i="1"/>
  <c r="L441" i="1"/>
  <c r="I441" i="1"/>
  <c r="F441" i="1"/>
  <c r="AM440" i="1"/>
  <c r="AJ440" i="1"/>
  <c r="AG440" i="1"/>
  <c r="AD440" i="1"/>
  <c r="AA440" i="1"/>
  <c r="X440" i="1"/>
  <c r="U440" i="1"/>
  <c r="R440" i="1"/>
  <c r="O440" i="1"/>
  <c r="L440" i="1"/>
  <c r="I440" i="1"/>
  <c r="F440" i="1"/>
  <c r="AM439" i="1"/>
  <c r="AJ439" i="1"/>
  <c r="AG439" i="1"/>
  <c r="AD439" i="1"/>
  <c r="AA439" i="1"/>
  <c r="X439" i="1"/>
  <c r="U439" i="1"/>
  <c r="R439" i="1"/>
  <c r="O439" i="1"/>
  <c r="L439" i="1"/>
  <c r="I439" i="1"/>
  <c r="F439" i="1"/>
  <c r="AM438" i="1"/>
  <c r="AJ438" i="1"/>
  <c r="AG438" i="1"/>
  <c r="AD438" i="1"/>
  <c r="AA438" i="1"/>
  <c r="X438" i="1"/>
  <c r="U438" i="1"/>
  <c r="R438" i="1"/>
  <c r="O438" i="1"/>
  <c r="L438" i="1"/>
  <c r="I438" i="1"/>
  <c r="F438" i="1"/>
  <c r="AM437" i="1"/>
  <c r="AJ437" i="1"/>
  <c r="AG437" i="1"/>
  <c r="AD437" i="1"/>
  <c r="AA437" i="1"/>
  <c r="X437" i="1"/>
  <c r="U437" i="1"/>
  <c r="R437" i="1"/>
  <c r="O437" i="1"/>
  <c r="L437" i="1"/>
  <c r="I437" i="1"/>
  <c r="F437" i="1"/>
  <c r="AM436" i="1"/>
  <c r="AJ436" i="1"/>
  <c r="AG436" i="1"/>
  <c r="AD436" i="1"/>
  <c r="AA436" i="1"/>
  <c r="X436" i="1"/>
  <c r="U436" i="1"/>
  <c r="R436" i="1"/>
  <c r="O436" i="1"/>
  <c r="L436" i="1"/>
  <c r="I436" i="1"/>
  <c r="F436" i="1"/>
  <c r="AM435" i="1"/>
  <c r="AJ435" i="1"/>
  <c r="AG435" i="1"/>
  <c r="AD435" i="1"/>
  <c r="AA435" i="1"/>
  <c r="X435" i="1"/>
  <c r="U435" i="1"/>
  <c r="R435" i="1"/>
  <c r="O435" i="1"/>
  <c r="L435" i="1"/>
  <c r="I435" i="1"/>
  <c r="F435" i="1"/>
  <c r="AM434" i="1"/>
  <c r="AJ434" i="1"/>
  <c r="AG434" i="1"/>
  <c r="AD434" i="1"/>
  <c r="AA434" i="1"/>
  <c r="X434" i="1"/>
  <c r="U434" i="1"/>
  <c r="R434" i="1"/>
  <c r="O434" i="1"/>
  <c r="L434" i="1"/>
  <c r="I434" i="1"/>
  <c r="F434" i="1"/>
  <c r="AM433" i="1"/>
  <c r="AJ433" i="1"/>
  <c r="AG433" i="1"/>
  <c r="AD433" i="1"/>
  <c r="AA433" i="1"/>
  <c r="X433" i="1"/>
  <c r="U433" i="1"/>
  <c r="R433" i="1"/>
  <c r="O433" i="1"/>
  <c r="L433" i="1"/>
  <c r="I433" i="1"/>
  <c r="F433" i="1"/>
  <c r="AM432" i="1"/>
  <c r="AJ432" i="1"/>
  <c r="AG432" i="1"/>
  <c r="AD432" i="1"/>
  <c r="AA432" i="1"/>
  <c r="X432" i="1"/>
  <c r="U432" i="1"/>
  <c r="R432" i="1"/>
  <c r="O432" i="1"/>
  <c r="L432" i="1"/>
  <c r="I432" i="1"/>
  <c r="F432" i="1"/>
  <c r="AM431" i="1"/>
  <c r="AJ431" i="1"/>
  <c r="AG431" i="1"/>
  <c r="AD431" i="1"/>
  <c r="AA431" i="1"/>
  <c r="X431" i="1"/>
  <c r="U431" i="1"/>
  <c r="R431" i="1"/>
  <c r="O431" i="1"/>
  <c r="L431" i="1"/>
  <c r="I431" i="1"/>
  <c r="F431" i="1"/>
  <c r="AM430" i="1"/>
  <c r="AJ430" i="1"/>
  <c r="AG430" i="1"/>
  <c r="AD430" i="1"/>
  <c r="AA430" i="1"/>
  <c r="X430" i="1"/>
  <c r="U430" i="1"/>
  <c r="R430" i="1"/>
  <c r="O430" i="1"/>
  <c r="L430" i="1"/>
  <c r="I430" i="1"/>
  <c r="F430" i="1"/>
  <c r="AM429" i="1"/>
  <c r="AJ429" i="1"/>
  <c r="AG429" i="1"/>
  <c r="AD429" i="1"/>
  <c r="AA429" i="1"/>
  <c r="X429" i="1"/>
  <c r="U429" i="1"/>
  <c r="R429" i="1"/>
  <c r="O429" i="1"/>
  <c r="L429" i="1"/>
  <c r="I429" i="1"/>
  <c r="F429" i="1"/>
  <c r="AM428" i="1"/>
  <c r="AJ428" i="1"/>
  <c r="AG428" i="1"/>
  <c r="AD428" i="1"/>
  <c r="AA428" i="1"/>
  <c r="X428" i="1"/>
  <c r="U428" i="1"/>
  <c r="R428" i="1"/>
  <c r="O428" i="1"/>
  <c r="L428" i="1"/>
  <c r="I428" i="1"/>
  <c r="F428" i="1"/>
  <c r="AM427" i="1"/>
  <c r="AJ427" i="1"/>
  <c r="AG427" i="1"/>
  <c r="AD427" i="1"/>
  <c r="AA427" i="1"/>
  <c r="X427" i="1"/>
  <c r="U427" i="1"/>
  <c r="R427" i="1"/>
  <c r="O427" i="1"/>
  <c r="L427" i="1"/>
  <c r="I427" i="1"/>
  <c r="F427" i="1"/>
  <c r="D426" i="1" s="1"/>
  <c r="AK426" i="1"/>
  <c r="AH426" i="1"/>
  <c r="AM415" i="1"/>
  <c r="AJ415" i="1"/>
  <c r="AG415" i="1"/>
  <c r="AD415" i="1"/>
  <c r="AA415" i="1"/>
  <c r="X415" i="1"/>
  <c r="U415" i="1"/>
  <c r="R415" i="1"/>
  <c r="O415" i="1"/>
  <c r="L415" i="1"/>
  <c r="I415" i="1"/>
  <c r="F415" i="1"/>
  <c r="AM414" i="1"/>
  <c r="AJ414" i="1"/>
  <c r="AG414" i="1"/>
  <c r="AD414" i="1"/>
  <c r="AA414" i="1"/>
  <c r="X414" i="1"/>
  <c r="U414" i="1"/>
  <c r="R414" i="1"/>
  <c r="O414" i="1"/>
  <c r="L414" i="1"/>
  <c r="I414" i="1"/>
  <c r="F414" i="1"/>
  <c r="AM413" i="1"/>
  <c r="AJ413" i="1"/>
  <c r="AG413" i="1"/>
  <c r="AD413" i="1"/>
  <c r="AA413" i="1"/>
  <c r="X413" i="1"/>
  <c r="U413" i="1"/>
  <c r="R413" i="1"/>
  <c r="O413" i="1"/>
  <c r="L413" i="1"/>
  <c r="I413" i="1"/>
  <c r="F413" i="1"/>
  <c r="AM412" i="1"/>
  <c r="AJ412" i="1"/>
  <c r="AG412" i="1"/>
  <c r="AD412" i="1"/>
  <c r="AA412" i="1"/>
  <c r="X412" i="1"/>
  <c r="U412" i="1"/>
  <c r="R412" i="1"/>
  <c r="O412" i="1"/>
  <c r="L412" i="1"/>
  <c r="I412" i="1"/>
  <c r="F412" i="1"/>
  <c r="AM411" i="1"/>
  <c r="AJ411" i="1"/>
  <c r="AG411" i="1"/>
  <c r="AD411" i="1"/>
  <c r="AA411" i="1"/>
  <c r="X411" i="1"/>
  <c r="U411" i="1"/>
  <c r="R411" i="1"/>
  <c r="O411" i="1"/>
  <c r="L411" i="1"/>
  <c r="I411" i="1"/>
  <c r="F411" i="1"/>
  <c r="AM410" i="1"/>
  <c r="AJ410" i="1"/>
  <c r="AG410" i="1"/>
  <c r="AD410" i="1"/>
  <c r="AA410" i="1"/>
  <c r="X410" i="1"/>
  <c r="U410" i="1"/>
  <c r="R410" i="1"/>
  <c r="O410" i="1"/>
  <c r="L410" i="1"/>
  <c r="I410" i="1"/>
  <c r="F410" i="1"/>
  <c r="AM409" i="1"/>
  <c r="AJ409" i="1"/>
  <c r="AG409" i="1"/>
  <c r="AD409" i="1"/>
  <c r="AA409" i="1"/>
  <c r="X409" i="1"/>
  <c r="U409" i="1"/>
  <c r="R409" i="1"/>
  <c r="O409" i="1"/>
  <c r="L409" i="1"/>
  <c r="I409" i="1"/>
  <c r="F409" i="1"/>
  <c r="AM408" i="1"/>
  <c r="AJ408" i="1"/>
  <c r="AG408" i="1"/>
  <c r="AD408" i="1"/>
  <c r="AA408" i="1"/>
  <c r="X408" i="1"/>
  <c r="U408" i="1"/>
  <c r="R408" i="1"/>
  <c r="O408" i="1"/>
  <c r="L408" i="1"/>
  <c r="I408" i="1"/>
  <c r="F408" i="1"/>
  <c r="AM407" i="1"/>
  <c r="AJ407" i="1"/>
  <c r="AG407" i="1"/>
  <c r="AD407" i="1"/>
  <c r="AA407" i="1"/>
  <c r="X407" i="1"/>
  <c r="U407" i="1"/>
  <c r="R407" i="1"/>
  <c r="O407" i="1"/>
  <c r="L407" i="1"/>
  <c r="I407" i="1"/>
  <c r="F407" i="1"/>
  <c r="AM406" i="1"/>
  <c r="AJ406" i="1"/>
  <c r="AG406" i="1"/>
  <c r="AD406" i="1"/>
  <c r="AA406" i="1"/>
  <c r="X406" i="1"/>
  <c r="U406" i="1"/>
  <c r="R406" i="1"/>
  <c r="O406" i="1"/>
  <c r="L406" i="1"/>
  <c r="I406" i="1"/>
  <c r="F406" i="1"/>
  <c r="AM405" i="1"/>
  <c r="AJ405" i="1"/>
  <c r="AG405" i="1"/>
  <c r="AD405" i="1"/>
  <c r="AA405" i="1"/>
  <c r="X405" i="1"/>
  <c r="U405" i="1"/>
  <c r="R405" i="1"/>
  <c r="O405" i="1"/>
  <c r="L405" i="1"/>
  <c r="I405" i="1"/>
  <c r="F405" i="1"/>
  <c r="AM404" i="1"/>
  <c r="AJ404" i="1"/>
  <c r="AG404" i="1"/>
  <c r="AD404" i="1"/>
  <c r="AA404" i="1"/>
  <c r="X404" i="1"/>
  <c r="U404" i="1"/>
  <c r="R404" i="1"/>
  <c r="O404" i="1"/>
  <c r="L404" i="1"/>
  <c r="I404" i="1"/>
  <c r="F404" i="1"/>
  <c r="AM403" i="1"/>
  <c r="AJ403" i="1"/>
  <c r="AG403" i="1"/>
  <c r="AD403" i="1"/>
  <c r="AA403" i="1"/>
  <c r="X403" i="1"/>
  <c r="U403" i="1"/>
  <c r="R403" i="1"/>
  <c r="O403" i="1"/>
  <c r="L403" i="1"/>
  <c r="I403" i="1"/>
  <c r="F403" i="1"/>
  <c r="AM402" i="1"/>
  <c r="AJ402" i="1"/>
  <c r="AG402" i="1"/>
  <c r="AA402" i="1"/>
  <c r="X402" i="1"/>
  <c r="U402" i="1"/>
  <c r="R402" i="1"/>
  <c r="O402" i="1"/>
  <c r="L402" i="1"/>
  <c r="I402" i="1"/>
  <c r="F402" i="1"/>
  <c r="AM401" i="1"/>
  <c r="AJ401" i="1"/>
  <c r="AG401" i="1"/>
  <c r="AD401" i="1"/>
  <c r="AA401" i="1"/>
  <c r="X401" i="1"/>
  <c r="U401" i="1"/>
  <c r="R401" i="1"/>
  <c r="O401" i="1"/>
  <c r="L401" i="1"/>
  <c r="I401" i="1"/>
  <c r="F401" i="1"/>
  <c r="AM400" i="1"/>
  <c r="AJ400" i="1"/>
  <c r="AG400" i="1"/>
  <c r="AD400" i="1"/>
  <c r="AA400" i="1"/>
  <c r="X400" i="1"/>
  <c r="U400" i="1"/>
  <c r="R400" i="1"/>
  <c r="O400" i="1"/>
  <c r="L400" i="1"/>
  <c r="I400" i="1"/>
  <c r="F400" i="1"/>
  <c r="AM399" i="1"/>
  <c r="AJ399" i="1"/>
  <c r="AG399" i="1"/>
  <c r="AD399" i="1"/>
  <c r="AA399" i="1"/>
  <c r="X399" i="1"/>
  <c r="U399" i="1"/>
  <c r="R399" i="1"/>
  <c r="O399" i="1"/>
  <c r="I399" i="1"/>
  <c r="AM398" i="1"/>
  <c r="AJ398" i="1"/>
  <c r="AG398" i="1"/>
  <c r="AD398" i="1"/>
  <c r="AA398" i="1"/>
  <c r="X398" i="1"/>
  <c r="U398" i="1"/>
  <c r="R398" i="1"/>
  <c r="O398" i="1"/>
  <c r="L398" i="1"/>
  <c r="I398" i="1"/>
  <c r="F398" i="1"/>
  <c r="AM397" i="1"/>
  <c r="AJ397" i="1"/>
  <c r="AG397" i="1"/>
  <c r="AD397" i="1"/>
  <c r="AA397" i="1"/>
  <c r="X397" i="1"/>
  <c r="U397" i="1"/>
  <c r="R397" i="1"/>
  <c r="O397" i="1"/>
  <c r="L397" i="1"/>
  <c r="I397" i="1"/>
  <c r="F397" i="1"/>
  <c r="AM396" i="1"/>
  <c r="AJ396" i="1"/>
  <c r="AG396" i="1"/>
  <c r="AD396" i="1"/>
  <c r="AA396" i="1"/>
  <c r="X396" i="1"/>
  <c r="U396" i="1"/>
  <c r="R396" i="1"/>
  <c r="O396" i="1"/>
  <c r="L396" i="1"/>
  <c r="I396" i="1"/>
  <c r="F396" i="1"/>
  <c r="AM395" i="1"/>
  <c r="AJ395" i="1"/>
  <c r="AG395" i="1"/>
  <c r="AD395" i="1"/>
  <c r="AA395" i="1"/>
  <c r="X395" i="1"/>
  <c r="U395" i="1"/>
  <c r="R395" i="1"/>
  <c r="O395" i="1"/>
  <c r="L395" i="1"/>
  <c r="I395" i="1"/>
  <c r="F395" i="1"/>
  <c r="AM394" i="1"/>
  <c r="AJ394" i="1"/>
  <c r="AG394" i="1"/>
  <c r="AD394" i="1"/>
  <c r="AA394" i="1"/>
  <c r="X394" i="1"/>
  <c r="U394" i="1"/>
  <c r="R394" i="1"/>
  <c r="O394" i="1"/>
  <c r="L394" i="1"/>
  <c r="I394" i="1"/>
  <c r="F394" i="1"/>
  <c r="AM393" i="1"/>
  <c r="AJ393" i="1"/>
  <c r="AG393" i="1"/>
  <c r="AD393" i="1"/>
  <c r="AA393" i="1"/>
  <c r="X393" i="1"/>
  <c r="U393" i="1"/>
  <c r="R393" i="1"/>
  <c r="O393" i="1"/>
  <c r="L393" i="1"/>
  <c r="I393" i="1"/>
  <c r="F393" i="1"/>
  <c r="AM392" i="1"/>
  <c r="AJ392" i="1"/>
  <c r="AG392" i="1"/>
  <c r="AD392" i="1"/>
  <c r="AA392" i="1"/>
  <c r="X392" i="1"/>
  <c r="U392" i="1"/>
  <c r="R392" i="1"/>
  <c r="O392" i="1"/>
  <c r="L392" i="1"/>
  <c r="I392" i="1"/>
  <c r="F392" i="1"/>
  <c r="AM391" i="1"/>
  <c r="AJ391" i="1"/>
  <c r="AG391" i="1"/>
  <c r="AD391" i="1"/>
  <c r="AA391" i="1"/>
  <c r="X391" i="1"/>
  <c r="U391" i="1"/>
  <c r="R391" i="1"/>
  <c r="O391" i="1"/>
  <c r="L391" i="1"/>
  <c r="I391" i="1"/>
  <c r="F391" i="1"/>
  <c r="AM390" i="1"/>
  <c r="AJ390" i="1"/>
  <c r="AG390" i="1"/>
  <c r="AD390" i="1"/>
  <c r="AA390" i="1"/>
  <c r="X390" i="1"/>
  <c r="U390" i="1"/>
  <c r="R390" i="1"/>
  <c r="L390" i="1"/>
  <c r="I390" i="1"/>
  <c r="F390" i="1"/>
  <c r="AM389" i="1"/>
  <c r="AJ389" i="1"/>
  <c r="AG389" i="1"/>
  <c r="AD389" i="1"/>
  <c r="AA389" i="1"/>
  <c r="X389" i="1"/>
  <c r="U389" i="1"/>
  <c r="R389" i="1"/>
  <c r="O389" i="1"/>
  <c r="L389" i="1"/>
  <c r="I389" i="1"/>
  <c r="F389" i="1"/>
  <c r="AM388" i="1"/>
  <c r="AJ388" i="1"/>
  <c r="AG388" i="1"/>
  <c r="AD388" i="1"/>
  <c r="AA388" i="1"/>
  <c r="X388" i="1"/>
  <c r="U388" i="1"/>
  <c r="R388" i="1"/>
  <c r="O388" i="1"/>
  <c r="L388" i="1"/>
  <c r="I388" i="1"/>
  <c r="F388" i="1"/>
  <c r="AM387" i="1"/>
  <c r="AJ387" i="1"/>
  <c r="AG387" i="1"/>
  <c r="AD387" i="1"/>
  <c r="AA387" i="1"/>
  <c r="X387" i="1"/>
  <c r="U387" i="1"/>
  <c r="R387" i="1"/>
  <c r="O387" i="1"/>
  <c r="L387" i="1"/>
  <c r="I387" i="1"/>
  <c r="F387" i="1"/>
  <c r="AM386" i="1"/>
  <c r="AJ386" i="1"/>
  <c r="AG386" i="1"/>
  <c r="AD386" i="1"/>
  <c r="AA386" i="1"/>
  <c r="X386" i="1"/>
  <c r="U386" i="1"/>
  <c r="R386" i="1"/>
  <c r="O386" i="1"/>
  <c r="L386" i="1"/>
  <c r="I386" i="1"/>
  <c r="F386" i="1"/>
  <c r="AM385" i="1"/>
  <c r="AJ385" i="1"/>
  <c r="AG385" i="1"/>
  <c r="AD385" i="1"/>
  <c r="AA385" i="1"/>
  <c r="X385" i="1"/>
  <c r="U385" i="1"/>
  <c r="R385" i="1"/>
  <c r="O385" i="1"/>
  <c r="L385" i="1"/>
  <c r="I385" i="1"/>
  <c r="F385" i="1"/>
  <c r="AM373" i="1"/>
  <c r="AJ373" i="1"/>
  <c r="AG373" i="1"/>
  <c r="AD373" i="1"/>
  <c r="AA373" i="1"/>
  <c r="X373" i="1"/>
  <c r="U373" i="1"/>
  <c r="R373" i="1"/>
  <c r="O373" i="1"/>
  <c r="L373" i="1"/>
  <c r="I373" i="1"/>
  <c r="F373" i="1"/>
  <c r="AM372" i="1"/>
  <c r="AJ372" i="1"/>
  <c r="AG372" i="1"/>
  <c r="AD372" i="1"/>
  <c r="AA372" i="1"/>
  <c r="X372" i="1"/>
  <c r="U372" i="1"/>
  <c r="R372" i="1"/>
  <c r="O372" i="1"/>
  <c r="L372" i="1"/>
  <c r="I372" i="1"/>
  <c r="F372" i="1"/>
  <c r="AM371" i="1"/>
  <c r="AJ371" i="1"/>
  <c r="AG371" i="1"/>
  <c r="AD371" i="1"/>
  <c r="AA371" i="1"/>
  <c r="X371" i="1"/>
  <c r="U371" i="1"/>
  <c r="R371" i="1"/>
  <c r="O371" i="1"/>
  <c r="L371" i="1"/>
  <c r="I371" i="1"/>
  <c r="F371" i="1"/>
  <c r="AM370" i="1"/>
  <c r="AJ370" i="1"/>
  <c r="AG370" i="1"/>
  <c r="AD370" i="1"/>
  <c r="AA370" i="1"/>
  <c r="X370" i="1"/>
  <c r="U370" i="1"/>
  <c r="R370" i="1"/>
  <c r="O370" i="1"/>
  <c r="L370" i="1"/>
  <c r="I370" i="1"/>
  <c r="F370" i="1"/>
  <c r="AM369" i="1"/>
  <c r="AJ369" i="1"/>
  <c r="AG369" i="1"/>
  <c r="AD369" i="1"/>
  <c r="AA369" i="1"/>
  <c r="X369" i="1"/>
  <c r="U369" i="1"/>
  <c r="R369" i="1"/>
  <c r="O369" i="1"/>
  <c r="L369" i="1"/>
  <c r="I369" i="1"/>
  <c r="F369" i="1"/>
  <c r="AM368" i="1"/>
  <c r="AJ368" i="1"/>
  <c r="AG368" i="1"/>
  <c r="AD368" i="1"/>
  <c r="AA368" i="1"/>
  <c r="X368" i="1"/>
  <c r="U368" i="1"/>
  <c r="R368" i="1"/>
  <c r="O368" i="1"/>
  <c r="L368" i="1"/>
  <c r="I368" i="1"/>
  <c r="F368" i="1"/>
  <c r="AM367" i="1"/>
  <c r="AJ367" i="1"/>
  <c r="AG367" i="1"/>
  <c r="AD367" i="1"/>
  <c r="AA367" i="1"/>
  <c r="X367" i="1"/>
  <c r="U367" i="1"/>
  <c r="R367" i="1"/>
  <c r="O367" i="1"/>
  <c r="L367" i="1"/>
  <c r="I367" i="1"/>
  <c r="F367" i="1"/>
  <c r="AM366" i="1"/>
  <c r="AJ366" i="1"/>
  <c r="AG366" i="1"/>
  <c r="AD366" i="1"/>
  <c r="AA366" i="1"/>
  <c r="X366" i="1"/>
  <c r="U366" i="1"/>
  <c r="R366" i="1"/>
  <c r="O366" i="1"/>
  <c r="L366" i="1"/>
  <c r="I366" i="1"/>
  <c r="F366" i="1"/>
  <c r="AM365" i="1"/>
  <c r="AJ365" i="1"/>
  <c r="AG365" i="1"/>
  <c r="AD365" i="1"/>
  <c r="AA365" i="1"/>
  <c r="X365" i="1"/>
  <c r="U365" i="1"/>
  <c r="R365" i="1"/>
  <c r="O365" i="1"/>
  <c r="L365" i="1"/>
  <c r="I365" i="1"/>
  <c r="F365" i="1"/>
  <c r="AM364" i="1"/>
  <c r="AJ364" i="1"/>
  <c r="AG364" i="1"/>
  <c r="AD364" i="1"/>
  <c r="AA364" i="1"/>
  <c r="X364" i="1"/>
  <c r="U364" i="1"/>
  <c r="R364" i="1"/>
  <c r="O364" i="1"/>
  <c r="L364" i="1"/>
  <c r="I364" i="1"/>
  <c r="F364" i="1"/>
  <c r="AM363" i="1"/>
  <c r="AJ363" i="1"/>
  <c r="AG363" i="1"/>
  <c r="AD363" i="1"/>
  <c r="AA363" i="1"/>
  <c r="X363" i="1"/>
  <c r="U363" i="1"/>
  <c r="R363" i="1"/>
  <c r="O363" i="1"/>
  <c r="L363" i="1"/>
  <c r="I363" i="1"/>
  <c r="F363" i="1"/>
  <c r="AM362" i="1"/>
  <c r="AJ362" i="1"/>
  <c r="AG362" i="1"/>
  <c r="AD362" i="1"/>
  <c r="AA362" i="1"/>
  <c r="X362" i="1"/>
  <c r="U362" i="1"/>
  <c r="R362" i="1"/>
  <c r="O362" i="1"/>
  <c r="L362" i="1"/>
  <c r="I362" i="1"/>
  <c r="F362" i="1"/>
  <c r="AM361" i="1"/>
  <c r="AJ361" i="1"/>
  <c r="AG361" i="1"/>
  <c r="AD361" i="1"/>
  <c r="AA361" i="1"/>
  <c r="X361" i="1"/>
  <c r="U361" i="1"/>
  <c r="R361" i="1"/>
  <c r="O361" i="1"/>
  <c r="L361" i="1"/>
  <c r="I361" i="1"/>
  <c r="F361" i="1"/>
  <c r="AM360" i="1"/>
  <c r="AJ360" i="1"/>
  <c r="AG360" i="1"/>
  <c r="AD360" i="1"/>
  <c r="AA360" i="1"/>
  <c r="X360" i="1"/>
  <c r="U360" i="1"/>
  <c r="R360" i="1"/>
  <c r="O360" i="1"/>
  <c r="L360" i="1"/>
  <c r="I360" i="1"/>
  <c r="F360" i="1"/>
  <c r="AM359" i="1"/>
  <c r="AJ359" i="1"/>
  <c r="AG359" i="1"/>
  <c r="AD359" i="1"/>
  <c r="AA359" i="1"/>
  <c r="X359" i="1"/>
  <c r="U359" i="1"/>
  <c r="R359" i="1"/>
  <c r="O359" i="1"/>
  <c r="L359" i="1"/>
  <c r="I359" i="1"/>
  <c r="F359" i="1"/>
  <c r="AM358" i="1"/>
  <c r="AJ358" i="1"/>
  <c r="AG358" i="1"/>
  <c r="AD358" i="1"/>
  <c r="AA358" i="1"/>
  <c r="X358" i="1"/>
  <c r="U358" i="1"/>
  <c r="R358" i="1"/>
  <c r="O358" i="1"/>
  <c r="L358" i="1"/>
  <c r="I358" i="1"/>
  <c r="F358" i="1"/>
  <c r="AM357" i="1"/>
  <c r="AJ357" i="1"/>
  <c r="AG357" i="1"/>
  <c r="AD357" i="1"/>
  <c r="AA357" i="1"/>
  <c r="X357" i="1"/>
  <c r="U357" i="1"/>
  <c r="R357" i="1"/>
  <c r="O357" i="1"/>
  <c r="L357" i="1"/>
  <c r="I357" i="1"/>
  <c r="F357" i="1"/>
  <c r="AM356" i="1"/>
  <c r="AJ356" i="1"/>
  <c r="AG356" i="1"/>
  <c r="AD356" i="1"/>
  <c r="AA356" i="1"/>
  <c r="X356" i="1"/>
  <c r="U356" i="1"/>
  <c r="R356" i="1"/>
  <c r="O356" i="1"/>
  <c r="L356" i="1"/>
  <c r="I356" i="1"/>
  <c r="F356" i="1"/>
  <c r="AM355" i="1"/>
  <c r="AJ355" i="1"/>
  <c r="AG355" i="1"/>
  <c r="AD355" i="1"/>
  <c r="AA355" i="1"/>
  <c r="X355" i="1"/>
  <c r="U355" i="1"/>
  <c r="R355" i="1"/>
  <c r="O355" i="1"/>
  <c r="L355" i="1"/>
  <c r="I355" i="1"/>
  <c r="F355" i="1"/>
  <c r="AM354" i="1"/>
  <c r="AJ354" i="1"/>
  <c r="AG354" i="1"/>
  <c r="AD354" i="1"/>
  <c r="AA354" i="1"/>
  <c r="X354" i="1"/>
  <c r="U354" i="1"/>
  <c r="R354" i="1"/>
  <c r="O354" i="1"/>
  <c r="L354" i="1"/>
  <c r="I354" i="1"/>
  <c r="F354" i="1"/>
  <c r="AM353" i="1"/>
  <c r="AJ353" i="1"/>
  <c r="AG353" i="1"/>
  <c r="AD353" i="1"/>
  <c r="AA353" i="1"/>
  <c r="X353" i="1"/>
  <c r="U353" i="1"/>
  <c r="R353" i="1"/>
  <c r="O353" i="1"/>
  <c r="L353" i="1"/>
  <c r="I353" i="1"/>
  <c r="F353" i="1"/>
  <c r="AM352" i="1"/>
  <c r="AJ352" i="1"/>
  <c r="AG352" i="1"/>
  <c r="AD352" i="1"/>
  <c r="AA352" i="1"/>
  <c r="X352" i="1"/>
  <c r="U352" i="1"/>
  <c r="R352" i="1"/>
  <c r="O352" i="1"/>
  <c r="L352" i="1"/>
  <c r="I352" i="1"/>
  <c r="F352" i="1"/>
  <c r="AM351" i="1"/>
  <c r="AG351" i="1"/>
  <c r="AD351" i="1"/>
  <c r="AA351" i="1"/>
  <c r="X351" i="1"/>
  <c r="U351" i="1"/>
  <c r="R351" i="1"/>
  <c r="O351" i="1"/>
  <c r="L351" i="1"/>
  <c r="I351" i="1"/>
  <c r="F351" i="1"/>
  <c r="AM350" i="1"/>
  <c r="AJ350" i="1"/>
  <c r="AG350" i="1"/>
  <c r="AD350" i="1"/>
  <c r="AA350" i="1"/>
  <c r="X350" i="1"/>
  <c r="U350" i="1"/>
  <c r="R350" i="1"/>
  <c r="O350" i="1"/>
  <c r="L350" i="1"/>
  <c r="I350" i="1"/>
  <c r="F350" i="1"/>
  <c r="AM349" i="1"/>
  <c r="AJ349" i="1"/>
  <c r="AG349" i="1"/>
  <c r="AD349" i="1"/>
  <c r="AA349" i="1"/>
  <c r="X349" i="1"/>
  <c r="U349" i="1"/>
  <c r="R349" i="1"/>
  <c r="O349" i="1"/>
  <c r="L349" i="1"/>
  <c r="I349" i="1"/>
  <c r="F349" i="1"/>
  <c r="AM348" i="1"/>
  <c r="AJ348" i="1"/>
  <c r="AG348" i="1"/>
  <c r="AD348" i="1"/>
  <c r="AA348" i="1"/>
  <c r="X348" i="1"/>
  <c r="U348" i="1"/>
  <c r="R348" i="1"/>
  <c r="O348" i="1"/>
  <c r="L348" i="1"/>
  <c r="I348" i="1"/>
  <c r="F348" i="1"/>
  <c r="AM347" i="1"/>
  <c r="AJ347" i="1"/>
  <c r="AG347" i="1"/>
  <c r="AD347" i="1"/>
  <c r="AA347" i="1"/>
  <c r="X347" i="1"/>
  <c r="U347" i="1"/>
  <c r="R347" i="1"/>
  <c r="O347" i="1"/>
  <c r="L347" i="1"/>
  <c r="F347" i="1"/>
  <c r="AM346" i="1"/>
  <c r="AJ346" i="1"/>
  <c r="AG346" i="1"/>
  <c r="AD346" i="1"/>
  <c r="AA346" i="1"/>
  <c r="X346" i="1"/>
  <c r="U346" i="1"/>
  <c r="R346" i="1"/>
  <c r="O346" i="1"/>
  <c r="L346" i="1"/>
  <c r="I346" i="1"/>
  <c r="F346" i="1"/>
  <c r="AM345" i="1"/>
  <c r="AJ345" i="1"/>
  <c r="AG345" i="1"/>
  <c r="AD345" i="1"/>
  <c r="AA345" i="1"/>
  <c r="X345" i="1"/>
  <c r="U345" i="1"/>
  <c r="R345" i="1"/>
  <c r="O345" i="1"/>
  <c r="L345" i="1"/>
  <c r="I345" i="1"/>
  <c r="F345" i="1"/>
  <c r="AM344" i="1"/>
  <c r="AJ344" i="1"/>
  <c r="AG344" i="1"/>
  <c r="AD344" i="1"/>
  <c r="AA344" i="1"/>
  <c r="X344" i="1"/>
  <c r="U344" i="1"/>
  <c r="R344" i="1"/>
  <c r="O344" i="1"/>
  <c r="L344" i="1"/>
  <c r="I344" i="1"/>
  <c r="F344" i="1"/>
  <c r="AM343" i="1"/>
  <c r="AJ343" i="1"/>
  <c r="AG343" i="1"/>
  <c r="AD343" i="1"/>
  <c r="AA343" i="1"/>
  <c r="X343" i="1"/>
  <c r="U343" i="1"/>
  <c r="R343" i="1"/>
  <c r="O343" i="1"/>
  <c r="L343" i="1"/>
  <c r="I343" i="1"/>
  <c r="F343" i="1"/>
  <c r="AM331" i="1"/>
  <c r="AJ331" i="1"/>
  <c r="AG331" i="1"/>
  <c r="AD331" i="1"/>
  <c r="AA331" i="1"/>
  <c r="X331" i="1"/>
  <c r="U331" i="1"/>
  <c r="R331" i="1"/>
  <c r="O331" i="1"/>
  <c r="L331" i="1"/>
  <c r="I331" i="1"/>
  <c r="F331" i="1"/>
  <c r="AM330" i="1"/>
  <c r="AJ330" i="1"/>
  <c r="AG330" i="1"/>
  <c r="AD330" i="1"/>
  <c r="AA330" i="1"/>
  <c r="X330" i="1"/>
  <c r="U330" i="1"/>
  <c r="R330" i="1"/>
  <c r="O330" i="1"/>
  <c r="L330" i="1"/>
  <c r="I330" i="1"/>
  <c r="F330" i="1"/>
  <c r="AM329" i="1"/>
  <c r="AJ329" i="1"/>
  <c r="AG329" i="1"/>
  <c r="AD329" i="1"/>
  <c r="AA329" i="1"/>
  <c r="X329" i="1"/>
  <c r="U329" i="1"/>
  <c r="R329" i="1"/>
  <c r="O329" i="1"/>
  <c r="L329" i="1"/>
  <c r="I329" i="1"/>
  <c r="F329" i="1"/>
  <c r="AM328" i="1"/>
  <c r="AJ328" i="1"/>
  <c r="AG328" i="1"/>
  <c r="AD328" i="1"/>
  <c r="AA328" i="1"/>
  <c r="X328" i="1"/>
  <c r="U328" i="1"/>
  <c r="R328" i="1"/>
  <c r="O328" i="1"/>
  <c r="L328" i="1"/>
  <c r="I328" i="1"/>
  <c r="F328" i="1"/>
  <c r="AM327" i="1"/>
  <c r="AJ327" i="1"/>
  <c r="AG327" i="1"/>
  <c r="AD327" i="1"/>
  <c r="AA327" i="1"/>
  <c r="X327" i="1"/>
  <c r="U327" i="1"/>
  <c r="R327" i="1"/>
  <c r="O327" i="1"/>
  <c r="L327" i="1"/>
  <c r="I327" i="1"/>
  <c r="F327" i="1"/>
  <c r="AM326" i="1"/>
  <c r="AJ326" i="1"/>
  <c r="AG326" i="1"/>
  <c r="AD326" i="1"/>
  <c r="AA326" i="1"/>
  <c r="X326" i="1"/>
  <c r="U326" i="1"/>
  <c r="R326" i="1"/>
  <c r="O326" i="1"/>
  <c r="L326" i="1"/>
  <c r="I326" i="1"/>
  <c r="F326" i="1"/>
  <c r="AM325" i="1"/>
  <c r="AJ325" i="1"/>
  <c r="AG325" i="1"/>
  <c r="AD325" i="1"/>
  <c r="AA325" i="1"/>
  <c r="X325" i="1"/>
  <c r="U325" i="1"/>
  <c r="R325" i="1"/>
  <c r="O325" i="1"/>
  <c r="L325" i="1"/>
  <c r="I325" i="1"/>
  <c r="F325" i="1"/>
  <c r="AM324" i="1"/>
  <c r="AJ324" i="1"/>
  <c r="AG324" i="1"/>
  <c r="AD324" i="1"/>
  <c r="AA324" i="1"/>
  <c r="X324" i="1"/>
  <c r="U324" i="1"/>
  <c r="R324" i="1"/>
  <c r="O324" i="1"/>
  <c r="L324" i="1"/>
  <c r="I324" i="1"/>
  <c r="F324" i="1"/>
  <c r="AM323" i="1"/>
  <c r="AJ323" i="1"/>
  <c r="AG323" i="1"/>
  <c r="AD323" i="1"/>
  <c r="AA323" i="1"/>
  <c r="X323" i="1"/>
  <c r="U323" i="1"/>
  <c r="R323" i="1"/>
  <c r="O323" i="1"/>
  <c r="L323" i="1"/>
  <c r="I323" i="1"/>
  <c r="F323" i="1"/>
  <c r="AM322" i="1"/>
  <c r="AJ322" i="1"/>
  <c r="AG322" i="1"/>
  <c r="AD322" i="1"/>
  <c r="AA322" i="1"/>
  <c r="X322" i="1"/>
  <c r="U322" i="1"/>
  <c r="R322" i="1"/>
  <c r="O322" i="1"/>
  <c r="L322" i="1"/>
  <c r="I322" i="1"/>
  <c r="F322" i="1"/>
  <c r="AM321" i="1"/>
  <c r="AJ321" i="1"/>
  <c r="AG321" i="1"/>
  <c r="AD321" i="1"/>
  <c r="AA321" i="1"/>
  <c r="X321" i="1"/>
  <c r="U321" i="1"/>
  <c r="R321" i="1"/>
  <c r="O321" i="1"/>
  <c r="L321" i="1"/>
  <c r="I321" i="1"/>
  <c r="F321" i="1"/>
  <c r="AM320" i="1"/>
  <c r="AJ320" i="1"/>
  <c r="AG320" i="1"/>
  <c r="AD320" i="1"/>
  <c r="AA320" i="1"/>
  <c r="X320" i="1"/>
  <c r="U320" i="1"/>
  <c r="R320" i="1"/>
  <c r="O320" i="1"/>
  <c r="L320" i="1"/>
  <c r="I320" i="1"/>
  <c r="F320" i="1"/>
  <c r="AM319" i="1"/>
  <c r="AJ319" i="1"/>
  <c r="AG319" i="1"/>
  <c r="AD319" i="1"/>
  <c r="AA319" i="1"/>
  <c r="X319" i="1"/>
  <c r="U319" i="1"/>
  <c r="R319" i="1"/>
  <c r="O319" i="1"/>
  <c r="L319" i="1"/>
  <c r="I319" i="1"/>
  <c r="F319" i="1"/>
  <c r="AM318" i="1"/>
  <c r="AJ318" i="1"/>
  <c r="AG318" i="1"/>
  <c r="AD318" i="1"/>
  <c r="AA318" i="1"/>
  <c r="X318" i="1"/>
  <c r="U318" i="1"/>
  <c r="R318" i="1"/>
  <c r="O318" i="1"/>
  <c r="L318" i="1"/>
  <c r="I318" i="1"/>
  <c r="F318" i="1"/>
  <c r="AM317" i="1"/>
  <c r="AJ317" i="1"/>
  <c r="AG317" i="1"/>
  <c r="AD317" i="1"/>
  <c r="AA317" i="1"/>
  <c r="X317" i="1"/>
  <c r="U317" i="1"/>
  <c r="R317" i="1"/>
  <c r="O317" i="1"/>
  <c r="L317" i="1"/>
  <c r="I317" i="1"/>
  <c r="F317" i="1"/>
  <c r="AM316" i="1"/>
  <c r="AJ316" i="1"/>
  <c r="AG316" i="1"/>
  <c r="AD316" i="1"/>
  <c r="AA316" i="1"/>
  <c r="X316" i="1"/>
  <c r="U316" i="1"/>
  <c r="R316" i="1"/>
  <c r="O316" i="1"/>
  <c r="L316" i="1"/>
  <c r="I316" i="1"/>
  <c r="F316" i="1"/>
  <c r="AM315" i="1"/>
  <c r="AJ315" i="1"/>
  <c r="AG315" i="1"/>
  <c r="AD315" i="1"/>
  <c r="AA315" i="1"/>
  <c r="X315" i="1"/>
  <c r="U315" i="1"/>
  <c r="R315" i="1"/>
  <c r="O315" i="1"/>
  <c r="L315" i="1"/>
  <c r="I315" i="1"/>
  <c r="F315" i="1"/>
  <c r="AM314" i="1"/>
  <c r="AJ314" i="1"/>
  <c r="AG314" i="1"/>
  <c r="AD314" i="1"/>
  <c r="AA314" i="1"/>
  <c r="X314" i="1"/>
  <c r="U314" i="1"/>
  <c r="R314" i="1"/>
  <c r="O314" i="1"/>
  <c r="L314" i="1"/>
  <c r="I314" i="1"/>
  <c r="F314" i="1"/>
  <c r="AM313" i="1"/>
  <c r="AJ313" i="1"/>
  <c r="AG313" i="1"/>
  <c r="AA313" i="1"/>
  <c r="X313" i="1"/>
  <c r="U313" i="1"/>
  <c r="R313" i="1"/>
  <c r="O313" i="1"/>
  <c r="L313" i="1"/>
  <c r="I313" i="1"/>
  <c r="F313" i="1"/>
  <c r="AM312" i="1"/>
  <c r="AJ312" i="1"/>
  <c r="AG312" i="1"/>
  <c r="AD312" i="1"/>
  <c r="AA312" i="1"/>
  <c r="X312" i="1"/>
  <c r="U312" i="1"/>
  <c r="R312" i="1"/>
  <c r="O312" i="1"/>
  <c r="L312" i="1"/>
  <c r="I312" i="1"/>
  <c r="F312" i="1"/>
  <c r="AM311" i="1"/>
  <c r="AJ311" i="1"/>
  <c r="AG311" i="1"/>
  <c r="AA311" i="1"/>
  <c r="X311" i="1"/>
  <c r="U311" i="1"/>
  <c r="R311" i="1"/>
  <c r="O311" i="1"/>
  <c r="L311" i="1"/>
  <c r="I311" i="1"/>
  <c r="F311" i="1"/>
  <c r="AM310" i="1"/>
  <c r="AJ310" i="1"/>
  <c r="AG310" i="1"/>
  <c r="AD310" i="1"/>
  <c r="AA310" i="1"/>
  <c r="X310" i="1"/>
  <c r="U310" i="1"/>
  <c r="R310" i="1"/>
  <c r="O310" i="1"/>
  <c r="L310" i="1"/>
  <c r="I310" i="1"/>
  <c r="F310" i="1"/>
  <c r="AM309" i="1"/>
  <c r="AJ309" i="1"/>
  <c r="AG309" i="1"/>
  <c r="AD309" i="1"/>
  <c r="AA309" i="1"/>
  <c r="X309" i="1"/>
  <c r="U309" i="1"/>
  <c r="R309" i="1"/>
  <c r="O309" i="1"/>
  <c r="L309" i="1"/>
  <c r="I309" i="1"/>
  <c r="F309" i="1"/>
  <c r="AM308" i="1"/>
  <c r="AJ308" i="1"/>
  <c r="AG308" i="1"/>
  <c r="AD308" i="1"/>
  <c r="AA308" i="1"/>
  <c r="X308" i="1"/>
  <c r="U308" i="1"/>
  <c r="R308" i="1"/>
  <c r="O308" i="1"/>
  <c r="L308" i="1"/>
  <c r="I308" i="1"/>
  <c r="F308" i="1"/>
  <c r="AM307" i="1"/>
  <c r="AJ307" i="1"/>
  <c r="AG307" i="1"/>
  <c r="AD307" i="1"/>
  <c r="AA307" i="1"/>
  <c r="X307" i="1"/>
  <c r="U307" i="1"/>
  <c r="R307" i="1"/>
  <c r="O307" i="1"/>
  <c r="L307" i="1"/>
  <c r="I307" i="1"/>
  <c r="F307" i="1"/>
  <c r="AM306" i="1"/>
  <c r="AJ306" i="1"/>
  <c r="AG306" i="1"/>
  <c r="AD306" i="1"/>
  <c r="AA306" i="1"/>
  <c r="X306" i="1"/>
  <c r="U306" i="1"/>
  <c r="R306" i="1"/>
  <c r="O306" i="1"/>
  <c r="L306" i="1"/>
  <c r="I306" i="1"/>
  <c r="F306" i="1"/>
  <c r="AM305" i="1"/>
  <c r="AJ305" i="1"/>
  <c r="AG305" i="1"/>
  <c r="AD305" i="1"/>
  <c r="AA305" i="1"/>
  <c r="X305" i="1"/>
  <c r="U305" i="1"/>
  <c r="R305" i="1"/>
  <c r="O305" i="1"/>
  <c r="L305" i="1"/>
  <c r="I305" i="1"/>
  <c r="F305" i="1"/>
  <c r="AM304" i="1"/>
  <c r="AJ304" i="1"/>
  <c r="AG304" i="1"/>
  <c r="AD304" i="1"/>
  <c r="AA304" i="1"/>
  <c r="X304" i="1"/>
  <c r="U304" i="1"/>
  <c r="R304" i="1"/>
  <c r="O304" i="1"/>
  <c r="L304" i="1"/>
  <c r="I304" i="1"/>
  <c r="F304" i="1"/>
  <c r="AM303" i="1"/>
  <c r="AJ303" i="1"/>
  <c r="AG303" i="1"/>
  <c r="AD303" i="1"/>
  <c r="AA303" i="1"/>
  <c r="X303" i="1"/>
  <c r="U303" i="1"/>
  <c r="R303" i="1"/>
  <c r="O303" i="1"/>
  <c r="L303" i="1"/>
  <c r="I303" i="1"/>
  <c r="F303" i="1"/>
  <c r="AM302" i="1"/>
  <c r="AJ302" i="1"/>
  <c r="AG302" i="1"/>
  <c r="AD302" i="1"/>
  <c r="AA302" i="1"/>
  <c r="X302" i="1"/>
  <c r="U302" i="1"/>
  <c r="R302" i="1"/>
  <c r="O302" i="1"/>
  <c r="L302" i="1"/>
  <c r="I302" i="1"/>
  <c r="F302" i="1"/>
  <c r="AM301" i="1"/>
  <c r="AJ301" i="1"/>
  <c r="AG301" i="1"/>
  <c r="AD301" i="1"/>
  <c r="AA301" i="1"/>
  <c r="X301" i="1"/>
  <c r="U301" i="1"/>
  <c r="R301" i="1"/>
  <c r="O301" i="1"/>
  <c r="L301" i="1"/>
  <c r="I301" i="1"/>
  <c r="F301" i="1"/>
  <c r="AM289" i="1"/>
  <c r="AJ289" i="1"/>
  <c r="AG289" i="1"/>
  <c r="AD289" i="1"/>
  <c r="AA289" i="1"/>
  <c r="X289" i="1"/>
  <c r="U289" i="1"/>
  <c r="R289" i="1"/>
  <c r="O289" i="1"/>
  <c r="L289" i="1"/>
  <c r="I289" i="1"/>
  <c r="F289" i="1"/>
  <c r="AM288" i="1"/>
  <c r="AJ288" i="1"/>
  <c r="AG288" i="1"/>
  <c r="AD288" i="1"/>
  <c r="AA288" i="1"/>
  <c r="X288" i="1"/>
  <c r="U288" i="1"/>
  <c r="R288" i="1"/>
  <c r="O288" i="1"/>
  <c r="L288" i="1"/>
  <c r="I288" i="1"/>
  <c r="F288" i="1"/>
  <c r="AM287" i="1"/>
  <c r="AJ287" i="1"/>
  <c r="AG287" i="1"/>
  <c r="AD287" i="1"/>
  <c r="AA287" i="1"/>
  <c r="X287" i="1"/>
  <c r="U287" i="1"/>
  <c r="R287" i="1"/>
  <c r="O287" i="1"/>
  <c r="L287" i="1"/>
  <c r="I287" i="1"/>
  <c r="F287" i="1"/>
  <c r="AM286" i="1"/>
  <c r="AJ286" i="1"/>
  <c r="AG286" i="1"/>
  <c r="AD286" i="1"/>
  <c r="AA286" i="1"/>
  <c r="X286" i="1"/>
  <c r="U286" i="1"/>
  <c r="R286" i="1"/>
  <c r="O286" i="1"/>
  <c r="L286" i="1"/>
  <c r="I286" i="1"/>
  <c r="F286" i="1"/>
  <c r="AM285" i="1"/>
  <c r="AJ285" i="1"/>
  <c r="AG285" i="1"/>
  <c r="AD285" i="1"/>
  <c r="AA285" i="1"/>
  <c r="X285" i="1"/>
  <c r="U285" i="1"/>
  <c r="R285" i="1"/>
  <c r="O285" i="1"/>
  <c r="L285" i="1"/>
  <c r="I285" i="1"/>
  <c r="F285" i="1"/>
  <c r="AM284" i="1"/>
  <c r="AJ284" i="1"/>
  <c r="AG284" i="1"/>
  <c r="AD284" i="1"/>
  <c r="AA284" i="1"/>
  <c r="X284" i="1"/>
  <c r="U284" i="1"/>
  <c r="R284" i="1"/>
  <c r="O284" i="1"/>
  <c r="L284" i="1"/>
  <c r="I284" i="1"/>
  <c r="F284" i="1"/>
  <c r="AM283" i="1"/>
  <c r="AJ283" i="1"/>
  <c r="AG283" i="1"/>
  <c r="AD283" i="1"/>
  <c r="AA283" i="1"/>
  <c r="X283" i="1"/>
  <c r="U283" i="1"/>
  <c r="R283" i="1"/>
  <c r="O283" i="1"/>
  <c r="L283" i="1"/>
  <c r="I283" i="1"/>
  <c r="F283" i="1"/>
  <c r="AM282" i="1"/>
  <c r="AJ282" i="1"/>
  <c r="AG282" i="1"/>
  <c r="AD282" i="1"/>
  <c r="AA282" i="1"/>
  <c r="X282" i="1"/>
  <c r="U282" i="1"/>
  <c r="R282" i="1"/>
  <c r="O282" i="1"/>
  <c r="L282" i="1"/>
  <c r="I282" i="1"/>
  <c r="F282" i="1"/>
  <c r="AM281" i="1"/>
  <c r="AJ281" i="1"/>
  <c r="AG281" i="1"/>
  <c r="AD281" i="1"/>
  <c r="AA281" i="1"/>
  <c r="X281" i="1"/>
  <c r="U281" i="1"/>
  <c r="R281" i="1"/>
  <c r="O281" i="1"/>
  <c r="L281" i="1"/>
  <c r="I281" i="1"/>
  <c r="F281" i="1"/>
  <c r="AM280" i="1"/>
  <c r="AJ280" i="1"/>
  <c r="AG280" i="1"/>
  <c r="AD280" i="1"/>
  <c r="AA280" i="1"/>
  <c r="X280" i="1"/>
  <c r="U280" i="1"/>
  <c r="R280" i="1"/>
  <c r="O280" i="1"/>
  <c r="L280" i="1"/>
  <c r="I280" i="1"/>
  <c r="F280" i="1"/>
  <c r="AM279" i="1"/>
  <c r="AJ279" i="1"/>
  <c r="AG279" i="1"/>
  <c r="AD279" i="1"/>
  <c r="AA279" i="1"/>
  <c r="X279" i="1"/>
  <c r="U279" i="1"/>
  <c r="R279" i="1"/>
  <c r="O279" i="1"/>
  <c r="L279" i="1"/>
  <c r="I279" i="1"/>
  <c r="F279" i="1"/>
  <c r="AM278" i="1"/>
  <c r="AJ278" i="1"/>
  <c r="AG278" i="1"/>
  <c r="AD278" i="1"/>
  <c r="AA278" i="1"/>
  <c r="X278" i="1"/>
  <c r="U278" i="1"/>
  <c r="R278" i="1"/>
  <c r="O278" i="1"/>
  <c r="L278" i="1"/>
  <c r="I278" i="1"/>
  <c r="F278" i="1"/>
  <c r="AM277" i="1"/>
  <c r="AJ277" i="1"/>
  <c r="AG277" i="1"/>
  <c r="AD277" i="1"/>
  <c r="AA277" i="1"/>
  <c r="X277" i="1"/>
  <c r="U277" i="1"/>
  <c r="R277" i="1"/>
  <c r="O277" i="1"/>
  <c r="L277" i="1"/>
  <c r="I277" i="1"/>
  <c r="F277" i="1"/>
  <c r="AM276" i="1"/>
  <c r="AJ276" i="1"/>
  <c r="AG276" i="1"/>
  <c r="AD276" i="1"/>
  <c r="AA276" i="1"/>
  <c r="X276" i="1"/>
  <c r="U276" i="1"/>
  <c r="R276" i="1"/>
  <c r="O276" i="1"/>
  <c r="L276" i="1"/>
  <c r="I276" i="1"/>
  <c r="F276" i="1"/>
  <c r="AM275" i="1"/>
  <c r="AJ275" i="1"/>
  <c r="AG275" i="1"/>
  <c r="AD275" i="1"/>
  <c r="AA275" i="1"/>
  <c r="X275" i="1"/>
  <c r="U275" i="1"/>
  <c r="R275" i="1"/>
  <c r="O275" i="1"/>
  <c r="L275" i="1"/>
  <c r="I275" i="1"/>
  <c r="F275" i="1"/>
  <c r="AM274" i="1"/>
  <c r="AJ274" i="1"/>
  <c r="AG274" i="1"/>
  <c r="AD274" i="1"/>
  <c r="AA274" i="1"/>
  <c r="X274" i="1"/>
  <c r="U274" i="1"/>
  <c r="R274" i="1"/>
  <c r="O274" i="1"/>
  <c r="L274" i="1"/>
  <c r="I274" i="1"/>
  <c r="F274" i="1"/>
  <c r="AM273" i="1"/>
  <c r="AJ273" i="1"/>
  <c r="AG273" i="1"/>
  <c r="AD273" i="1"/>
  <c r="AA273" i="1"/>
  <c r="X273" i="1"/>
  <c r="U273" i="1"/>
  <c r="R273" i="1"/>
  <c r="O273" i="1"/>
  <c r="L273" i="1"/>
  <c r="I273" i="1"/>
  <c r="F273" i="1"/>
  <c r="AM272" i="1"/>
  <c r="AJ272" i="1"/>
  <c r="AG272" i="1"/>
  <c r="AD272" i="1"/>
  <c r="AA272" i="1"/>
  <c r="X272" i="1"/>
  <c r="U272" i="1"/>
  <c r="R272" i="1"/>
  <c r="O272" i="1"/>
  <c r="L272" i="1"/>
  <c r="I272" i="1"/>
  <c r="F272" i="1"/>
  <c r="AM271" i="1"/>
  <c r="AJ271" i="1"/>
  <c r="AG271" i="1"/>
  <c r="AD271" i="1"/>
  <c r="AA271" i="1"/>
  <c r="X271" i="1"/>
  <c r="U271" i="1"/>
  <c r="R271" i="1"/>
  <c r="O271" i="1"/>
  <c r="L271" i="1"/>
  <c r="I271" i="1"/>
  <c r="F271" i="1"/>
  <c r="AM270" i="1"/>
  <c r="AJ270" i="1"/>
  <c r="AG270" i="1"/>
  <c r="AD270" i="1"/>
  <c r="AA270" i="1"/>
  <c r="X270" i="1"/>
  <c r="U270" i="1"/>
  <c r="R270" i="1"/>
  <c r="O270" i="1"/>
  <c r="L270" i="1"/>
  <c r="I270" i="1"/>
  <c r="F270" i="1"/>
  <c r="AM269" i="1"/>
  <c r="AJ269" i="1"/>
  <c r="AG269" i="1"/>
  <c r="AD269" i="1"/>
  <c r="AA269" i="1"/>
  <c r="X269" i="1"/>
  <c r="U269" i="1"/>
  <c r="R269" i="1"/>
  <c r="O269" i="1"/>
  <c r="L269" i="1"/>
  <c r="I269" i="1"/>
  <c r="F269" i="1"/>
  <c r="AM268" i="1"/>
  <c r="AJ268" i="1"/>
  <c r="AG268" i="1"/>
  <c r="AD268" i="1"/>
  <c r="AA268" i="1"/>
  <c r="X268" i="1"/>
  <c r="U268" i="1"/>
  <c r="R268" i="1"/>
  <c r="O268" i="1"/>
  <c r="L268" i="1"/>
  <c r="I268" i="1"/>
  <c r="F268" i="1"/>
  <c r="AM267" i="1"/>
  <c r="AJ267" i="1"/>
  <c r="AG267" i="1"/>
  <c r="AD267" i="1"/>
  <c r="AA267" i="1"/>
  <c r="X267" i="1"/>
  <c r="U267" i="1"/>
  <c r="R267" i="1"/>
  <c r="O267" i="1"/>
  <c r="L267" i="1"/>
  <c r="I267" i="1"/>
  <c r="F267" i="1"/>
  <c r="AM266" i="1"/>
  <c r="AJ266" i="1"/>
  <c r="AG266" i="1"/>
  <c r="AD266" i="1"/>
  <c r="AA266" i="1"/>
  <c r="X266" i="1"/>
  <c r="U266" i="1"/>
  <c r="R266" i="1"/>
  <c r="O266" i="1"/>
  <c r="L266" i="1"/>
  <c r="I266" i="1"/>
  <c r="F266" i="1"/>
  <c r="AM265" i="1"/>
  <c r="AJ265" i="1"/>
  <c r="AG265" i="1"/>
  <c r="AD265" i="1"/>
  <c r="AA265" i="1"/>
  <c r="X265" i="1"/>
  <c r="U265" i="1"/>
  <c r="R265" i="1"/>
  <c r="O265" i="1"/>
  <c r="L265" i="1"/>
  <c r="I265" i="1"/>
  <c r="F265" i="1"/>
  <c r="AM264" i="1"/>
  <c r="AJ264" i="1"/>
  <c r="AG264" i="1"/>
  <c r="AD264" i="1"/>
  <c r="AA264" i="1"/>
  <c r="X264" i="1"/>
  <c r="U264" i="1"/>
  <c r="R264" i="1"/>
  <c r="O264" i="1"/>
  <c r="L264" i="1"/>
  <c r="I264" i="1"/>
  <c r="F264" i="1"/>
  <c r="AM263" i="1"/>
  <c r="AJ263" i="1"/>
  <c r="AG263" i="1"/>
  <c r="AD263" i="1"/>
  <c r="AA263" i="1"/>
  <c r="X263" i="1"/>
  <c r="U263" i="1"/>
  <c r="R263" i="1"/>
  <c r="O263" i="1"/>
  <c r="L263" i="1"/>
  <c r="I263" i="1"/>
  <c r="F263" i="1"/>
  <c r="AM262" i="1"/>
  <c r="AJ262" i="1"/>
  <c r="AG262" i="1"/>
  <c r="AD262" i="1"/>
  <c r="AA262" i="1"/>
  <c r="X262" i="1"/>
  <c r="U262" i="1"/>
  <c r="R262" i="1"/>
  <c r="O262" i="1"/>
  <c r="L262" i="1"/>
  <c r="I262" i="1"/>
  <c r="F262" i="1"/>
  <c r="AM261" i="1"/>
  <c r="AJ261" i="1"/>
  <c r="AG261" i="1"/>
  <c r="AD261" i="1"/>
  <c r="AA261" i="1"/>
  <c r="X261" i="1"/>
  <c r="U261" i="1"/>
  <c r="R261" i="1"/>
  <c r="O261" i="1"/>
  <c r="L261" i="1"/>
  <c r="I261" i="1"/>
  <c r="F261" i="1"/>
  <c r="AM260" i="1"/>
  <c r="AJ260" i="1"/>
  <c r="AG260" i="1"/>
  <c r="AD260" i="1"/>
  <c r="AA260" i="1"/>
  <c r="X260" i="1"/>
  <c r="U260" i="1"/>
  <c r="R260" i="1"/>
  <c r="O260" i="1"/>
  <c r="L260" i="1"/>
  <c r="I260" i="1"/>
  <c r="F260" i="1"/>
  <c r="AM259" i="1"/>
  <c r="AJ259" i="1"/>
  <c r="AG259" i="1"/>
  <c r="AD259" i="1"/>
  <c r="AA259" i="1"/>
  <c r="X259" i="1"/>
  <c r="U259" i="1"/>
  <c r="R259" i="1"/>
  <c r="O259" i="1"/>
  <c r="L259" i="1"/>
  <c r="I259" i="1"/>
  <c r="F259" i="1"/>
  <c r="L248" i="1"/>
  <c r="AM247" i="1"/>
  <c r="AJ247" i="1"/>
  <c r="AG247" i="1"/>
  <c r="AD247" i="1"/>
  <c r="AA247" i="1"/>
  <c r="X247" i="1"/>
  <c r="U247" i="1"/>
  <c r="R247" i="1"/>
  <c r="O247" i="1"/>
  <c r="L247" i="1"/>
  <c r="I247" i="1"/>
  <c r="F247" i="1"/>
  <c r="AM246" i="1"/>
  <c r="AJ246" i="1"/>
  <c r="AG246" i="1"/>
  <c r="AD246" i="1"/>
  <c r="AA246" i="1"/>
  <c r="X246" i="1"/>
  <c r="U246" i="1"/>
  <c r="R246" i="1"/>
  <c r="O246" i="1"/>
  <c r="L246" i="1"/>
  <c r="I246" i="1"/>
  <c r="F246" i="1"/>
  <c r="AM245" i="1"/>
  <c r="AJ245" i="1"/>
  <c r="AG245" i="1"/>
  <c r="AD245" i="1"/>
  <c r="AA245" i="1"/>
  <c r="X245" i="1"/>
  <c r="U245" i="1"/>
  <c r="R245" i="1"/>
  <c r="O245" i="1"/>
  <c r="L245" i="1"/>
  <c r="I245" i="1"/>
  <c r="F245" i="1"/>
  <c r="AM244" i="1"/>
  <c r="AJ244" i="1"/>
  <c r="AG244" i="1"/>
  <c r="AD244" i="1"/>
  <c r="AA244" i="1"/>
  <c r="X244" i="1"/>
  <c r="U244" i="1"/>
  <c r="R244" i="1"/>
  <c r="O244" i="1"/>
  <c r="L244" i="1"/>
  <c r="I244" i="1"/>
  <c r="F244" i="1"/>
  <c r="AM243" i="1"/>
  <c r="AJ243" i="1"/>
  <c r="AG243" i="1"/>
  <c r="AD243" i="1"/>
  <c r="AA243" i="1"/>
  <c r="X243" i="1"/>
  <c r="U243" i="1"/>
  <c r="R243" i="1"/>
  <c r="O243" i="1"/>
  <c r="L243" i="1"/>
  <c r="I243" i="1"/>
  <c r="F243" i="1"/>
  <c r="AM242" i="1"/>
  <c r="AJ242" i="1"/>
  <c r="AG242" i="1"/>
  <c r="AD242" i="1"/>
  <c r="AA242" i="1"/>
  <c r="X242" i="1"/>
  <c r="U242" i="1"/>
  <c r="R242" i="1"/>
  <c r="O242" i="1"/>
  <c r="L242" i="1"/>
  <c r="I242" i="1"/>
  <c r="F242" i="1"/>
  <c r="AM241" i="1"/>
  <c r="AJ241" i="1"/>
  <c r="AG241" i="1"/>
  <c r="AD241" i="1"/>
  <c r="AA241" i="1"/>
  <c r="X241" i="1"/>
  <c r="U241" i="1"/>
  <c r="R241" i="1"/>
  <c r="O241" i="1"/>
  <c r="L241" i="1"/>
  <c r="I241" i="1"/>
  <c r="F241" i="1"/>
  <c r="AM240" i="1"/>
  <c r="AJ240" i="1"/>
  <c r="AG240" i="1"/>
  <c r="AD240" i="1"/>
  <c r="AA240" i="1"/>
  <c r="X240" i="1"/>
  <c r="U240" i="1"/>
  <c r="R240" i="1"/>
  <c r="O240" i="1"/>
  <c r="L240" i="1"/>
  <c r="I240" i="1"/>
  <c r="F240" i="1"/>
  <c r="AM239" i="1"/>
  <c r="AJ239" i="1"/>
  <c r="AG239" i="1"/>
  <c r="AD239" i="1"/>
  <c r="AA239" i="1"/>
  <c r="X239" i="1"/>
  <c r="U239" i="1"/>
  <c r="R239" i="1"/>
  <c r="O239" i="1"/>
  <c r="L239" i="1"/>
  <c r="I239" i="1"/>
  <c r="F239" i="1"/>
  <c r="AM238" i="1"/>
  <c r="AJ238" i="1"/>
  <c r="AG238" i="1"/>
  <c r="AD238" i="1"/>
  <c r="AA238" i="1"/>
  <c r="X238" i="1"/>
  <c r="U238" i="1"/>
  <c r="R238" i="1"/>
  <c r="O238" i="1"/>
  <c r="L238" i="1"/>
  <c r="I238" i="1"/>
  <c r="F238" i="1"/>
  <c r="AM237" i="1"/>
  <c r="AJ237" i="1"/>
  <c r="AG237" i="1"/>
  <c r="AD237" i="1"/>
  <c r="AA237" i="1"/>
  <c r="X237" i="1"/>
  <c r="U237" i="1"/>
  <c r="R237" i="1"/>
  <c r="O237" i="1"/>
  <c r="L237" i="1"/>
  <c r="I237" i="1"/>
  <c r="F237" i="1"/>
  <c r="AM236" i="1"/>
  <c r="AJ236" i="1"/>
  <c r="AG236" i="1"/>
  <c r="AD236" i="1"/>
  <c r="AA236" i="1"/>
  <c r="X236" i="1"/>
  <c r="U236" i="1"/>
  <c r="R236" i="1"/>
  <c r="O236" i="1"/>
  <c r="L236" i="1"/>
  <c r="I236" i="1"/>
  <c r="F236" i="1"/>
  <c r="AM235" i="1"/>
  <c r="AJ235" i="1"/>
  <c r="AG235" i="1"/>
  <c r="AD235" i="1"/>
  <c r="AA235" i="1"/>
  <c r="X235" i="1"/>
  <c r="U235" i="1"/>
  <c r="R235" i="1"/>
  <c r="O235" i="1"/>
  <c r="L235" i="1"/>
  <c r="I235" i="1"/>
  <c r="F235" i="1"/>
  <c r="AM234" i="1"/>
  <c r="AJ234" i="1"/>
  <c r="AG234" i="1"/>
  <c r="AD234" i="1"/>
  <c r="AA234" i="1"/>
  <c r="X234" i="1"/>
  <c r="U234" i="1"/>
  <c r="R234" i="1"/>
  <c r="O234" i="1"/>
  <c r="L234" i="1"/>
  <c r="I234" i="1"/>
  <c r="F234" i="1"/>
  <c r="AM233" i="1"/>
  <c r="AJ233" i="1"/>
  <c r="AG233" i="1"/>
  <c r="AD233" i="1"/>
  <c r="AA233" i="1"/>
  <c r="X233" i="1"/>
  <c r="U233" i="1"/>
  <c r="R233" i="1"/>
  <c r="O233" i="1"/>
  <c r="L233" i="1"/>
  <c r="I233" i="1"/>
  <c r="F233" i="1"/>
  <c r="AM232" i="1"/>
  <c r="AJ232" i="1"/>
  <c r="AG232" i="1"/>
  <c r="AD232" i="1"/>
  <c r="AA232" i="1"/>
  <c r="X232" i="1"/>
  <c r="U232" i="1"/>
  <c r="R232" i="1"/>
  <c r="O232" i="1"/>
  <c r="L232" i="1"/>
  <c r="I232" i="1"/>
  <c r="F232" i="1"/>
  <c r="AM231" i="1"/>
  <c r="AJ231" i="1"/>
  <c r="AG231" i="1"/>
  <c r="AD231" i="1"/>
  <c r="AA231" i="1"/>
  <c r="X231" i="1"/>
  <c r="U231" i="1"/>
  <c r="R231" i="1"/>
  <c r="O231" i="1"/>
  <c r="L231" i="1"/>
  <c r="I231" i="1"/>
  <c r="F231" i="1"/>
  <c r="AM230" i="1"/>
  <c r="AJ230" i="1"/>
  <c r="AG230" i="1"/>
  <c r="AD230" i="1"/>
  <c r="AA230" i="1"/>
  <c r="X230" i="1"/>
  <c r="U230" i="1"/>
  <c r="R230" i="1"/>
  <c r="O230" i="1"/>
  <c r="L230" i="1"/>
  <c r="I230" i="1"/>
  <c r="F230" i="1"/>
  <c r="AM229" i="1"/>
  <c r="AJ229" i="1"/>
  <c r="AG229" i="1"/>
  <c r="AD229" i="1"/>
  <c r="AA229" i="1"/>
  <c r="X229" i="1"/>
  <c r="U229" i="1"/>
  <c r="R229" i="1"/>
  <c r="O229" i="1"/>
  <c r="L229" i="1"/>
  <c r="I229" i="1"/>
  <c r="F229" i="1"/>
  <c r="AM228" i="1"/>
  <c r="AJ228" i="1"/>
  <c r="AG228" i="1"/>
  <c r="AD228" i="1"/>
  <c r="AA228" i="1"/>
  <c r="X228" i="1"/>
  <c r="U228" i="1"/>
  <c r="R228" i="1"/>
  <c r="O228" i="1"/>
  <c r="L228" i="1"/>
  <c r="I228" i="1"/>
  <c r="F228" i="1"/>
  <c r="AM227" i="1"/>
  <c r="AJ227" i="1"/>
  <c r="AG227" i="1"/>
  <c r="AD227" i="1"/>
  <c r="AA227" i="1"/>
  <c r="X227" i="1"/>
  <c r="U227" i="1"/>
  <c r="R227" i="1"/>
  <c r="O227" i="1"/>
  <c r="L227" i="1"/>
  <c r="I227" i="1"/>
  <c r="F227" i="1"/>
  <c r="AM226" i="1"/>
  <c r="AJ226" i="1"/>
  <c r="AG226" i="1"/>
  <c r="AD226" i="1"/>
  <c r="AA226" i="1"/>
  <c r="X226" i="1"/>
  <c r="U226" i="1"/>
  <c r="R226" i="1"/>
  <c r="O226" i="1"/>
  <c r="L226" i="1"/>
  <c r="I226" i="1"/>
  <c r="F226" i="1"/>
  <c r="AM225" i="1"/>
  <c r="AJ225" i="1"/>
  <c r="AG225" i="1"/>
  <c r="AD225" i="1"/>
  <c r="AA225" i="1"/>
  <c r="X225" i="1"/>
  <c r="U225" i="1"/>
  <c r="R225" i="1"/>
  <c r="O225" i="1"/>
  <c r="L225" i="1"/>
  <c r="I225" i="1"/>
  <c r="F225" i="1"/>
  <c r="AM224" i="1"/>
  <c r="AJ224" i="1"/>
  <c r="AG224" i="1"/>
  <c r="AD224" i="1"/>
  <c r="AA224" i="1"/>
  <c r="X224" i="1"/>
  <c r="U224" i="1"/>
  <c r="R224" i="1"/>
  <c r="O224" i="1"/>
  <c r="L224" i="1"/>
  <c r="I224" i="1"/>
  <c r="F224" i="1"/>
  <c r="AM223" i="1"/>
  <c r="AJ223" i="1"/>
  <c r="AG223" i="1"/>
  <c r="AD223" i="1"/>
  <c r="AA223" i="1"/>
  <c r="X223" i="1"/>
  <c r="U223" i="1"/>
  <c r="R223" i="1"/>
  <c r="O223" i="1"/>
  <c r="L223" i="1"/>
  <c r="I223" i="1"/>
  <c r="F223" i="1"/>
  <c r="AM222" i="1"/>
  <c r="AJ222" i="1"/>
  <c r="AG222" i="1"/>
  <c r="AD222" i="1"/>
  <c r="AA222" i="1"/>
  <c r="X222" i="1"/>
  <c r="U222" i="1"/>
  <c r="R222" i="1"/>
  <c r="O222" i="1"/>
  <c r="L222" i="1"/>
  <c r="I222" i="1"/>
  <c r="F222" i="1"/>
  <c r="AM221" i="1"/>
  <c r="AJ221" i="1"/>
  <c r="AG221" i="1"/>
  <c r="AD221" i="1"/>
  <c r="AA221" i="1"/>
  <c r="X221" i="1"/>
  <c r="U221" i="1"/>
  <c r="R221" i="1"/>
  <c r="O221" i="1"/>
  <c r="L221" i="1"/>
  <c r="I221" i="1"/>
  <c r="F221" i="1"/>
  <c r="AM220" i="1"/>
  <c r="AJ220" i="1"/>
  <c r="AG220" i="1"/>
  <c r="AD220" i="1"/>
  <c r="AA220" i="1"/>
  <c r="X220" i="1"/>
  <c r="U220" i="1"/>
  <c r="R220" i="1"/>
  <c r="O220" i="1"/>
  <c r="L220" i="1"/>
  <c r="I220" i="1"/>
  <c r="F220" i="1"/>
  <c r="AM219" i="1"/>
  <c r="AJ219" i="1"/>
  <c r="AG219" i="1"/>
  <c r="AD219" i="1"/>
  <c r="AA219" i="1"/>
  <c r="X219" i="1"/>
  <c r="U219" i="1"/>
  <c r="R219" i="1"/>
  <c r="O219" i="1"/>
  <c r="L219" i="1"/>
  <c r="I219" i="1"/>
  <c r="F219" i="1"/>
  <c r="AM218" i="1"/>
  <c r="AJ218" i="1"/>
  <c r="AG218" i="1"/>
  <c r="AD218" i="1"/>
  <c r="AA218" i="1"/>
  <c r="X218" i="1"/>
  <c r="U218" i="1"/>
  <c r="R218" i="1"/>
  <c r="O218" i="1"/>
  <c r="L218" i="1"/>
  <c r="I218" i="1"/>
  <c r="F218" i="1"/>
  <c r="AM217" i="1"/>
  <c r="AJ217" i="1"/>
  <c r="AG217" i="1"/>
  <c r="AD217" i="1"/>
  <c r="AA217" i="1"/>
  <c r="X217" i="1"/>
  <c r="U217" i="1"/>
  <c r="R217" i="1"/>
  <c r="O217" i="1"/>
  <c r="M216" i="1" s="1"/>
  <c r="L217" i="1"/>
  <c r="I217" i="1"/>
  <c r="F217" i="1"/>
  <c r="AM205" i="1"/>
  <c r="AJ205" i="1"/>
  <c r="AG205" i="1"/>
  <c r="AD205" i="1"/>
  <c r="AA205" i="1"/>
  <c r="X205" i="1"/>
  <c r="U205" i="1"/>
  <c r="R205" i="1"/>
  <c r="O205" i="1"/>
  <c r="L205" i="1"/>
  <c r="I205" i="1"/>
  <c r="F205" i="1"/>
  <c r="AM204" i="1"/>
  <c r="AJ204" i="1"/>
  <c r="AG204" i="1"/>
  <c r="AD204" i="1"/>
  <c r="AA204" i="1"/>
  <c r="X204" i="1"/>
  <c r="U204" i="1"/>
  <c r="R204" i="1"/>
  <c r="O204" i="1"/>
  <c r="L204" i="1"/>
  <c r="I204" i="1"/>
  <c r="F204" i="1"/>
  <c r="AM203" i="1"/>
  <c r="AJ203" i="1"/>
  <c r="AG203" i="1"/>
  <c r="AD203" i="1"/>
  <c r="AA203" i="1"/>
  <c r="X203" i="1"/>
  <c r="U203" i="1"/>
  <c r="R203" i="1"/>
  <c r="O203" i="1"/>
  <c r="L203" i="1"/>
  <c r="I203" i="1"/>
  <c r="F203" i="1"/>
  <c r="AM202" i="1"/>
  <c r="AJ202" i="1"/>
  <c r="AG202" i="1"/>
  <c r="AD202" i="1"/>
  <c r="AA202" i="1"/>
  <c r="X202" i="1"/>
  <c r="U202" i="1"/>
  <c r="R202" i="1"/>
  <c r="O202" i="1"/>
  <c r="L202" i="1"/>
  <c r="I202" i="1"/>
  <c r="F202" i="1"/>
  <c r="AM201" i="1"/>
  <c r="AJ201" i="1"/>
  <c r="AG201" i="1"/>
  <c r="AD201" i="1"/>
  <c r="AA201" i="1"/>
  <c r="X201" i="1"/>
  <c r="U201" i="1"/>
  <c r="R201" i="1"/>
  <c r="O201" i="1"/>
  <c r="L201" i="1"/>
  <c r="I201" i="1"/>
  <c r="F201" i="1"/>
  <c r="AM200" i="1"/>
  <c r="AJ200" i="1"/>
  <c r="AG200" i="1"/>
  <c r="AD200" i="1"/>
  <c r="AA200" i="1"/>
  <c r="X200" i="1"/>
  <c r="U200" i="1"/>
  <c r="R200" i="1"/>
  <c r="O200" i="1"/>
  <c r="L200" i="1"/>
  <c r="I200" i="1"/>
  <c r="F200" i="1"/>
  <c r="AM199" i="1"/>
  <c r="AJ199" i="1"/>
  <c r="AG199" i="1"/>
  <c r="AD199" i="1"/>
  <c r="AA199" i="1"/>
  <c r="U199" i="1"/>
  <c r="R199" i="1"/>
  <c r="O199" i="1"/>
  <c r="L199" i="1"/>
  <c r="I199" i="1"/>
  <c r="F199" i="1"/>
  <c r="AM198" i="1"/>
  <c r="AJ198" i="1"/>
  <c r="AG198" i="1"/>
  <c r="AD198" i="1"/>
  <c r="AA198" i="1"/>
  <c r="X198" i="1"/>
  <c r="U198" i="1"/>
  <c r="R198" i="1"/>
  <c r="O198" i="1"/>
  <c r="L198" i="1"/>
  <c r="I198" i="1"/>
  <c r="F198" i="1"/>
  <c r="AM197" i="1"/>
  <c r="AJ197" i="1"/>
  <c r="AG197" i="1"/>
  <c r="AD197" i="1"/>
  <c r="AA197" i="1"/>
  <c r="X197" i="1"/>
  <c r="U197" i="1"/>
  <c r="R197" i="1"/>
  <c r="O197" i="1"/>
  <c r="L197" i="1"/>
  <c r="I197" i="1"/>
  <c r="F197" i="1"/>
  <c r="AM196" i="1"/>
  <c r="AJ196" i="1"/>
  <c r="AG196" i="1"/>
  <c r="AD196" i="1"/>
  <c r="AA196" i="1"/>
  <c r="X196" i="1"/>
  <c r="U196" i="1"/>
  <c r="R196" i="1"/>
  <c r="O196" i="1"/>
  <c r="L196" i="1"/>
  <c r="I196" i="1"/>
  <c r="F196" i="1"/>
  <c r="AM195" i="1"/>
  <c r="AJ195" i="1"/>
  <c r="AG195" i="1"/>
  <c r="AD195" i="1"/>
  <c r="AA195" i="1"/>
  <c r="X195" i="1"/>
  <c r="U195" i="1"/>
  <c r="R195" i="1"/>
  <c r="O195" i="1"/>
  <c r="L195" i="1"/>
  <c r="I195" i="1"/>
  <c r="F195" i="1"/>
  <c r="AM194" i="1"/>
  <c r="AJ194" i="1"/>
  <c r="AG194" i="1"/>
  <c r="AD194" i="1"/>
  <c r="AA194" i="1"/>
  <c r="X194" i="1"/>
  <c r="U194" i="1"/>
  <c r="R194" i="1"/>
  <c r="O194" i="1"/>
  <c r="L194" i="1"/>
  <c r="I194" i="1"/>
  <c r="F194" i="1"/>
  <c r="AM193" i="1"/>
  <c r="AJ193" i="1"/>
  <c r="AG193" i="1"/>
  <c r="AD193" i="1"/>
  <c r="AA193" i="1"/>
  <c r="X193" i="1"/>
  <c r="U193" i="1"/>
  <c r="R193" i="1"/>
  <c r="O193" i="1"/>
  <c r="L193" i="1"/>
  <c r="I193" i="1"/>
  <c r="F193" i="1"/>
  <c r="AM192" i="1"/>
  <c r="AJ192" i="1"/>
  <c r="AG192" i="1"/>
  <c r="AD192" i="1"/>
  <c r="AA192" i="1"/>
  <c r="X192" i="1"/>
  <c r="U192" i="1"/>
  <c r="R192" i="1"/>
  <c r="O192" i="1"/>
  <c r="L192" i="1"/>
  <c r="I192" i="1"/>
  <c r="F192" i="1"/>
  <c r="AM191" i="1"/>
  <c r="AJ191" i="1"/>
  <c r="AG191" i="1"/>
  <c r="AD191" i="1"/>
  <c r="AA191" i="1"/>
  <c r="X191" i="1"/>
  <c r="U191" i="1"/>
  <c r="R191" i="1"/>
  <c r="O191" i="1"/>
  <c r="L191" i="1"/>
  <c r="I191" i="1"/>
  <c r="F191" i="1"/>
  <c r="AM190" i="1"/>
  <c r="AJ190" i="1"/>
  <c r="AG190" i="1"/>
  <c r="AD190" i="1"/>
  <c r="AA190" i="1"/>
  <c r="X190" i="1"/>
  <c r="U190" i="1"/>
  <c r="R190" i="1"/>
  <c r="O190" i="1"/>
  <c r="L190" i="1"/>
  <c r="I190" i="1"/>
  <c r="F190" i="1"/>
  <c r="AM189" i="1"/>
  <c r="AJ189" i="1"/>
  <c r="AG189" i="1"/>
  <c r="AD189" i="1"/>
  <c r="AA189" i="1"/>
  <c r="X189" i="1"/>
  <c r="U189" i="1"/>
  <c r="R189" i="1"/>
  <c r="O189" i="1"/>
  <c r="L189" i="1"/>
  <c r="I189" i="1"/>
  <c r="F189" i="1"/>
  <c r="AM188" i="1"/>
  <c r="AJ188" i="1"/>
  <c r="AG188" i="1"/>
  <c r="AD188" i="1"/>
  <c r="AA188" i="1"/>
  <c r="X188" i="1"/>
  <c r="U188" i="1"/>
  <c r="R188" i="1"/>
  <c r="O188" i="1"/>
  <c r="L188" i="1"/>
  <c r="I188" i="1"/>
  <c r="F188" i="1"/>
  <c r="AM187" i="1"/>
  <c r="AJ187" i="1"/>
  <c r="AG187" i="1"/>
  <c r="AD187" i="1"/>
  <c r="AA187" i="1"/>
  <c r="X187" i="1"/>
  <c r="U187" i="1"/>
  <c r="R187" i="1"/>
  <c r="O187" i="1"/>
  <c r="L187" i="1"/>
  <c r="I187" i="1"/>
  <c r="F187" i="1"/>
  <c r="AM186" i="1"/>
  <c r="AJ186" i="1"/>
  <c r="AG186" i="1"/>
  <c r="AD186" i="1"/>
  <c r="AA186" i="1"/>
  <c r="X186" i="1"/>
  <c r="U186" i="1"/>
  <c r="R186" i="1"/>
  <c r="O186" i="1"/>
  <c r="L186" i="1"/>
  <c r="I186" i="1"/>
  <c r="F186" i="1"/>
  <c r="AM185" i="1"/>
  <c r="AJ185" i="1"/>
  <c r="AG185" i="1"/>
  <c r="AD185" i="1"/>
  <c r="AA185" i="1"/>
  <c r="X185" i="1"/>
  <c r="U185" i="1"/>
  <c r="R185" i="1"/>
  <c r="O185" i="1"/>
  <c r="L185" i="1"/>
  <c r="I185" i="1"/>
  <c r="F185" i="1"/>
  <c r="AM184" i="1"/>
  <c r="AJ184" i="1"/>
  <c r="AG184" i="1"/>
  <c r="AD184" i="1"/>
  <c r="AA184" i="1"/>
  <c r="X184" i="1"/>
  <c r="U184" i="1"/>
  <c r="R184" i="1"/>
  <c r="O184" i="1"/>
  <c r="L184" i="1"/>
  <c r="I184" i="1"/>
  <c r="F184" i="1"/>
  <c r="AM183" i="1"/>
  <c r="AJ183" i="1"/>
  <c r="AG183" i="1"/>
  <c r="AD183" i="1"/>
  <c r="AA183" i="1"/>
  <c r="X183" i="1"/>
  <c r="U183" i="1"/>
  <c r="R183" i="1"/>
  <c r="O183" i="1"/>
  <c r="L183" i="1"/>
  <c r="I183" i="1"/>
  <c r="F183" i="1"/>
  <c r="AM182" i="1"/>
  <c r="AJ182" i="1"/>
  <c r="AG182" i="1"/>
  <c r="AD182" i="1"/>
  <c r="AA182" i="1"/>
  <c r="X182" i="1"/>
  <c r="U182" i="1"/>
  <c r="R182" i="1"/>
  <c r="O182" i="1"/>
  <c r="L182" i="1"/>
  <c r="I182" i="1"/>
  <c r="F182" i="1"/>
  <c r="AM181" i="1"/>
  <c r="AJ181" i="1"/>
  <c r="AG181" i="1"/>
  <c r="AD181" i="1"/>
  <c r="AA181" i="1"/>
  <c r="X181" i="1"/>
  <c r="U181" i="1"/>
  <c r="R181" i="1"/>
  <c r="O181" i="1"/>
  <c r="L181" i="1"/>
  <c r="I181" i="1"/>
  <c r="F181" i="1"/>
  <c r="AM180" i="1"/>
  <c r="AJ180" i="1"/>
  <c r="AG180" i="1"/>
  <c r="AD180" i="1"/>
  <c r="AA180" i="1"/>
  <c r="X180" i="1"/>
  <c r="U180" i="1"/>
  <c r="R180" i="1"/>
  <c r="O180" i="1"/>
  <c r="L180" i="1"/>
  <c r="I180" i="1"/>
  <c r="F180" i="1"/>
  <c r="AM179" i="1"/>
  <c r="AJ179" i="1"/>
  <c r="AG179" i="1"/>
  <c r="AD179" i="1"/>
  <c r="AA179" i="1"/>
  <c r="X179" i="1"/>
  <c r="U179" i="1"/>
  <c r="R179" i="1"/>
  <c r="O179" i="1"/>
  <c r="L179" i="1"/>
  <c r="I179" i="1"/>
  <c r="F179" i="1"/>
  <c r="AM178" i="1"/>
  <c r="AJ178" i="1"/>
  <c r="AG178" i="1"/>
  <c r="AD178" i="1"/>
  <c r="AA178" i="1"/>
  <c r="X178" i="1"/>
  <c r="U178" i="1"/>
  <c r="R178" i="1"/>
  <c r="O178" i="1"/>
  <c r="L178" i="1"/>
  <c r="I178" i="1"/>
  <c r="F178" i="1"/>
  <c r="AM177" i="1"/>
  <c r="AJ177" i="1"/>
  <c r="AG177" i="1"/>
  <c r="AD177" i="1"/>
  <c r="AA177" i="1"/>
  <c r="X177" i="1"/>
  <c r="U177" i="1"/>
  <c r="R177" i="1"/>
  <c r="O177" i="1"/>
  <c r="L177" i="1"/>
  <c r="I177" i="1"/>
  <c r="F177" i="1"/>
  <c r="AM176" i="1"/>
  <c r="AJ176" i="1"/>
  <c r="AG176" i="1"/>
  <c r="AD176" i="1"/>
  <c r="AA176" i="1"/>
  <c r="X176" i="1"/>
  <c r="U176" i="1"/>
  <c r="R176" i="1"/>
  <c r="O176" i="1"/>
  <c r="L176" i="1"/>
  <c r="I176" i="1"/>
  <c r="F176" i="1"/>
  <c r="AM175" i="1"/>
  <c r="AJ175" i="1"/>
  <c r="AG175" i="1"/>
  <c r="AD175" i="1"/>
  <c r="AA175" i="1"/>
  <c r="X175" i="1"/>
  <c r="U175" i="1"/>
  <c r="R175" i="1"/>
  <c r="O175" i="1"/>
  <c r="L175" i="1"/>
  <c r="I175" i="1"/>
  <c r="F175" i="1"/>
  <c r="AM163" i="1"/>
  <c r="AJ163" i="1"/>
  <c r="AG163" i="1"/>
  <c r="AD163" i="1"/>
  <c r="AA163" i="1"/>
  <c r="X163" i="1"/>
  <c r="U163" i="1"/>
  <c r="R163" i="1"/>
  <c r="O163" i="1"/>
  <c r="L163" i="1"/>
  <c r="I163" i="1"/>
  <c r="F163" i="1"/>
  <c r="AM162" i="1"/>
  <c r="AJ162" i="1"/>
  <c r="AG162" i="1"/>
  <c r="AD162" i="1"/>
  <c r="AA162" i="1"/>
  <c r="X162" i="1"/>
  <c r="U162" i="1"/>
  <c r="R162" i="1"/>
  <c r="O162" i="1"/>
  <c r="L162" i="1"/>
  <c r="I162" i="1"/>
  <c r="F162" i="1"/>
  <c r="AM161" i="1"/>
  <c r="AJ161" i="1"/>
  <c r="AG161" i="1"/>
  <c r="AD161" i="1"/>
  <c r="AA161" i="1"/>
  <c r="X161" i="1"/>
  <c r="U161" i="1"/>
  <c r="R161" i="1"/>
  <c r="O161" i="1"/>
  <c r="L161" i="1"/>
  <c r="I161" i="1"/>
  <c r="F161" i="1"/>
  <c r="AM160" i="1"/>
  <c r="AJ160" i="1"/>
  <c r="AG160" i="1"/>
  <c r="AD160" i="1"/>
  <c r="AA160" i="1"/>
  <c r="X160" i="1"/>
  <c r="U160" i="1"/>
  <c r="R160" i="1"/>
  <c r="O160" i="1"/>
  <c r="L160" i="1"/>
  <c r="I160" i="1"/>
  <c r="F160" i="1"/>
  <c r="AM159" i="1"/>
  <c r="AJ159" i="1"/>
  <c r="AG159" i="1"/>
  <c r="AD159" i="1"/>
  <c r="AA159" i="1"/>
  <c r="X159" i="1"/>
  <c r="U159" i="1"/>
  <c r="R159" i="1"/>
  <c r="O159" i="1"/>
  <c r="L159" i="1"/>
  <c r="I159" i="1"/>
  <c r="F159" i="1"/>
  <c r="AM158" i="1"/>
  <c r="AJ158" i="1"/>
  <c r="AG158" i="1"/>
  <c r="AD158" i="1"/>
  <c r="AA158" i="1"/>
  <c r="X158" i="1"/>
  <c r="U158" i="1"/>
  <c r="R158" i="1"/>
  <c r="O158" i="1"/>
  <c r="L158" i="1"/>
  <c r="I158" i="1"/>
  <c r="F158" i="1"/>
  <c r="AM157" i="1"/>
  <c r="AJ157" i="1"/>
  <c r="AG157" i="1"/>
  <c r="AD157" i="1"/>
  <c r="AA157" i="1"/>
  <c r="X157" i="1"/>
  <c r="U157" i="1"/>
  <c r="R157" i="1"/>
  <c r="O157" i="1"/>
  <c r="L157" i="1"/>
  <c r="I157" i="1"/>
  <c r="F157" i="1"/>
  <c r="AM156" i="1"/>
  <c r="AJ156" i="1"/>
  <c r="AG156" i="1"/>
  <c r="AD156" i="1"/>
  <c r="AA156" i="1"/>
  <c r="X156" i="1"/>
  <c r="U156" i="1"/>
  <c r="R156" i="1"/>
  <c r="O156" i="1"/>
  <c r="L156" i="1"/>
  <c r="I156" i="1"/>
  <c r="F156" i="1"/>
  <c r="AM155" i="1"/>
  <c r="AJ155" i="1"/>
  <c r="AG155" i="1"/>
  <c r="AD155" i="1"/>
  <c r="AA155" i="1"/>
  <c r="X155" i="1"/>
  <c r="U155" i="1"/>
  <c r="R155" i="1"/>
  <c r="O155" i="1"/>
  <c r="L155" i="1"/>
  <c r="I155" i="1"/>
  <c r="F155" i="1"/>
  <c r="AM154" i="1"/>
  <c r="AJ154" i="1"/>
  <c r="AG154" i="1"/>
  <c r="AD154" i="1"/>
  <c r="AA154" i="1"/>
  <c r="X154" i="1"/>
  <c r="U154" i="1"/>
  <c r="R154" i="1"/>
  <c r="O154" i="1"/>
  <c r="L154" i="1"/>
  <c r="I154" i="1"/>
  <c r="F154" i="1"/>
  <c r="AM153" i="1"/>
  <c r="AJ153" i="1"/>
  <c r="AG153" i="1"/>
  <c r="AD153" i="1"/>
  <c r="AA153" i="1"/>
  <c r="X153" i="1"/>
  <c r="U153" i="1"/>
  <c r="R153" i="1"/>
  <c r="O153" i="1"/>
  <c r="L153" i="1"/>
  <c r="I153" i="1"/>
  <c r="F153" i="1"/>
  <c r="AM152" i="1"/>
  <c r="AJ152" i="1"/>
  <c r="AG152" i="1"/>
  <c r="AD152" i="1"/>
  <c r="AA152" i="1"/>
  <c r="X152" i="1"/>
  <c r="U152" i="1"/>
  <c r="R152" i="1"/>
  <c r="O152" i="1"/>
  <c r="L152" i="1"/>
  <c r="I152" i="1"/>
  <c r="F152" i="1"/>
  <c r="AM151" i="1"/>
  <c r="AJ151" i="1"/>
  <c r="AG151" i="1"/>
  <c r="AD151" i="1"/>
  <c r="AA151" i="1"/>
  <c r="X151" i="1"/>
  <c r="U151" i="1"/>
  <c r="R151" i="1"/>
  <c r="O151" i="1"/>
  <c r="L151" i="1"/>
  <c r="I151" i="1"/>
  <c r="AM150" i="1"/>
  <c r="AJ150" i="1"/>
  <c r="AG150" i="1"/>
  <c r="AD150" i="1"/>
  <c r="AA150" i="1"/>
  <c r="X150" i="1"/>
  <c r="U150" i="1"/>
  <c r="R150" i="1"/>
  <c r="O150" i="1"/>
  <c r="L150" i="1"/>
  <c r="I150" i="1"/>
  <c r="F150" i="1"/>
  <c r="AM149" i="1"/>
  <c r="AJ149" i="1"/>
  <c r="AG149" i="1"/>
  <c r="AD149" i="1"/>
  <c r="AA149" i="1"/>
  <c r="X149" i="1"/>
  <c r="U149" i="1"/>
  <c r="R149" i="1"/>
  <c r="O149" i="1"/>
  <c r="L149" i="1"/>
  <c r="I149" i="1"/>
  <c r="F149" i="1"/>
  <c r="AM148" i="1"/>
  <c r="AJ148" i="1"/>
  <c r="AG148" i="1"/>
  <c r="AD148" i="1"/>
  <c r="AA148" i="1"/>
  <c r="X148" i="1"/>
  <c r="U148" i="1"/>
  <c r="R148" i="1"/>
  <c r="O148" i="1"/>
  <c r="L148" i="1"/>
  <c r="I148" i="1"/>
  <c r="F148" i="1"/>
  <c r="AM147" i="1"/>
  <c r="AJ147" i="1"/>
  <c r="AG147" i="1"/>
  <c r="AD147" i="1"/>
  <c r="AA147" i="1"/>
  <c r="X147" i="1"/>
  <c r="U147" i="1"/>
  <c r="R147" i="1"/>
  <c r="O147" i="1"/>
  <c r="L147" i="1"/>
  <c r="I147" i="1"/>
  <c r="F147" i="1"/>
  <c r="AM146" i="1"/>
  <c r="AJ146" i="1"/>
  <c r="AG146" i="1"/>
  <c r="AD146" i="1"/>
  <c r="AA146" i="1"/>
  <c r="X146" i="1"/>
  <c r="U146" i="1"/>
  <c r="R146" i="1"/>
  <c r="O146" i="1"/>
  <c r="L146" i="1"/>
  <c r="F146" i="1"/>
  <c r="AM145" i="1"/>
  <c r="AJ145" i="1"/>
  <c r="AG145" i="1"/>
  <c r="AD145" i="1"/>
  <c r="AA145" i="1"/>
  <c r="X145" i="1"/>
  <c r="U145" i="1"/>
  <c r="R145" i="1"/>
  <c r="O145" i="1"/>
  <c r="L145" i="1"/>
  <c r="I145" i="1"/>
  <c r="F145" i="1"/>
  <c r="AM144" i="1"/>
  <c r="AJ144" i="1"/>
  <c r="AG144" i="1"/>
  <c r="AD144" i="1"/>
  <c r="AA144" i="1"/>
  <c r="X144" i="1"/>
  <c r="U144" i="1"/>
  <c r="R144" i="1"/>
  <c r="O144" i="1"/>
  <c r="L144" i="1"/>
  <c r="I144" i="1"/>
  <c r="F144" i="1"/>
  <c r="AM143" i="1"/>
  <c r="AJ143" i="1"/>
  <c r="AG143" i="1"/>
  <c r="AD143" i="1"/>
  <c r="AA143" i="1"/>
  <c r="X143" i="1"/>
  <c r="U143" i="1"/>
  <c r="R143" i="1"/>
  <c r="O143" i="1"/>
  <c r="L143" i="1"/>
  <c r="I143" i="1"/>
  <c r="F143" i="1"/>
  <c r="AM142" i="1"/>
  <c r="AJ142" i="1"/>
  <c r="AG142" i="1"/>
  <c r="AD142" i="1"/>
  <c r="AA142" i="1"/>
  <c r="X142" i="1"/>
  <c r="U142" i="1"/>
  <c r="R142" i="1"/>
  <c r="O142" i="1"/>
  <c r="L142" i="1"/>
  <c r="I142" i="1"/>
  <c r="F142" i="1"/>
  <c r="AM141" i="1"/>
  <c r="AJ141" i="1"/>
  <c r="AG141" i="1"/>
  <c r="AD141" i="1"/>
  <c r="AA141" i="1"/>
  <c r="X141" i="1"/>
  <c r="U141" i="1"/>
  <c r="R141" i="1"/>
  <c r="O141" i="1"/>
  <c r="L141" i="1"/>
  <c r="I141" i="1"/>
  <c r="F141" i="1"/>
  <c r="AM140" i="1"/>
  <c r="AJ140" i="1"/>
  <c r="AG140" i="1"/>
  <c r="AD140" i="1"/>
  <c r="AA140" i="1"/>
  <c r="X140" i="1"/>
  <c r="U140" i="1"/>
  <c r="R140" i="1"/>
  <c r="O140" i="1"/>
  <c r="L140" i="1"/>
  <c r="I140" i="1"/>
  <c r="F140" i="1"/>
  <c r="AM139" i="1"/>
  <c r="AJ139" i="1"/>
  <c r="AG139" i="1"/>
  <c r="AD139" i="1"/>
  <c r="AA139" i="1"/>
  <c r="X139" i="1"/>
  <c r="U139" i="1"/>
  <c r="R139" i="1"/>
  <c r="O139" i="1"/>
  <c r="L139" i="1"/>
  <c r="I139" i="1"/>
  <c r="F139" i="1"/>
  <c r="AM138" i="1"/>
  <c r="AJ138" i="1"/>
  <c r="AG138" i="1"/>
  <c r="AD138" i="1"/>
  <c r="AA138" i="1"/>
  <c r="X138" i="1"/>
  <c r="U138" i="1"/>
  <c r="R138" i="1"/>
  <c r="O138" i="1"/>
  <c r="L138" i="1"/>
  <c r="I138" i="1"/>
  <c r="F138" i="1"/>
  <c r="AM137" i="1"/>
  <c r="AJ137" i="1"/>
  <c r="AG137" i="1"/>
  <c r="AD137" i="1"/>
  <c r="AA137" i="1"/>
  <c r="X137" i="1"/>
  <c r="U137" i="1"/>
  <c r="R137" i="1"/>
  <c r="O137" i="1"/>
  <c r="L137" i="1"/>
  <c r="I137" i="1"/>
  <c r="F137" i="1"/>
  <c r="AM136" i="1"/>
  <c r="AJ136" i="1"/>
  <c r="AG136" i="1"/>
  <c r="AD136" i="1"/>
  <c r="AA136" i="1"/>
  <c r="X136" i="1"/>
  <c r="U136" i="1"/>
  <c r="R136" i="1"/>
  <c r="O136" i="1"/>
  <c r="L136" i="1"/>
  <c r="I136" i="1"/>
  <c r="F136" i="1"/>
  <c r="AM135" i="1"/>
  <c r="AJ135" i="1"/>
  <c r="AG135" i="1"/>
  <c r="AD135" i="1"/>
  <c r="AA135" i="1"/>
  <c r="X135" i="1"/>
  <c r="U135" i="1"/>
  <c r="R135" i="1"/>
  <c r="O135" i="1"/>
  <c r="L135" i="1"/>
  <c r="I135" i="1"/>
  <c r="F135" i="1"/>
  <c r="AM134" i="1"/>
  <c r="AJ134" i="1"/>
  <c r="AG134" i="1"/>
  <c r="AD134" i="1"/>
  <c r="AA134" i="1"/>
  <c r="X134" i="1"/>
  <c r="U134" i="1"/>
  <c r="R134" i="1"/>
  <c r="O134" i="1"/>
  <c r="L134" i="1"/>
  <c r="I134" i="1"/>
  <c r="F134" i="1"/>
  <c r="AM133" i="1"/>
  <c r="AJ133" i="1"/>
  <c r="AG133" i="1"/>
  <c r="AD133" i="1"/>
  <c r="AA133" i="1"/>
  <c r="X133" i="1"/>
  <c r="U133" i="1"/>
  <c r="R133" i="1"/>
  <c r="O133" i="1"/>
  <c r="L133" i="1"/>
  <c r="I133" i="1"/>
  <c r="F133" i="1"/>
  <c r="AM121" i="1"/>
  <c r="AJ121" i="1"/>
  <c r="AG121" i="1"/>
  <c r="AD121" i="1"/>
  <c r="AA121" i="1"/>
  <c r="X121" i="1"/>
  <c r="R121" i="1"/>
  <c r="O121" i="1"/>
  <c r="L121" i="1"/>
  <c r="I121" i="1"/>
  <c r="F121" i="1"/>
  <c r="AM120" i="1"/>
  <c r="AJ120" i="1"/>
  <c r="AG120" i="1"/>
  <c r="AD120" i="1"/>
  <c r="AA120" i="1"/>
  <c r="X120" i="1"/>
  <c r="R120" i="1"/>
  <c r="O120" i="1"/>
  <c r="L120" i="1"/>
  <c r="I120" i="1"/>
  <c r="F120" i="1"/>
  <c r="AM119" i="1"/>
  <c r="AJ119" i="1"/>
  <c r="AG119" i="1"/>
  <c r="AD119" i="1"/>
  <c r="AA119" i="1"/>
  <c r="X119" i="1"/>
  <c r="R119" i="1"/>
  <c r="O119" i="1"/>
  <c r="L119" i="1"/>
  <c r="I119" i="1"/>
  <c r="F119" i="1"/>
  <c r="AM118" i="1"/>
  <c r="AJ118" i="1"/>
  <c r="AG118" i="1"/>
  <c r="AD118" i="1"/>
  <c r="AA118" i="1"/>
  <c r="X118" i="1"/>
  <c r="R118" i="1"/>
  <c r="O118" i="1"/>
  <c r="L118" i="1"/>
  <c r="I118" i="1"/>
  <c r="F118" i="1"/>
  <c r="AM117" i="1"/>
  <c r="AJ117" i="1"/>
  <c r="AG117" i="1"/>
  <c r="AD117" i="1"/>
  <c r="AA117" i="1"/>
  <c r="X117" i="1"/>
  <c r="R117" i="1"/>
  <c r="O117" i="1"/>
  <c r="L117" i="1"/>
  <c r="I117" i="1"/>
  <c r="F117" i="1"/>
  <c r="AM116" i="1"/>
  <c r="AJ116" i="1"/>
  <c r="AG116" i="1"/>
  <c r="AD116" i="1"/>
  <c r="AA116" i="1"/>
  <c r="X116" i="1"/>
  <c r="R116" i="1"/>
  <c r="O116" i="1"/>
  <c r="L116" i="1"/>
  <c r="I116" i="1"/>
  <c r="F116" i="1"/>
  <c r="AM115" i="1"/>
  <c r="AJ115" i="1"/>
  <c r="AG115" i="1"/>
  <c r="AD115" i="1"/>
  <c r="AA115" i="1"/>
  <c r="X115" i="1"/>
  <c r="R115" i="1"/>
  <c r="O115" i="1"/>
  <c r="L115" i="1"/>
  <c r="I115" i="1"/>
  <c r="F115" i="1"/>
  <c r="AM114" i="1"/>
  <c r="AJ114" i="1"/>
  <c r="AG114" i="1"/>
  <c r="AD114" i="1"/>
  <c r="AA114" i="1"/>
  <c r="X114" i="1"/>
  <c r="R114" i="1"/>
  <c r="O114" i="1"/>
  <c r="L114" i="1"/>
  <c r="I114" i="1"/>
  <c r="F114" i="1"/>
  <c r="AM113" i="1"/>
  <c r="AJ113" i="1"/>
  <c r="AG113" i="1"/>
  <c r="AD113" i="1"/>
  <c r="AA113" i="1"/>
  <c r="X113" i="1"/>
  <c r="R113" i="1"/>
  <c r="O113" i="1"/>
  <c r="L113" i="1"/>
  <c r="I113" i="1"/>
  <c r="F113" i="1"/>
  <c r="AM112" i="1"/>
  <c r="AJ112" i="1"/>
  <c r="AG112" i="1"/>
  <c r="AD112" i="1"/>
  <c r="AA112" i="1"/>
  <c r="X112" i="1"/>
  <c r="R112" i="1"/>
  <c r="O112" i="1"/>
  <c r="L112" i="1"/>
  <c r="I112" i="1"/>
  <c r="F112" i="1"/>
  <c r="AM111" i="1"/>
  <c r="AJ111" i="1"/>
  <c r="AG111" i="1"/>
  <c r="AD111" i="1"/>
  <c r="AA111" i="1"/>
  <c r="X111" i="1"/>
  <c r="R111" i="1"/>
  <c r="O111" i="1"/>
  <c r="L111" i="1"/>
  <c r="I111" i="1"/>
  <c r="F111" i="1"/>
  <c r="AM110" i="1"/>
  <c r="AJ110" i="1"/>
  <c r="AG110" i="1"/>
  <c r="AD110" i="1"/>
  <c r="AA110" i="1"/>
  <c r="X110" i="1"/>
  <c r="R110" i="1"/>
  <c r="O110" i="1"/>
  <c r="L110" i="1"/>
  <c r="I110" i="1"/>
  <c r="F110" i="1"/>
  <c r="AM109" i="1"/>
  <c r="AJ109" i="1"/>
  <c r="AG109" i="1"/>
  <c r="AD109" i="1"/>
  <c r="AA109" i="1"/>
  <c r="X109" i="1"/>
  <c r="R109" i="1"/>
  <c r="O109" i="1"/>
  <c r="L109" i="1"/>
  <c r="I109" i="1"/>
  <c r="F109" i="1"/>
  <c r="AM108" i="1"/>
  <c r="AJ108" i="1"/>
  <c r="AG108" i="1"/>
  <c r="AD108" i="1"/>
  <c r="AA108" i="1"/>
  <c r="X108" i="1"/>
  <c r="R108" i="1"/>
  <c r="O108" i="1"/>
  <c r="L108" i="1"/>
  <c r="I108" i="1"/>
  <c r="F108" i="1"/>
  <c r="AM107" i="1"/>
  <c r="AJ107" i="1"/>
  <c r="AG107" i="1"/>
  <c r="AD107" i="1"/>
  <c r="AA107" i="1"/>
  <c r="X107" i="1"/>
  <c r="R107" i="1"/>
  <c r="O107" i="1"/>
  <c r="L107" i="1"/>
  <c r="I107" i="1"/>
  <c r="F107" i="1"/>
  <c r="AM106" i="1"/>
  <c r="AJ106" i="1"/>
  <c r="AG106" i="1"/>
  <c r="AD106" i="1"/>
  <c r="AA106" i="1"/>
  <c r="X106" i="1"/>
  <c r="R106" i="1"/>
  <c r="O106" i="1"/>
  <c r="L106" i="1"/>
  <c r="I106" i="1"/>
  <c r="F106" i="1"/>
  <c r="AM105" i="1"/>
  <c r="AJ105" i="1"/>
  <c r="AG105" i="1"/>
  <c r="AD105" i="1"/>
  <c r="AA105" i="1"/>
  <c r="X105" i="1"/>
  <c r="R105" i="1"/>
  <c r="O105" i="1"/>
  <c r="L105" i="1"/>
  <c r="I105" i="1"/>
  <c r="F105" i="1"/>
  <c r="AJ104" i="1"/>
  <c r="AG104" i="1"/>
  <c r="AD104" i="1"/>
  <c r="AA104" i="1"/>
  <c r="X104" i="1"/>
  <c r="R104" i="1"/>
  <c r="O104" i="1"/>
  <c r="L104" i="1"/>
  <c r="I104" i="1"/>
  <c r="F104" i="1"/>
  <c r="AM103" i="1"/>
  <c r="AJ103" i="1"/>
  <c r="AG103" i="1"/>
  <c r="AD103" i="1"/>
  <c r="AA103" i="1"/>
  <c r="X103" i="1"/>
  <c r="R103" i="1"/>
  <c r="O103" i="1"/>
  <c r="L103" i="1"/>
  <c r="I103" i="1"/>
  <c r="F103" i="1"/>
  <c r="AM102" i="1"/>
  <c r="AJ102" i="1"/>
  <c r="AG102" i="1"/>
  <c r="AD102" i="1"/>
  <c r="AA102" i="1"/>
  <c r="X102" i="1"/>
  <c r="R102" i="1"/>
  <c r="O102" i="1"/>
  <c r="L102" i="1"/>
  <c r="I102" i="1"/>
  <c r="F102" i="1"/>
  <c r="AM101" i="1"/>
  <c r="AJ101" i="1"/>
  <c r="AG101" i="1"/>
  <c r="AD101" i="1"/>
  <c r="AA101" i="1"/>
  <c r="X101" i="1"/>
  <c r="R101" i="1"/>
  <c r="O101" i="1"/>
  <c r="L101" i="1"/>
  <c r="F101" i="1"/>
  <c r="AM100" i="1"/>
  <c r="AJ100" i="1"/>
  <c r="AG100" i="1"/>
  <c r="AD100" i="1"/>
  <c r="AA100" i="1"/>
  <c r="X100" i="1"/>
  <c r="R100" i="1"/>
  <c r="O100" i="1"/>
  <c r="L100" i="1"/>
  <c r="I100" i="1"/>
  <c r="F100" i="1"/>
  <c r="AM99" i="1"/>
  <c r="AJ99" i="1"/>
  <c r="AG99" i="1"/>
  <c r="AD99" i="1"/>
  <c r="AA99" i="1"/>
  <c r="X99" i="1"/>
  <c r="R99" i="1"/>
  <c r="O99" i="1"/>
  <c r="L99" i="1"/>
  <c r="I99" i="1"/>
  <c r="F99" i="1"/>
  <c r="AM98" i="1"/>
  <c r="AJ98" i="1"/>
  <c r="AG98" i="1"/>
  <c r="AD98" i="1"/>
  <c r="AA98" i="1"/>
  <c r="X98" i="1"/>
  <c r="R98" i="1"/>
  <c r="O98" i="1"/>
  <c r="L98" i="1"/>
  <c r="I98" i="1"/>
  <c r="F98" i="1"/>
  <c r="AM97" i="1"/>
  <c r="AJ97" i="1"/>
  <c r="AG97" i="1"/>
  <c r="AD97" i="1"/>
  <c r="AA97" i="1"/>
  <c r="X97" i="1"/>
  <c r="R97" i="1"/>
  <c r="O97" i="1"/>
  <c r="L97" i="1"/>
  <c r="I97" i="1"/>
  <c r="F97" i="1"/>
  <c r="AM96" i="1"/>
  <c r="AJ96" i="1"/>
  <c r="AG96" i="1"/>
  <c r="AD96" i="1"/>
  <c r="AA96" i="1"/>
  <c r="X96" i="1"/>
  <c r="R96" i="1"/>
  <c r="O96" i="1"/>
  <c r="L96" i="1"/>
  <c r="I96" i="1"/>
  <c r="F96" i="1"/>
  <c r="AM95" i="1"/>
  <c r="AJ95" i="1"/>
  <c r="AG95" i="1"/>
  <c r="AD95" i="1"/>
  <c r="AA95" i="1"/>
  <c r="X95" i="1"/>
  <c r="R95" i="1"/>
  <c r="O95" i="1"/>
  <c r="L95" i="1"/>
  <c r="I95" i="1"/>
  <c r="F95" i="1"/>
  <c r="AM94" i="1"/>
  <c r="AJ94" i="1"/>
  <c r="AG94" i="1"/>
  <c r="AD94" i="1"/>
  <c r="AA94" i="1"/>
  <c r="X94" i="1"/>
  <c r="R94" i="1"/>
  <c r="O94" i="1"/>
  <c r="L94" i="1"/>
  <c r="I94" i="1"/>
  <c r="F94" i="1"/>
  <c r="AM93" i="1"/>
  <c r="AJ93" i="1"/>
  <c r="AG93" i="1"/>
  <c r="AD93" i="1"/>
  <c r="AA93" i="1"/>
  <c r="X93" i="1"/>
  <c r="R93" i="1"/>
  <c r="O93" i="1"/>
  <c r="L93" i="1"/>
  <c r="I93" i="1"/>
  <c r="F93" i="1"/>
  <c r="AM92" i="1"/>
  <c r="AJ92" i="1"/>
  <c r="AG92" i="1"/>
  <c r="AD92" i="1"/>
  <c r="AA92" i="1"/>
  <c r="X92" i="1"/>
  <c r="R92" i="1"/>
  <c r="O92" i="1"/>
  <c r="L92" i="1"/>
  <c r="I92" i="1"/>
  <c r="F92" i="1"/>
  <c r="AM91" i="1"/>
  <c r="AJ91" i="1"/>
  <c r="AG91" i="1"/>
  <c r="AD91" i="1"/>
  <c r="AA91" i="1"/>
  <c r="X91" i="1"/>
  <c r="R91" i="1"/>
  <c r="O91" i="1"/>
  <c r="L91" i="1"/>
  <c r="I91" i="1"/>
  <c r="F91" i="1"/>
  <c r="AM79" i="1"/>
  <c r="AJ79" i="1"/>
  <c r="AG79" i="1"/>
  <c r="AD79" i="1"/>
  <c r="AA79" i="1"/>
  <c r="X79" i="1"/>
  <c r="U79" i="1"/>
  <c r="R79" i="1"/>
  <c r="L79" i="1"/>
  <c r="I79" i="1"/>
  <c r="F79" i="1"/>
  <c r="AM78" i="1"/>
  <c r="AJ78" i="1"/>
  <c r="AG78" i="1"/>
  <c r="AD78" i="1"/>
  <c r="AA78" i="1"/>
  <c r="X78" i="1"/>
  <c r="U78" i="1"/>
  <c r="R78" i="1"/>
  <c r="L78" i="1"/>
  <c r="I78" i="1"/>
  <c r="F78" i="1"/>
  <c r="AM77" i="1"/>
  <c r="AJ77" i="1"/>
  <c r="AG77" i="1"/>
  <c r="AD77" i="1"/>
  <c r="AA77" i="1"/>
  <c r="X77" i="1"/>
  <c r="U77" i="1"/>
  <c r="R77" i="1"/>
  <c r="L77" i="1"/>
  <c r="I77" i="1"/>
  <c r="F77" i="1"/>
  <c r="AM76" i="1"/>
  <c r="AJ76" i="1"/>
  <c r="AG76" i="1"/>
  <c r="AD76" i="1"/>
  <c r="AA76" i="1"/>
  <c r="X76" i="1"/>
  <c r="U76" i="1"/>
  <c r="R76" i="1"/>
  <c r="L76" i="1"/>
  <c r="I76" i="1"/>
  <c r="F76" i="1"/>
  <c r="AM75" i="1"/>
  <c r="AJ75" i="1"/>
  <c r="AG75" i="1"/>
  <c r="AD75" i="1"/>
  <c r="AA75" i="1"/>
  <c r="X75" i="1"/>
  <c r="U75" i="1"/>
  <c r="R75" i="1"/>
  <c r="L75" i="1"/>
  <c r="I75" i="1"/>
  <c r="F75" i="1"/>
  <c r="AM74" i="1"/>
  <c r="AJ74" i="1"/>
  <c r="AG74" i="1"/>
  <c r="AD74" i="1"/>
  <c r="AA74" i="1"/>
  <c r="X74" i="1"/>
  <c r="U74" i="1"/>
  <c r="R74" i="1"/>
  <c r="L74" i="1"/>
  <c r="I74" i="1"/>
  <c r="F74" i="1"/>
  <c r="AM73" i="1"/>
  <c r="AJ73" i="1"/>
  <c r="AG73" i="1"/>
  <c r="AD73" i="1"/>
  <c r="AA73" i="1"/>
  <c r="X73" i="1"/>
  <c r="U73" i="1"/>
  <c r="R73" i="1"/>
  <c r="L73" i="1"/>
  <c r="I73" i="1"/>
  <c r="AM72" i="1"/>
  <c r="AJ72" i="1"/>
  <c r="AG72" i="1"/>
  <c r="AD72" i="1"/>
  <c r="AA72" i="1"/>
  <c r="X72" i="1"/>
  <c r="U72" i="1"/>
  <c r="R72" i="1"/>
  <c r="L72" i="1"/>
  <c r="I72" i="1"/>
  <c r="F72" i="1"/>
  <c r="AM71" i="1"/>
  <c r="AJ71" i="1"/>
  <c r="AG71" i="1"/>
  <c r="AD71" i="1"/>
  <c r="AA71" i="1"/>
  <c r="X71" i="1"/>
  <c r="U71" i="1"/>
  <c r="R71" i="1"/>
  <c r="L71" i="1"/>
  <c r="I71" i="1"/>
  <c r="F71" i="1"/>
  <c r="AM70" i="1"/>
  <c r="AJ70" i="1"/>
  <c r="AG70" i="1"/>
  <c r="AD70" i="1"/>
  <c r="AA70" i="1"/>
  <c r="X70" i="1"/>
  <c r="U70" i="1"/>
  <c r="R70" i="1"/>
  <c r="L70" i="1"/>
  <c r="I70" i="1"/>
  <c r="F70" i="1"/>
  <c r="AM69" i="1"/>
  <c r="AJ69" i="1"/>
  <c r="AG69" i="1"/>
  <c r="AD69" i="1"/>
  <c r="AA69" i="1"/>
  <c r="X69" i="1"/>
  <c r="U69" i="1"/>
  <c r="R69" i="1"/>
  <c r="L69" i="1"/>
  <c r="I69" i="1"/>
  <c r="F69" i="1"/>
  <c r="AM68" i="1"/>
  <c r="AJ68" i="1"/>
  <c r="AG68" i="1"/>
  <c r="AD68" i="1"/>
  <c r="AA68" i="1"/>
  <c r="X68" i="1"/>
  <c r="U68" i="1"/>
  <c r="R68" i="1"/>
  <c r="L68" i="1"/>
  <c r="I68" i="1"/>
  <c r="F68" i="1"/>
  <c r="AM67" i="1"/>
  <c r="AJ67" i="1"/>
  <c r="AG67" i="1"/>
  <c r="AD67" i="1"/>
  <c r="AA67" i="1"/>
  <c r="X67" i="1"/>
  <c r="R67" i="1"/>
  <c r="L67" i="1"/>
  <c r="I67" i="1"/>
  <c r="F67" i="1"/>
  <c r="AM66" i="1"/>
  <c r="AJ66" i="1"/>
  <c r="AG66" i="1"/>
  <c r="AD66" i="1"/>
  <c r="AA66" i="1"/>
  <c r="X66" i="1"/>
  <c r="U66" i="1"/>
  <c r="R66" i="1"/>
  <c r="L66" i="1"/>
  <c r="I66" i="1"/>
  <c r="F66" i="1"/>
  <c r="AM65" i="1"/>
  <c r="AJ65" i="1"/>
  <c r="AG65" i="1"/>
  <c r="AD65" i="1"/>
  <c r="AA65" i="1"/>
  <c r="X65" i="1"/>
  <c r="U65" i="1"/>
  <c r="R65" i="1"/>
  <c r="L65" i="1"/>
  <c r="I65" i="1"/>
  <c r="F65" i="1"/>
  <c r="AM64" i="1"/>
  <c r="AJ64" i="1"/>
  <c r="AG64" i="1"/>
  <c r="AD64" i="1"/>
  <c r="AA64" i="1"/>
  <c r="X64" i="1"/>
  <c r="U64" i="1"/>
  <c r="R64" i="1"/>
  <c r="L64" i="1"/>
  <c r="I64" i="1"/>
  <c r="F64" i="1"/>
  <c r="AM63" i="1"/>
  <c r="AJ63" i="1"/>
  <c r="AG63" i="1"/>
  <c r="AD63" i="1"/>
  <c r="AA63" i="1"/>
  <c r="X63" i="1"/>
  <c r="U63" i="1"/>
  <c r="R63" i="1"/>
  <c r="L63" i="1"/>
  <c r="I63" i="1"/>
  <c r="F63" i="1"/>
  <c r="AM62" i="1"/>
  <c r="AJ62" i="1"/>
  <c r="AG62" i="1"/>
  <c r="AD62" i="1"/>
  <c r="AA62" i="1"/>
  <c r="X62" i="1"/>
  <c r="U62" i="1"/>
  <c r="R62" i="1"/>
  <c r="L62" i="1"/>
  <c r="I62" i="1"/>
  <c r="F62" i="1"/>
  <c r="AM61" i="1"/>
  <c r="AJ61" i="1"/>
  <c r="AG61" i="1"/>
  <c r="AD61" i="1"/>
  <c r="AA61" i="1"/>
  <c r="X61" i="1"/>
  <c r="U61" i="1"/>
  <c r="R61" i="1"/>
  <c r="L61" i="1"/>
  <c r="I61" i="1"/>
  <c r="F61" i="1"/>
  <c r="AM60" i="1"/>
  <c r="AJ60" i="1"/>
  <c r="AG60" i="1"/>
  <c r="AD60" i="1"/>
  <c r="AA60" i="1"/>
  <c r="X60" i="1"/>
  <c r="U60" i="1"/>
  <c r="R60" i="1"/>
  <c r="L60" i="1"/>
  <c r="I60" i="1"/>
  <c r="F60" i="1"/>
  <c r="AM59" i="1"/>
  <c r="AJ59" i="1"/>
  <c r="AG59" i="1"/>
  <c r="AD59" i="1"/>
  <c r="AA59" i="1"/>
  <c r="X59" i="1"/>
  <c r="U59" i="1"/>
  <c r="R59" i="1"/>
  <c r="L59" i="1"/>
  <c r="I59" i="1"/>
  <c r="F59" i="1"/>
  <c r="AM58" i="1"/>
  <c r="AJ58" i="1"/>
  <c r="AG58" i="1"/>
  <c r="AD58" i="1"/>
  <c r="AA58" i="1"/>
  <c r="X58" i="1"/>
  <c r="U58" i="1"/>
  <c r="L58" i="1"/>
  <c r="I58" i="1"/>
  <c r="F58" i="1"/>
  <c r="AM57" i="1"/>
  <c r="AJ57" i="1"/>
  <c r="AG57" i="1"/>
  <c r="AD57" i="1"/>
  <c r="AA57" i="1"/>
  <c r="X57" i="1"/>
  <c r="U57" i="1"/>
  <c r="R57" i="1"/>
  <c r="L57" i="1"/>
  <c r="I57" i="1"/>
  <c r="F57" i="1"/>
  <c r="AM56" i="1"/>
  <c r="AJ56" i="1"/>
  <c r="AG56" i="1"/>
  <c r="AD56" i="1"/>
  <c r="AA56" i="1"/>
  <c r="X56" i="1"/>
  <c r="U56" i="1"/>
  <c r="R56" i="1"/>
  <c r="L56" i="1"/>
  <c r="F56" i="1"/>
  <c r="AM55" i="1"/>
  <c r="AJ55" i="1"/>
  <c r="AG55" i="1"/>
  <c r="AD55" i="1"/>
  <c r="AA55" i="1"/>
  <c r="X55" i="1"/>
  <c r="U55" i="1"/>
  <c r="R55" i="1"/>
  <c r="L55" i="1"/>
  <c r="I55" i="1"/>
  <c r="F55" i="1"/>
  <c r="AM54" i="1"/>
  <c r="AJ54" i="1"/>
  <c r="AG54" i="1"/>
  <c r="AD54" i="1"/>
  <c r="AA54" i="1"/>
  <c r="X54" i="1"/>
  <c r="U54" i="1"/>
  <c r="R54" i="1"/>
  <c r="L54" i="1"/>
  <c r="I54" i="1"/>
  <c r="F54" i="1"/>
  <c r="AM53" i="1"/>
  <c r="AJ53" i="1"/>
  <c r="AG53" i="1"/>
  <c r="AD53" i="1"/>
  <c r="AA53" i="1"/>
  <c r="X53" i="1"/>
  <c r="U53" i="1"/>
  <c r="R53" i="1"/>
  <c r="L53" i="1"/>
  <c r="I53" i="1"/>
  <c r="F53" i="1"/>
  <c r="AM52" i="1"/>
  <c r="AJ52" i="1"/>
  <c r="AG52" i="1"/>
  <c r="AD52" i="1"/>
  <c r="AA52" i="1"/>
  <c r="X52" i="1"/>
  <c r="U52" i="1"/>
  <c r="R52" i="1"/>
  <c r="L52" i="1"/>
  <c r="I52" i="1"/>
  <c r="F52" i="1"/>
  <c r="AM51" i="1"/>
  <c r="AJ51" i="1"/>
  <c r="AG51" i="1"/>
  <c r="AD51" i="1"/>
  <c r="AA51" i="1"/>
  <c r="X51" i="1"/>
  <c r="U51" i="1"/>
  <c r="R51" i="1"/>
  <c r="L51" i="1"/>
  <c r="I51" i="1"/>
  <c r="F51" i="1"/>
  <c r="AM50" i="1"/>
  <c r="AJ50" i="1"/>
  <c r="AG50" i="1"/>
  <c r="AD50" i="1"/>
  <c r="AA50" i="1"/>
  <c r="X50" i="1"/>
  <c r="U50" i="1"/>
  <c r="R50" i="1"/>
  <c r="L50" i="1"/>
  <c r="I50" i="1"/>
  <c r="F50" i="1"/>
  <c r="AM49" i="1"/>
  <c r="AJ49" i="1"/>
  <c r="AG49" i="1"/>
  <c r="AD49" i="1"/>
  <c r="AA49" i="1"/>
  <c r="X49" i="1"/>
  <c r="U49" i="1"/>
  <c r="R49" i="1"/>
  <c r="L49" i="1"/>
  <c r="I49" i="1"/>
  <c r="F49" i="1"/>
  <c r="AG38" i="1"/>
  <c r="AM37" i="1"/>
  <c r="AJ37" i="1"/>
  <c r="AG37" i="1"/>
  <c r="AD37" i="1"/>
  <c r="AA37" i="1"/>
  <c r="X37" i="1"/>
  <c r="U37" i="1"/>
  <c r="R37" i="1"/>
  <c r="O37" i="1"/>
  <c r="L37" i="1"/>
  <c r="I37" i="1"/>
  <c r="F37" i="1"/>
  <c r="AM36" i="1"/>
  <c r="AJ36" i="1"/>
  <c r="AG36" i="1"/>
  <c r="AD36" i="1"/>
  <c r="AA36" i="1"/>
  <c r="X36" i="1"/>
  <c r="U36" i="1"/>
  <c r="R36" i="1"/>
  <c r="O36" i="1"/>
  <c r="L36" i="1"/>
  <c r="I36" i="1"/>
  <c r="F36" i="1"/>
  <c r="AM35" i="1"/>
  <c r="AJ35" i="1"/>
  <c r="AG35" i="1"/>
  <c r="AD35" i="1"/>
  <c r="AA35" i="1"/>
  <c r="X35" i="1"/>
  <c r="U35" i="1"/>
  <c r="R35" i="1"/>
  <c r="O35" i="1"/>
  <c r="L35" i="1"/>
  <c r="I35" i="1"/>
  <c r="F35" i="1"/>
  <c r="AM34" i="1"/>
  <c r="AJ34" i="1"/>
  <c r="AG34" i="1"/>
  <c r="AD34" i="1"/>
  <c r="AA34" i="1"/>
  <c r="X34" i="1"/>
  <c r="U34" i="1"/>
  <c r="R34" i="1"/>
  <c r="O34" i="1"/>
  <c r="L34" i="1"/>
  <c r="I34" i="1"/>
  <c r="F34" i="1"/>
  <c r="AM33" i="1"/>
  <c r="AJ33" i="1"/>
  <c r="AG33" i="1"/>
  <c r="AD33" i="1"/>
  <c r="AA33" i="1"/>
  <c r="X33" i="1"/>
  <c r="U33" i="1"/>
  <c r="R33" i="1"/>
  <c r="O33" i="1"/>
  <c r="L33" i="1"/>
  <c r="I33" i="1"/>
  <c r="F33" i="1"/>
  <c r="AM32" i="1"/>
  <c r="AJ32" i="1"/>
  <c r="AG32" i="1"/>
  <c r="AD32" i="1"/>
  <c r="AA32" i="1"/>
  <c r="X32" i="1"/>
  <c r="U32" i="1"/>
  <c r="R32" i="1"/>
  <c r="L32" i="1"/>
  <c r="I32" i="1"/>
  <c r="F32" i="1"/>
  <c r="AM31" i="1"/>
  <c r="AJ31" i="1"/>
  <c r="AG31" i="1"/>
  <c r="AD31" i="1"/>
  <c r="AA31" i="1"/>
  <c r="X31" i="1"/>
  <c r="U31" i="1"/>
  <c r="R31" i="1"/>
  <c r="O31" i="1"/>
  <c r="L31" i="1"/>
  <c r="I31" i="1"/>
  <c r="F31" i="1"/>
  <c r="AM30" i="1"/>
  <c r="AJ30" i="1"/>
  <c r="AG30" i="1"/>
  <c r="AD30" i="1"/>
  <c r="AA30" i="1"/>
  <c r="X30" i="1"/>
  <c r="U30" i="1"/>
  <c r="R30" i="1"/>
  <c r="O30" i="1"/>
  <c r="L30" i="1"/>
  <c r="I30" i="1"/>
  <c r="F30" i="1"/>
  <c r="AM29" i="1"/>
  <c r="AJ29" i="1"/>
  <c r="AG29" i="1"/>
  <c r="AD29" i="1"/>
  <c r="AA29" i="1"/>
  <c r="X29" i="1"/>
  <c r="U29" i="1"/>
  <c r="R29" i="1"/>
  <c r="O29" i="1"/>
  <c r="L29" i="1"/>
  <c r="I29" i="1"/>
  <c r="F29" i="1"/>
  <c r="AM28" i="1"/>
  <c r="AJ28" i="1"/>
  <c r="AG28" i="1"/>
  <c r="AD28" i="1"/>
  <c r="AA28" i="1"/>
  <c r="X28" i="1"/>
  <c r="U28" i="1"/>
  <c r="R28" i="1"/>
  <c r="O28" i="1"/>
  <c r="L28" i="1"/>
  <c r="I28" i="1"/>
  <c r="F28" i="1"/>
  <c r="AM27" i="1"/>
  <c r="AJ27" i="1"/>
  <c r="AG27" i="1"/>
  <c r="AD27" i="1"/>
  <c r="AA27" i="1"/>
  <c r="X27" i="1"/>
  <c r="U27" i="1"/>
  <c r="R27" i="1"/>
  <c r="O27" i="1"/>
  <c r="L27" i="1"/>
  <c r="I27" i="1"/>
  <c r="F27" i="1"/>
  <c r="AM26" i="1"/>
  <c r="AJ26" i="1"/>
  <c r="AG26" i="1"/>
  <c r="AD26" i="1"/>
  <c r="AA26" i="1"/>
  <c r="X26" i="1"/>
  <c r="U26" i="1"/>
  <c r="R26" i="1"/>
  <c r="O26" i="1"/>
  <c r="L26" i="1"/>
  <c r="I26" i="1"/>
  <c r="F26" i="1"/>
  <c r="AM25" i="1"/>
  <c r="AJ25" i="1"/>
  <c r="AG25" i="1"/>
  <c r="AD25" i="1"/>
  <c r="AA25" i="1"/>
  <c r="X25" i="1"/>
  <c r="U25" i="1"/>
  <c r="R25" i="1"/>
  <c r="L25" i="1"/>
  <c r="I25" i="1"/>
  <c r="F25" i="1"/>
  <c r="AM24" i="1"/>
  <c r="AJ24" i="1"/>
  <c r="AG24" i="1"/>
  <c r="AD24" i="1"/>
  <c r="AA24" i="1"/>
  <c r="X24" i="1"/>
  <c r="U24" i="1"/>
  <c r="R24" i="1"/>
  <c r="O24" i="1"/>
  <c r="L24" i="1"/>
  <c r="I24" i="1"/>
  <c r="F24" i="1"/>
  <c r="AM23" i="1"/>
  <c r="AJ23" i="1"/>
  <c r="AG23" i="1"/>
  <c r="AD23" i="1"/>
  <c r="AA23" i="1"/>
  <c r="X23" i="1"/>
  <c r="U23" i="1"/>
  <c r="R23" i="1"/>
  <c r="O23" i="1"/>
  <c r="L23" i="1"/>
  <c r="I23" i="1"/>
  <c r="F23" i="1"/>
  <c r="AM22" i="1"/>
  <c r="AJ22" i="1"/>
  <c r="AG22" i="1"/>
  <c r="AD22" i="1"/>
  <c r="AA22" i="1"/>
  <c r="X22" i="1"/>
  <c r="U22" i="1"/>
  <c r="R22" i="1"/>
  <c r="O22" i="1"/>
  <c r="L22" i="1"/>
  <c r="I22" i="1"/>
  <c r="F22" i="1"/>
  <c r="AM21" i="1"/>
  <c r="AJ21" i="1"/>
  <c r="AG21" i="1"/>
  <c r="AD21" i="1"/>
  <c r="AA21" i="1"/>
  <c r="X21" i="1"/>
  <c r="U21" i="1"/>
  <c r="R21" i="1"/>
  <c r="O21" i="1"/>
  <c r="L21" i="1"/>
  <c r="I21" i="1"/>
  <c r="F21" i="1"/>
  <c r="AM20" i="1"/>
  <c r="AJ20" i="1"/>
  <c r="AG20" i="1"/>
  <c r="AD20" i="1"/>
  <c r="AA20" i="1"/>
  <c r="X20" i="1"/>
  <c r="U20" i="1"/>
  <c r="R20" i="1"/>
  <c r="O20" i="1"/>
  <c r="L20" i="1"/>
  <c r="I20" i="1"/>
  <c r="F20" i="1"/>
  <c r="AM19" i="1"/>
  <c r="AJ19" i="1"/>
  <c r="AG19" i="1"/>
  <c r="AD19" i="1"/>
  <c r="AA19" i="1"/>
  <c r="X19" i="1"/>
  <c r="U19" i="1"/>
  <c r="R19" i="1"/>
  <c r="O19" i="1"/>
  <c r="L19" i="1"/>
  <c r="I19" i="1"/>
  <c r="F19" i="1"/>
  <c r="AM18" i="1"/>
  <c r="AJ18" i="1"/>
  <c r="AG18" i="1"/>
  <c r="AD18" i="1"/>
  <c r="AA18" i="1"/>
  <c r="X18" i="1"/>
  <c r="U18" i="1"/>
  <c r="R18" i="1"/>
  <c r="O18" i="1"/>
  <c r="L18" i="1"/>
  <c r="I18" i="1"/>
  <c r="F18" i="1"/>
  <c r="AM17" i="1"/>
  <c r="AJ17" i="1"/>
  <c r="AG17" i="1"/>
  <c r="AD17" i="1"/>
  <c r="AA17" i="1"/>
  <c r="X17" i="1"/>
  <c r="U17" i="1"/>
  <c r="R17" i="1"/>
  <c r="O17" i="1"/>
  <c r="L17" i="1"/>
  <c r="I17" i="1"/>
  <c r="F17" i="1"/>
  <c r="AM16" i="1"/>
  <c r="AJ16" i="1"/>
  <c r="AG16" i="1"/>
  <c r="AD16" i="1"/>
  <c r="AA16" i="1"/>
  <c r="X16" i="1"/>
  <c r="U16" i="1"/>
  <c r="R16" i="1"/>
  <c r="O16" i="1"/>
  <c r="L16" i="1"/>
  <c r="I16" i="1"/>
  <c r="F16" i="1"/>
  <c r="AM15" i="1"/>
  <c r="AJ15" i="1"/>
  <c r="AG15" i="1"/>
  <c r="AD15" i="1"/>
  <c r="AA15" i="1"/>
  <c r="X15" i="1"/>
  <c r="U15" i="1"/>
  <c r="R15" i="1"/>
  <c r="O15" i="1"/>
  <c r="L15" i="1"/>
  <c r="I15" i="1"/>
  <c r="F15" i="1"/>
  <c r="AM14" i="1"/>
  <c r="AJ14" i="1"/>
  <c r="AG14" i="1"/>
  <c r="AD14" i="1"/>
  <c r="AA14" i="1"/>
  <c r="X14" i="1"/>
  <c r="U14" i="1"/>
  <c r="R14" i="1"/>
  <c r="O14" i="1"/>
  <c r="L14" i="1"/>
  <c r="I14" i="1"/>
  <c r="F14" i="1"/>
  <c r="AM13" i="1"/>
  <c r="AJ13" i="1"/>
  <c r="AG13" i="1"/>
  <c r="AD13" i="1"/>
  <c r="AA13" i="1"/>
  <c r="X13" i="1"/>
  <c r="U13" i="1"/>
  <c r="R13" i="1"/>
  <c r="O13" i="1"/>
  <c r="L13" i="1"/>
  <c r="I13" i="1"/>
  <c r="F13" i="1"/>
  <c r="AM12" i="1"/>
  <c r="AJ12" i="1"/>
  <c r="AG12" i="1"/>
  <c r="AD12" i="1"/>
  <c r="AA12" i="1"/>
  <c r="X12" i="1"/>
  <c r="U12" i="1"/>
  <c r="R12" i="1"/>
  <c r="O12" i="1"/>
  <c r="L12" i="1"/>
  <c r="I12" i="1"/>
  <c r="F12" i="1"/>
  <c r="AM11" i="1"/>
  <c r="AJ11" i="1"/>
  <c r="AG11" i="1"/>
  <c r="AD11" i="1"/>
  <c r="AA11" i="1"/>
  <c r="X11" i="1"/>
  <c r="U11" i="1"/>
  <c r="R11" i="1"/>
  <c r="O11" i="1"/>
  <c r="L11" i="1"/>
  <c r="I11" i="1"/>
  <c r="F11" i="1"/>
  <c r="AM10" i="1"/>
  <c r="AJ10" i="1"/>
  <c r="AG10" i="1"/>
  <c r="AD10" i="1"/>
  <c r="AA10" i="1"/>
  <c r="X10" i="1"/>
  <c r="U10" i="1"/>
  <c r="R10" i="1"/>
  <c r="L10" i="1"/>
  <c r="I10" i="1"/>
  <c r="AM9" i="1"/>
  <c r="AJ9" i="1"/>
  <c r="AG9" i="1"/>
  <c r="AD9" i="1"/>
  <c r="AA9" i="1"/>
  <c r="X9" i="1"/>
  <c r="U9" i="1"/>
  <c r="R9" i="1"/>
  <c r="O9" i="1"/>
  <c r="L9" i="1"/>
  <c r="I9" i="1"/>
  <c r="F9" i="1"/>
  <c r="AM8" i="1"/>
  <c r="AJ8" i="1"/>
  <c r="AG8" i="1"/>
  <c r="AD8" i="1"/>
  <c r="AA8" i="1"/>
  <c r="X8" i="1"/>
  <c r="U8" i="1"/>
  <c r="R8" i="1"/>
  <c r="O8" i="1"/>
  <c r="L8" i="1"/>
  <c r="I8" i="1"/>
  <c r="F8" i="1"/>
  <c r="AM7" i="1"/>
  <c r="AJ7" i="1"/>
  <c r="AG7" i="1"/>
  <c r="AD7" i="1"/>
  <c r="AA7" i="1"/>
  <c r="X7" i="1"/>
  <c r="U7" i="1"/>
  <c r="R7" i="1"/>
  <c r="O7" i="1"/>
  <c r="L7" i="1"/>
  <c r="I7" i="1"/>
  <c r="F7" i="1"/>
  <c r="D108" i="4"/>
  <c r="D72" i="4"/>
  <c r="D73" i="4"/>
  <c r="D123" i="4"/>
  <c r="D24" i="4"/>
  <c r="D25" i="4"/>
  <c r="D66" i="4"/>
  <c r="D67" i="4"/>
  <c r="D64" i="4"/>
  <c r="D93" i="4"/>
  <c r="D69" i="4"/>
  <c r="D68" i="4"/>
  <c r="AB426" i="1" l="1"/>
  <c r="AE426" i="1"/>
  <c r="AH258" i="1"/>
  <c r="V258" i="1"/>
  <c r="J426" i="1"/>
  <c r="G426" i="1"/>
  <c r="AB384" i="1"/>
  <c r="V90" i="1"/>
  <c r="D132" i="1"/>
  <c r="J300" i="1"/>
  <c r="AE216" i="1"/>
  <c r="D384" i="1"/>
  <c r="S258" i="1"/>
  <c r="V300" i="1"/>
  <c r="P300" i="1"/>
  <c r="G300" i="1"/>
  <c r="J174" i="1"/>
  <c r="AH132" i="1"/>
  <c r="P426" i="1"/>
  <c r="AH384" i="1"/>
  <c r="P258" i="1"/>
  <c r="M258" i="1"/>
  <c r="V216" i="1"/>
  <c r="AK342" i="1"/>
  <c r="G132" i="1"/>
  <c r="AE132" i="1"/>
  <c r="J132" i="1"/>
  <c r="V132" i="1"/>
  <c r="Y132" i="1"/>
  <c r="AB258" i="1"/>
  <c r="AE300" i="1"/>
  <c r="AB216" i="1"/>
  <c r="AB132" i="1"/>
  <c r="Y216" i="1"/>
  <c r="AH300" i="1"/>
  <c r="V342" i="1"/>
  <c r="S132" i="1"/>
  <c r="V384" i="1"/>
  <c r="AB300" i="1"/>
  <c r="AK300" i="1"/>
  <c r="D258" i="1"/>
  <c r="D342" i="1"/>
  <c r="Y342" i="1"/>
  <c r="AH90" i="1"/>
  <c r="P216" i="1"/>
  <c r="J48" i="1"/>
  <c r="P132" i="1"/>
  <c r="AE90" i="1"/>
  <c r="AK90" i="1"/>
  <c r="M6" i="1"/>
  <c r="G384" i="1"/>
  <c r="AE258" i="1"/>
  <c r="S216" i="1"/>
  <c r="Y384" i="1"/>
  <c r="P384" i="1"/>
  <c r="S384" i="1"/>
  <c r="J384" i="1"/>
  <c r="M384" i="1"/>
  <c r="AH342" i="1"/>
  <c r="D300" i="1"/>
  <c r="AK132" i="1"/>
  <c r="M132" i="1"/>
  <c r="M90" i="1"/>
  <c r="S300" i="1"/>
  <c r="V48" i="1"/>
  <c r="P342" i="1"/>
  <c r="G6" i="1"/>
  <c r="AB342" i="1"/>
  <c r="AE6" i="1"/>
  <c r="M300" i="1"/>
  <c r="G216" i="1"/>
  <c r="S6" i="1"/>
  <c r="G258" i="1"/>
  <c r="AK216" i="1"/>
  <c r="J216" i="1"/>
  <c r="Y48" i="1"/>
  <c r="M342" i="1"/>
  <c r="AK48" i="1"/>
  <c r="AH48" i="1"/>
  <c r="Y6" i="1"/>
  <c r="AE384" i="1"/>
  <c r="J258" i="1"/>
  <c r="AK258" i="1"/>
  <c r="P90" i="1"/>
  <c r="V174" i="1"/>
  <c r="AH174" i="1"/>
  <c r="S426" i="1"/>
  <c r="S342" i="1"/>
  <c r="AK6" i="1"/>
  <c r="Y258" i="1"/>
  <c r="AH6" i="1"/>
  <c r="Y90" i="1"/>
  <c r="G90" i="1"/>
  <c r="V6" i="1"/>
  <c r="AH216" i="1"/>
  <c r="AB90" i="1"/>
  <c r="Y174" i="1"/>
  <c r="AE342" i="1"/>
  <c r="AK384" i="1"/>
  <c r="Y300" i="1"/>
  <c r="M426" i="1"/>
  <c r="J342" i="1"/>
  <c r="G342" i="1"/>
  <c r="D216" i="1"/>
  <c r="AK174" i="1"/>
  <c r="AE174" i="1"/>
  <c r="AB174" i="1"/>
  <c r="P174" i="1"/>
  <c r="M174" i="1"/>
  <c r="G174" i="1"/>
  <c r="D174" i="1"/>
  <c r="J90" i="1"/>
  <c r="AB48" i="1"/>
  <c r="G48" i="1"/>
  <c r="D48" i="1"/>
  <c r="AB6" i="1"/>
  <c r="P6" i="1"/>
  <c r="J6" i="1"/>
  <c r="D6" i="1"/>
  <c r="P48" i="1"/>
  <c r="S174" i="1"/>
  <c r="S48" i="1"/>
  <c r="V426" i="1"/>
  <c r="D90" i="1"/>
  <c r="Y426" i="1"/>
  <c r="AE48" i="1"/>
  <c r="AP300" i="1" l="1"/>
  <c r="AP258" i="1" l="1"/>
  <c r="AP132" i="1"/>
  <c r="AP216" i="1"/>
  <c r="AP90" i="1"/>
  <c r="AP174" i="1"/>
  <c r="AP48" i="1" l="1"/>
  <c r="AP6" i="1" l="1"/>
  <c r="AP272" i="1" s="1"/>
  <c r="AP342" i="1" l="1"/>
  <c r="O285" i="4" l="1"/>
  <c r="S285" i="4"/>
  <c r="M285" i="4"/>
  <c r="I285" i="4"/>
  <c r="U285" i="4"/>
  <c r="K285" i="4"/>
  <c r="X285" i="4"/>
  <c r="Q285" i="4"/>
  <c r="L285" i="4"/>
  <c r="Y285" i="4"/>
  <c r="G285" i="4"/>
  <c r="N285" i="4"/>
  <c r="R285" i="4"/>
  <c r="E285" i="4"/>
  <c r="W285" i="4"/>
  <c r="V285" i="4"/>
  <c r="AB285" i="4"/>
  <c r="P285" i="4"/>
  <c r="T285" i="4"/>
  <c r="J285" i="4"/>
  <c r="Z285" i="4"/>
  <c r="F285" i="4"/>
  <c r="AA285" i="4"/>
  <c r="R358" i="4"/>
  <c r="T358" i="4"/>
  <c r="K358" i="4"/>
  <c r="Q358" i="4"/>
  <c r="Z358" i="4"/>
  <c r="M358" i="4"/>
  <c r="AB358" i="4"/>
  <c r="P358" i="4"/>
  <c r="H358" i="4"/>
  <c r="L358" i="4"/>
  <c r="W358" i="4"/>
  <c r="U358" i="4"/>
  <c r="V358" i="4"/>
  <c r="G358" i="4"/>
  <c r="X358" i="4"/>
  <c r="O358" i="4"/>
  <c r="AA358" i="4"/>
  <c r="S358" i="4"/>
  <c r="F358" i="4"/>
  <c r="E358" i="4"/>
  <c r="Y358" i="4"/>
  <c r="I358" i="4"/>
  <c r="N358" i="4"/>
  <c r="J358" i="4"/>
  <c r="C30" i="4" a="1"/>
  <c r="D119" i="4"/>
  <c r="B117" i="4" a="1"/>
  <c r="D37" i="4"/>
  <c r="D32" i="4"/>
  <c r="D43" i="4"/>
  <c r="D114" i="4"/>
  <c r="B101" i="4" a="1"/>
  <c r="C54" i="4" a="1"/>
  <c r="D101" i="4"/>
  <c r="C85" i="4" a="1"/>
  <c r="B130" i="4" a="1"/>
  <c r="C91" i="4" a="1"/>
  <c r="B49" i="4" a="1"/>
  <c r="D57" i="4"/>
  <c r="C5" i="4" a="1"/>
  <c r="C76" i="4" a="1"/>
  <c r="C26" i="4" a="1"/>
  <c r="B77" i="4" a="1"/>
  <c r="C90" i="4" a="1"/>
  <c r="C103" i="4" a="1"/>
  <c r="D71" i="4"/>
  <c r="D39" i="4"/>
  <c r="D74" i="4"/>
  <c r="D80" i="4"/>
  <c r="B85" i="4" a="1"/>
  <c r="C109" i="4" a="1"/>
  <c r="D78" i="4"/>
  <c r="D54" i="4"/>
  <c r="D5" i="4"/>
  <c r="B22" i="4" a="1"/>
  <c r="B21" i="4" a="1"/>
  <c r="D90" i="4"/>
  <c r="D109" i="4"/>
  <c r="D6" i="4"/>
  <c r="C8" i="4" a="1"/>
  <c r="D97" i="4"/>
  <c r="D40" i="4"/>
  <c r="D126" i="4"/>
  <c r="C44" i="4" a="1"/>
  <c r="B84" i="4" a="1"/>
  <c r="C95" i="4" a="1"/>
  <c r="B112" i="4" a="1"/>
  <c r="B94" i="4" a="1"/>
  <c r="B37" i="4" a="1"/>
  <c r="C116" i="4" a="1"/>
  <c r="C10" i="4" a="1"/>
  <c r="B133" i="4" a="1"/>
  <c r="D135" i="4"/>
  <c r="C80" i="4" a="1"/>
  <c r="C18" i="4" a="1"/>
  <c r="D46" i="4"/>
  <c r="B16" i="4" a="1"/>
  <c r="C87" i="4" a="1"/>
  <c r="B62" i="4" a="1"/>
  <c r="B79" i="4" a="1"/>
  <c r="D21" i="4"/>
  <c r="B70" i="4" a="1"/>
  <c r="B81" i="4" a="1"/>
  <c r="C105" i="4" a="1"/>
  <c r="D125" i="4"/>
  <c r="C52" i="4" a="1"/>
  <c r="B60" i="4" a="1"/>
  <c r="D117" i="4"/>
  <c r="C6" i="4" a="1"/>
  <c r="C23" i="4" a="1"/>
  <c r="D104" i="4"/>
  <c r="B11" i="4" a="1"/>
  <c r="C110" i="4" a="1"/>
  <c r="C17" i="4" a="1"/>
  <c r="C134" i="4" a="1"/>
  <c r="D56" i="4"/>
  <c r="C96" i="4" a="1"/>
  <c r="D98" i="4"/>
  <c r="D75" i="4"/>
  <c r="C11" i="4" a="1"/>
  <c r="C118" i="4" a="1"/>
  <c r="D12" i="4"/>
  <c r="B33" i="4" a="1"/>
  <c r="C20" i="4" a="1"/>
  <c r="C65" i="4" a="1"/>
  <c r="C45" i="4" a="1"/>
  <c r="C77" i="4" a="1"/>
  <c r="D94" i="4"/>
  <c r="B27" i="4" a="1"/>
  <c r="B13" i="4" a="1"/>
  <c r="B100" i="4" a="1"/>
  <c r="B90" i="4" a="1"/>
  <c r="B52" i="4" a="1"/>
  <c r="C51" i="4" a="1"/>
  <c r="D76" i="4"/>
  <c r="D11" i="4"/>
  <c r="C104" i="4" a="1"/>
  <c r="D118" i="4"/>
  <c r="D121" i="4"/>
  <c r="C81" i="4" a="1"/>
  <c r="D112" i="4"/>
  <c r="B65" i="4" a="1"/>
  <c r="C27" i="4" a="1"/>
  <c r="C117" i="4" a="1"/>
  <c r="D27" i="4"/>
  <c r="D89" i="4"/>
  <c r="D58" i="4"/>
  <c r="C53" i="4" a="1"/>
  <c r="C94" i="4" a="1"/>
  <c r="C97" i="4" a="1"/>
  <c r="B54" i="4" a="1"/>
  <c r="C106" i="4" a="1"/>
  <c r="B31" i="4" a="1"/>
  <c r="B132" i="4" a="1"/>
  <c r="C70" i="4" a="1"/>
  <c r="B30" i="4" a="1"/>
  <c r="C32" i="4" a="1"/>
  <c r="C127" i="4" a="1"/>
  <c r="D81" i="4"/>
  <c r="B115" i="4" a="1"/>
  <c r="B107" i="4" a="1"/>
  <c r="B41" i="4" a="1"/>
  <c r="D50" i="4"/>
  <c r="C57" i="4" a="1"/>
  <c r="B129" i="4" a="1"/>
  <c r="D131" i="4"/>
  <c r="C63" i="4" a="1"/>
  <c r="B98" i="4" a="1"/>
  <c r="C7" i="4" a="1"/>
  <c r="D77" i="4"/>
  <c r="B121" i="4" a="1"/>
  <c r="D136" i="4"/>
  <c r="C19" i="4" a="1"/>
  <c r="D38" i="4"/>
  <c r="C61" i="4" a="1"/>
  <c r="B88" i="4" a="1"/>
  <c r="B120" i="4" a="1"/>
  <c r="B87" i="4" a="1"/>
  <c r="D115" i="4"/>
  <c r="B45" i="4" a="1"/>
  <c r="B56" i="4" a="1"/>
  <c r="B110" i="4" a="1"/>
  <c r="C59" i="4" a="1"/>
  <c r="B125" i="4" a="1"/>
  <c r="C38" i="4" a="1"/>
  <c r="D20" i="4"/>
  <c r="D113" i="4"/>
  <c r="D102" i="4"/>
  <c r="D124" i="4"/>
  <c r="C119" i="4" a="1"/>
  <c r="D47" i="4"/>
  <c r="C126" i="4" a="1"/>
  <c r="D122" i="4"/>
  <c r="C78" i="4" a="1"/>
  <c r="B89" i="4" a="1"/>
  <c r="C46" i="4" a="1"/>
  <c r="C107" i="4" a="1"/>
  <c r="C14" i="4" a="1"/>
  <c r="D110" i="4"/>
  <c r="B18" i="4" a="1"/>
  <c r="D128" i="4"/>
  <c r="D29" i="4"/>
  <c r="C71" i="4" a="1"/>
  <c r="C43" i="4" a="1"/>
  <c r="C98" i="4" a="1"/>
  <c r="C75" i="4" a="1"/>
  <c r="D19" i="4"/>
  <c r="D52" i="4"/>
  <c r="B8" i="4" a="1"/>
  <c r="C48" i="4" a="1"/>
  <c r="B26" i="4" a="1"/>
  <c r="B71" i="4" a="1"/>
  <c r="C86" i="4" a="1"/>
  <c r="D133" i="4"/>
  <c r="B47" i="4" a="1"/>
  <c r="B5" i="4" a="1"/>
  <c r="B61" i="4" a="1"/>
  <c r="D26" i="4"/>
  <c r="B104" i="4" a="1"/>
  <c r="B75" i="4" a="1"/>
  <c r="C37" i="4" a="1"/>
  <c r="B126" i="4" a="1"/>
  <c r="B12" i="4" a="1"/>
  <c r="B29" i="4" a="1"/>
  <c r="B135" i="4" a="1"/>
  <c r="C114" i="4" a="1"/>
  <c r="B32" i="4" a="1"/>
  <c r="D116" i="4"/>
  <c r="C128" i="4" a="1"/>
  <c r="C112" i="4" a="1"/>
  <c r="C124" i="4" a="1"/>
  <c r="D91" i="4"/>
  <c r="B131" i="4" a="1"/>
  <c r="C16" i="4" a="1"/>
  <c r="D65" i="4"/>
  <c r="B92" i="4" a="1"/>
  <c r="B95" i="4" a="1"/>
  <c r="C100" i="4" a="1"/>
  <c r="C13" i="4" a="1"/>
  <c r="B43" i="4" a="1"/>
  <c r="B124" i="4" a="1"/>
  <c r="C131" i="4" a="1"/>
  <c r="B36" i="4" a="1"/>
  <c r="B118" i="4" a="1"/>
  <c r="B136" i="4" a="1"/>
  <c r="B86" i="4" a="1"/>
  <c r="B109" i="4" a="1"/>
  <c r="B102" i="4" a="1"/>
  <c r="C115" i="4" a="1"/>
  <c r="D82" i="4"/>
  <c r="C49" i="4" a="1"/>
  <c r="C99" i="4" a="1"/>
  <c r="B17" i="4" a="1"/>
  <c r="D22" i="4"/>
  <c r="D42" i="4"/>
  <c r="B122" i="4" a="1"/>
  <c r="D8" i="4"/>
  <c r="B6" i="4" a="1"/>
  <c r="D9" i="4"/>
  <c r="D13" i="4"/>
  <c r="D106" i="4"/>
  <c r="C50" i="4" a="1"/>
  <c r="D83" i="4"/>
  <c r="C82" i="4" a="1"/>
  <c r="D15" i="4"/>
  <c r="B23" i="4" a="1"/>
  <c r="D95" i="4"/>
  <c r="B105" i="4" a="1"/>
  <c r="B15" i="4" a="1"/>
  <c r="B14" i="4" a="1"/>
  <c r="C60" i="4" a="1"/>
  <c r="B99" i="4" a="1"/>
  <c r="D120" i="4"/>
  <c r="C31" i="4" a="1"/>
  <c r="D35" i="4"/>
  <c r="D88" i="4"/>
  <c r="C113" i="4" a="1"/>
  <c r="C15" i="4" a="1"/>
  <c r="B103" i="4" a="1"/>
  <c r="D85" i="4"/>
  <c r="C120" i="4" a="1"/>
  <c r="C58" i="4" a="1"/>
  <c r="C55" i="4" a="1"/>
  <c r="D55" i="4"/>
  <c r="D99" i="4"/>
  <c r="B83" i="4" a="1"/>
  <c r="B116" i="4" a="1"/>
  <c r="C33" i="4" a="1"/>
  <c r="C34" i="4" a="1"/>
  <c r="B127" i="4" a="1"/>
  <c r="C28" i="4" a="1"/>
  <c r="C62" i="4" a="1"/>
  <c r="D44" i="4"/>
  <c r="B28" i="4" a="1"/>
  <c r="D63" i="4"/>
  <c r="D34" i="4"/>
  <c r="B128" i="4" a="1"/>
  <c r="C136" i="4" a="1"/>
  <c r="C84" i="4" a="1"/>
  <c r="C111" i="4" a="1"/>
  <c r="B106" i="4" a="1"/>
  <c r="D30" i="4"/>
  <c r="D100" i="4"/>
  <c r="D129" i="4"/>
  <c r="B39" i="4" a="1"/>
  <c r="D45" i="4"/>
  <c r="C132" i="4" a="1"/>
  <c r="D79" i="4"/>
  <c r="B38" i="4" a="1"/>
  <c r="C35" i="4" a="1"/>
  <c r="D49" i="4"/>
  <c r="D107" i="4"/>
  <c r="B19" i="4" a="1"/>
  <c r="D17" i="4"/>
  <c r="B20" i="4" a="1"/>
  <c r="C42" i="4" a="1"/>
  <c r="D62" i="4"/>
  <c r="D105" i="4"/>
  <c r="D7" i="4"/>
  <c r="C129" i="4" a="1"/>
  <c r="B51" i="4" a="1"/>
  <c r="D84" i="4"/>
  <c r="D33" i="4"/>
  <c r="D86" i="4"/>
  <c r="D31" i="4"/>
  <c r="B78" i="4" a="1"/>
  <c r="B34" i="4" a="1"/>
  <c r="C22" i="4" a="1"/>
  <c r="B114" i="4" a="1"/>
  <c r="B63" i="4" a="1"/>
  <c r="B35" i="4" a="1"/>
  <c r="C21" i="4" a="1"/>
  <c r="D51" i="4"/>
  <c r="C130" i="4" a="1"/>
  <c r="D10" i="4"/>
  <c r="D18" i="4"/>
  <c r="B80" i="4" a="1"/>
  <c r="C29" i="4" a="1"/>
  <c r="B111" i="4" a="1"/>
  <c r="D53" i="4"/>
  <c r="D23" i="4"/>
  <c r="B134" i="4" a="1"/>
  <c r="B42" i="4" a="1"/>
  <c r="B76" i="4" a="1"/>
  <c r="D14" i="4"/>
  <c r="C102" i="4" a="1"/>
  <c r="C133" i="4" a="1"/>
  <c r="B113" i="4" a="1"/>
  <c r="B53" i="4" a="1"/>
  <c r="C79" i="4" a="1"/>
  <c r="D87" i="4"/>
  <c r="C122" i="4" a="1"/>
  <c r="D127" i="4"/>
  <c r="C125" i="4" a="1"/>
  <c r="D41" i="4"/>
  <c r="D70" i="4"/>
  <c r="D92" i="4"/>
  <c r="D61" i="4"/>
  <c r="D134" i="4"/>
  <c r="C88" i="4" a="1"/>
  <c r="C83" i="4" a="1"/>
  <c r="C92" i="4" a="1"/>
  <c r="C36" i="4" a="1"/>
  <c r="D16" i="4"/>
  <c r="C47" i="4" a="1"/>
  <c r="B10" i="4" a="1"/>
  <c r="D96" i="4"/>
  <c r="D132" i="4"/>
  <c r="C101" i="4" a="1"/>
  <c r="B40" i="4" a="1"/>
  <c r="D111" i="4"/>
  <c r="D59" i="4"/>
  <c r="C12" i="4" a="1"/>
  <c r="D48" i="4"/>
  <c r="C9" i="4" a="1"/>
  <c r="B9" i="4" a="1"/>
  <c r="C121" i="4" a="1"/>
  <c r="B57" i="4" a="1"/>
  <c r="B74" i="4" a="1"/>
  <c r="B59" i="4" a="1"/>
  <c r="D28" i="4"/>
  <c r="B97" i="4" a="1"/>
  <c r="B96" i="4" a="1"/>
  <c r="B82" i="4" a="1"/>
  <c r="D130" i="4"/>
  <c r="B48" i="4" a="1"/>
  <c r="C39" i="4" a="1"/>
  <c r="B7" i="4" a="1"/>
  <c r="C41" i="4" a="1"/>
  <c r="D36" i="4"/>
  <c r="B46" i="4" a="1"/>
  <c r="D60" i="4"/>
  <c r="C74" i="4" a="1"/>
  <c r="C56" i="4" a="1"/>
  <c r="B91" i="4" a="1"/>
  <c r="D103" i="4"/>
  <c r="C40" i="4" a="1"/>
  <c r="B58" i="4" a="1"/>
  <c r="C135" i="4" a="1"/>
  <c r="C89" i="4" a="1"/>
  <c r="B119" i="4" a="1"/>
  <c r="C13" i="4" l="1"/>
  <c r="B113" i="4"/>
  <c r="C28" i="4"/>
  <c r="C130" i="4"/>
  <c r="B90" i="4"/>
  <c r="B114" i="4"/>
  <c r="C129" i="4"/>
  <c r="C53" i="4"/>
  <c r="C26" i="4"/>
  <c r="B109" i="4"/>
  <c r="B135" i="4"/>
  <c r="C86" i="4"/>
  <c r="B126" i="4"/>
  <c r="B83" i="4"/>
  <c r="B110" i="4"/>
  <c r="C33" i="4"/>
  <c r="C92" i="4"/>
  <c r="B115" i="4"/>
  <c r="B75" i="4"/>
  <c r="B133" i="4"/>
  <c r="C42" i="4"/>
  <c r="C110" i="4"/>
  <c r="B18" i="4"/>
  <c r="B78" i="4"/>
  <c r="B43" i="4"/>
  <c r="B11" i="4"/>
  <c r="B5" i="4"/>
  <c r="B80" i="4"/>
  <c r="C8" i="4"/>
  <c r="B15" i="4"/>
  <c r="C71" i="4"/>
  <c r="B47" i="4"/>
  <c r="C111" i="4"/>
  <c r="C117" i="4"/>
  <c r="B42" i="4"/>
  <c r="C39" i="4"/>
  <c r="C44" i="4"/>
  <c r="B77" i="4"/>
  <c r="C5" i="4"/>
  <c r="C37" i="4"/>
  <c r="C22" i="4"/>
  <c r="B23" i="4"/>
  <c r="B87" i="4"/>
  <c r="B100" i="4"/>
  <c r="B105" i="4"/>
  <c r="C54" i="4"/>
  <c r="B85" i="4"/>
  <c r="C32" i="4"/>
  <c r="B30" i="4"/>
  <c r="C9" i="4"/>
  <c r="C101" i="4"/>
  <c r="C121" i="4"/>
  <c r="B130" i="4"/>
  <c r="C135" i="4"/>
  <c r="C61" i="4"/>
  <c r="C19" i="4"/>
  <c r="B35" i="4"/>
  <c r="C113" i="4"/>
  <c r="C104" i="4"/>
  <c r="C89" i="4"/>
  <c r="B116" i="4"/>
  <c r="B63" i="4"/>
  <c r="C76" i="4"/>
  <c r="B28" i="4"/>
  <c r="B53" i="4"/>
  <c r="B57" i="4"/>
  <c r="C128" i="4"/>
  <c r="C105" i="4"/>
  <c r="C106" i="4"/>
  <c r="C102" i="4"/>
  <c r="B122" i="4"/>
  <c r="C38" i="4"/>
  <c r="B129" i="4"/>
  <c r="B65" i="4"/>
  <c r="C82" i="4"/>
  <c r="C131" i="4"/>
  <c r="B128" i="4"/>
  <c r="B81" i="4"/>
  <c r="C96" i="4"/>
  <c r="B104" i="4"/>
  <c r="C136" i="4"/>
  <c r="C10" i="4"/>
  <c r="C122" i="4"/>
  <c r="C112" i="4"/>
  <c r="B102" i="4"/>
  <c r="C65" i="4"/>
  <c r="C91" i="4"/>
  <c r="B61" i="4"/>
  <c r="C103" i="4"/>
  <c r="B31" i="4"/>
  <c r="C119" i="4"/>
  <c r="B29" i="4"/>
  <c r="B38" i="4"/>
  <c r="B97" i="4"/>
  <c r="B52" i="4"/>
  <c r="C49" i="4"/>
  <c r="B111" i="4"/>
  <c r="B127" i="4"/>
  <c r="C98" i="4"/>
  <c r="C60" i="4"/>
  <c r="B40" i="4"/>
  <c r="C12" i="4"/>
  <c r="B71" i="4"/>
  <c r="C88" i="4"/>
  <c r="C84" i="4"/>
  <c r="B120" i="4"/>
  <c r="B13" i="4"/>
  <c r="B94" i="4"/>
  <c r="B131" i="4"/>
  <c r="B125" i="4"/>
  <c r="B51" i="4"/>
  <c r="B134" i="4"/>
  <c r="C27" i="4"/>
  <c r="B76" i="4"/>
  <c r="B37" i="4"/>
  <c r="B79" i="4"/>
  <c r="C107" i="4"/>
  <c r="B132" i="4"/>
  <c r="C40" i="4"/>
  <c r="B101" i="4"/>
  <c r="C47" i="4"/>
  <c r="B118" i="4"/>
  <c r="C18" i="4"/>
  <c r="C50" i="4"/>
  <c r="B99" i="4"/>
  <c r="C57" i="4"/>
  <c r="B88" i="4"/>
  <c r="C6" i="4"/>
  <c r="B98" i="4"/>
  <c r="B32" i="4"/>
  <c r="C87" i="4"/>
  <c r="B95" i="4"/>
  <c r="C74" i="4"/>
  <c r="C48" i="4"/>
  <c r="C134" i="4"/>
  <c r="C99" i="4"/>
  <c r="B22" i="4"/>
  <c r="C34" i="4"/>
  <c r="C15" i="4"/>
  <c r="B33" i="4"/>
  <c r="C52" i="4"/>
  <c r="C14" i="4"/>
  <c r="C75" i="4"/>
  <c r="C97" i="4"/>
  <c r="B21" i="4"/>
  <c r="C55" i="4"/>
  <c r="B84" i="4"/>
  <c r="C43" i="4"/>
  <c r="C116" i="4"/>
  <c r="B91" i="4"/>
  <c r="C35" i="4"/>
  <c r="C124" i="4"/>
  <c r="C17" i="4"/>
  <c r="C133" i="4"/>
  <c r="C81" i="4"/>
  <c r="C30" i="4"/>
  <c r="B119" i="4"/>
  <c r="B34" i="4"/>
  <c r="C95" i="4"/>
  <c r="C85" i="4"/>
  <c r="C63" i="4"/>
  <c r="B26" i="4"/>
  <c r="B121" i="4"/>
  <c r="C127" i="4"/>
  <c r="B36" i="4"/>
  <c r="B54" i="4"/>
  <c r="C58" i="4"/>
  <c r="C77" i="4"/>
  <c r="B136" i="4"/>
  <c r="B41" i="4"/>
  <c r="B6" i="4"/>
  <c r="C132" i="4"/>
  <c r="B19" i="4"/>
  <c r="C100" i="4"/>
  <c r="B58" i="4"/>
  <c r="B10" i="4"/>
  <c r="C36" i="4"/>
  <c r="C114" i="4"/>
  <c r="B45" i="4"/>
  <c r="C109" i="4"/>
  <c r="C94" i="4"/>
  <c r="B92" i="4"/>
  <c r="C126" i="4"/>
  <c r="B39" i="4"/>
  <c r="C41" i="4"/>
  <c r="C31" i="4"/>
  <c r="C90" i="4"/>
  <c r="C125" i="4"/>
  <c r="B62" i="4"/>
  <c r="B59" i="4"/>
  <c r="C80" i="4"/>
  <c r="C29" i="4"/>
  <c r="B86" i="4"/>
  <c r="B20" i="4"/>
  <c r="C21" i="4"/>
  <c r="B9" i="4"/>
  <c r="B14" i="4"/>
  <c r="C51" i="4"/>
  <c r="B74" i="4"/>
  <c r="B103" i="4"/>
  <c r="B117" i="4"/>
  <c r="B106" i="4"/>
  <c r="C16" i="4"/>
  <c r="B112" i="4"/>
  <c r="B16" i="4"/>
  <c r="C46" i="4"/>
  <c r="B49" i="4"/>
  <c r="C79" i="4"/>
  <c r="C20" i="4"/>
  <c r="B7" i="4"/>
  <c r="B12" i="4"/>
  <c r="C120" i="4"/>
  <c r="C11" i="4"/>
  <c r="B56" i="4"/>
  <c r="C59" i="4"/>
  <c r="B96" i="4"/>
  <c r="C62" i="4"/>
  <c r="C23" i="4"/>
  <c r="B46" i="4"/>
  <c r="B48" i="4"/>
  <c r="C78" i="4"/>
  <c r="B82" i="4"/>
  <c r="B27" i="4"/>
  <c r="B8" i="4"/>
  <c r="B60" i="4"/>
  <c r="B17" i="4"/>
  <c r="B124" i="4"/>
  <c r="C56" i="4"/>
  <c r="C7" i="4"/>
  <c r="B107" i="4"/>
  <c r="C45" i="4"/>
  <c r="C70" i="4"/>
  <c r="C115" i="4"/>
  <c r="B89" i="4"/>
  <c r="B70" i="4"/>
  <c r="C118" i="4"/>
  <c r="C83" i="4"/>
  <c r="N273" i="4" l="1"/>
  <c r="E273" i="4"/>
  <c r="W273" i="4"/>
  <c r="G273" i="4"/>
  <c r="J273" i="4"/>
  <c r="M273" i="4"/>
  <c r="X273" i="4"/>
  <c r="R273" i="4"/>
  <c r="K273" i="4"/>
  <c r="T273" i="4"/>
  <c r="S273" i="4"/>
  <c r="L273" i="4"/>
  <c r="Y273" i="4"/>
  <c r="AA273" i="4"/>
  <c r="I273" i="4"/>
  <c r="H273" i="4"/>
  <c r="AB273" i="4"/>
  <c r="U273" i="4"/>
  <c r="Z273" i="4"/>
  <c r="O273" i="4"/>
  <c r="Q273" i="4"/>
  <c r="V273" i="4"/>
  <c r="P273" i="4"/>
  <c r="F273" i="4"/>
  <c r="R274" i="4"/>
  <c r="O274" i="4"/>
  <c r="E274" i="4"/>
  <c r="F274" i="4"/>
  <c r="Z274" i="4"/>
  <c r="S274" i="4"/>
  <c r="X274" i="4"/>
  <c r="AA274" i="4"/>
  <c r="J274" i="4"/>
  <c r="H274" i="4"/>
  <c r="K274" i="4"/>
  <c r="N274" i="4"/>
  <c r="P274" i="4"/>
  <c r="L274" i="4"/>
  <c r="M274" i="4"/>
  <c r="AB274" i="4"/>
  <c r="G274" i="4"/>
  <c r="Q274" i="4"/>
  <c r="I274" i="4"/>
  <c r="U274" i="4"/>
  <c r="Y274" i="4"/>
  <c r="W274" i="4"/>
  <c r="V274" i="4"/>
  <c r="T274" i="4"/>
  <c r="AB265" i="4"/>
  <c r="P265" i="4"/>
  <c r="V265" i="4"/>
  <c r="I265" i="4"/>
  <c r="E265" i="4"/>
  <c r="U265" i="4"/>
  <c r="Z265" i="4"/>
  <c r="Y265" i="4"/>
  <c r="W265" i="4"/>
  <c r="F265" i="4"/>
  <c r="N265" i="4"/>
  <c r="J265" i="4"/>
  <c r="H265" i="4"/>
  <c r="G265" i="4"/>
  <c r="O265" i="4"/>
  <c r="L265" i="4"/>
  <c r="X265" i="4"/>
  <c r="K265" i="4"/>
  <c r="M265" i="4"/>
  <c r="S265" i="4"/>
  <c r="T265" i="4"/>
  <c r="R265" i="4"/>
  <c r="Q265" i="4"/>
  <c r="AA265" i="4"/>
  <c r="M266" i="4"/>
  <c r="R266" i="4"/>
  <c r="G266" i="4"/>
  <c r="E266" i="4"/>
  <c r="AA266" i="4"/>
  <c r="F266" i="4"/>
  <c r="Z266" i="4"/>
  <c r="Y266" i="4"/>
  <c r="J266" i="4"/>
  <c r="I266" i="4"/>
  <c r="P266" i="4"/>
  <c r="X266" i="4"/>
  <c r="O266" i="4"/>
  <c r="T266" i="4"/>
  <c r="V266" i="4"/>
  <c r="AB266" i="4"/>
  <c r="S266" i="4"/>
  <c r="Q266" i="4"/>
  <c r="U266" i="4"/>
  <c r="H266" i="4"/>
  <c r="N266" i="4"/>
  <c r="W266" i="4"/>
  <c r="L266" i="4"/>
  <c r="K266" i="4"/>
  <c r="F269" i="4"/>
  <c r="R269" i="4"/>
  <c r="AA269" i="4"/>
  <c r="H269" i="4"/>
  <c r="N269" i="4"/>
  <c r="Y269" i="4"/>
  <c r="U269" i="4"/>
  <c r="M269" i="4"/>
  <c r="V269" i="4"/>
  <c r="X269" i="4"/>
  <c r="T269" i="4"/>
  <c r="I269" i="4"/>
  <c r="S269" i="4"/>
  <c r="O269" i="4"/>
  <c r="Z269" i="4"/>
  <c r="Q269" i="4"/>
  <c r="AB269" i="4"/>
  <c r="J269" i="4"/>
  <c r="L269" i="4"/>
  <c r="W269" i="4"/>
  <c r="K269" i="4"/>
  <c r="G269" i="4"/>
  <c r="E269" i="4"/>
  <c r="P269" i="4"/>
  <c r="G262" i="4"/>
  <c r="O262" i="4"/>
  <c r="I262" i="4"/>
  <c r="Q262" i="4"/>
  <c r="Z262" i="4"/>
  <c r="S262" i="4"/>
  <c r="M262" i="4"/>
  <c r="J262" i="4"/>
  <c r="L262" i="4"/>
  <c r="AB262" i="4"/>
  <c r="V262" i="4"/>
  <c r="T262" i="4"/>
  <c r="R262" i="4"/>
  <c r="H262" i="4"/>
  <c r="AA262" i="4"/>
  <c r="N262" i="4"/>
  <c r="U262" i="4"/>
  <c r="W262" i="4"/>
  <c r="P262" i="4"/>
  <c r="F262" i="4"/>
  <c r="E262" i="4"/>
  <c r="Y262" i="4"/>
  <c r="X262" i="4"/>
  <c r="K262" i="4"/>
  <c r="N264" i="4"/>
  <c r="AB264" i="4"/>
  <c r="G264" i="4"/>
  <c r="Z264" i="4"/>
  <c r="AA264" i="4"/>
  <c r="J264" i="4"/>
  <c r="O264" i="4"/>
  <c r="M264" i="4"/>
  <c r="Y264" i="4"/>
  <c r="F264" i="4"/>
  <c r="R264" i="4"/>
  <c r="P264" i="4"/>
  <c r="H264" i="4"/>
  <c r="E264" i="4"/>
  <c r="L264" i="4"/>
  <c r="Q264" i="4"/>
  <c r="K264" i="4"/>
  <c r="T264" i="4"/>
  <c r="W264" i="4"/>
  <c r="S264" i="4"/>
  <c r="V264" i="4"/>
  <c r="U264" i="4"/>
  <c r="I264" i="4"/>
  <c r="X264" i="4"/>
  <c r="W268" i="4"/>
  <c r="Q268" i="4"/>
  <c r="P268" i="4"/>
  <c r="E268" i="4"/>
  <c r="AB268" i="4"/>
  <c r="R268" i="4"/>
  <c r="N268" i="4"/>
  <c r="I268" i="4"/>
  <c r="Y268" i="4"/>
  <c r="AA268" i="4"/>
  <c r="S268" i="4"/>
  <c r="L268" i="4"/>
  <c r="V268" i="4"/>
  <c r="F268" i="4"/>
  <c r="O268" i="4"/>
  <c r="U268" i="4"/>
  <c r="G268" i="4"/>
  <c r="T268" i="4"/>
  <c r="M268" i="4"/>
  <c r="J268" i="4"/>
  <c r="Z268" i="4"/>
  <c r="K268" i="4"/>
  <c r="X268" i="4"/>
  <c r="H268" i="4"/>
  <c r="F271" i="4"/>
  <c r="T271" i="4"/>
  <c r="AB271" i="4"/>
  <c r="E271" i="4"/>
  <c r="S271" i="4"/>
  <c r="H271" i="4"/>
  <c r="V271" i="4"/>
  <c r="R271" i="4"/>
  <c r="Z271" i="4"/>
  <c r="K271" i="4"/>
  <c r="P271" i="4"/>
  <c r="N271" i="4"/>
  <c r="Y271" i="4"/>
  <c r="Q271" i="4"/>
  <c r="J271" i="4"/>
  <c r="I271" i="4"/>
  <c r="U271" i="4"/>
  <c r="M271" i="4"/>
  <c r="X271" i="4"/>
  <c r="O271" i="4"/>
  <c r="G271" i="4"/>
  <c r="W271" i="4"/>
  <c r="L271" i="4"/>
  <c r="AA271" i="4"/>
  <c r="Y270" i="4"/>
  <c r="T270" i="4"/>
  <c r="U270" i="4"/>
  <c r="J270" i="4"/>
  <c r="V270" i="4"/>
  <c r="Q270" i="4"/>
  <c r="R270" i="4"/>
  <c r="M270" i="4"/>
  <c r="AA270" i="4"/>
  <c r="Z270" i="4"/>
  <c r="N270" i="4"/>
  <c r="O270" i="4"/>
  <c r="I270" i="4"/>
  <c r="H270" i="4"/>
  <c r="P270" i="4"/>
  <c r="X270" i="4"/>
  <c r="L270" i="4"/>
  <c r="W270" i="4"/>
  <c r="AB270" i="4"/>
  <c r="G270" i="4"/>
  <c r="E270" i="4"/>
  <c r="K270" i="4"/>
  <c r="S270" i="4"/>
  <c r="F270" i="4"/>
  <c r="N272" i="4"/>
  <c r="Y272" i="4"/>
  <c r="T272" i="4"/>
  <c r="K272" i="4"/>
  <c r="F272" i="4"/>
  <c r="AB272" i="4"/>
  <c r="R272" i="4"/>
  <c r="V272" i="4"/>
  <c r="H272" i="4"/>
  <c r="I272" i="4"/>
  <c r="W272" i="4"/>
  <c r="S272" i="4"/>
  <c r="O272" i="4"/>
  <c r="G272" i="4"/>
  <c r="M272" i="4"/>
  <c r="J272" i="4"/>
  <c r="P272" i="4"/>
  <c r="AA272" i="4"/>
  <c r="E272" i="4"/>
  <c r="U272" i="4"/>
  <c r="X272" i="4"/>
  <c r="Q272" i="4"/>
  <c r="Z272" i="4"/>
  <c r="L272" i="4"/>
  <c r="F169" i="4"/>
  <c r="AA169" i="4"/>
  <c r="P317" i="4"/>
  <c r="X169" i="4"/>
  <c r="W293" i="4"/>
  <c r="E169" i="4"/>
  <c r="AA317" i="4"/>
  <c r="L293" i="4"/>
  <c r="P293" i="4"/>
  <c r="U317" i="4"/>
  <c r="Y293" i="4"/>
  <c r="H317" i="4"/>
  <c r="N293" i="4"/>
  <c r="AA293" i="4"/>
  <c r="O169" i="4"/>
  <c r="M293" i="4"/>
  <c r="S317" i="4"/>
  <c r="I169" i="4"/>
  <c r="S169" i="4"/>
  <c r="W317" i="4"/>
  <c r="H293" i="4"/>
  <c r="G169" i="4"/>
  <c r="I293" i="4"/>
  <c r="Y317" i="4"/>
  <c r="G293" i="4"/>
  <c r="T293" i="4"/>
  <c r="AB293" i="4"/>
  <c r="K169" i="4"/>
  <c r="R293" i="4"/>
  <c r="V293" i="4"/>
  <c r="V317" i="4"/>
  <c r="F317" i="4"/>
  <c r="Z169" i="4"/>
  <c r="Z317" i="4"/>
  <c r="I317" i="4"/>
  <c r="K317" i="4"/>
  <c r="K293" i="4"/>
  <c r="E317" i="4"/>
  <c r="AB169" i="4"/>
  <c r="S293" i="4"/>
  <c r="T317" i="4"/>
  <c r="U293" i="4"/>
  <c r="L169" i="4"/>
  <c r="H169" i="4"/>
  <c r="R169" i="4"/>
  <c r="O293" i="4"/>
  <c r="Q293" i="4"/>
  <c r="N317" i="4"/>
  <c r="X317" i="4"/>
  <c r="M317" i="4"/>
  <c r="R317" i="4"/>
  <c r="F293" i="4"/>
  <c r="AB317" i="4"/>
  <c r="Z293" i="4"/>
  <c r="J169" i="4"/>
  <c r="O317" i="4"/>
  <c r="G317" i="4"/>
  <c r="A23" i="4"/>
  <c r="U169" i="4"/>
  <c r="Y169" i="4"/>
  <c r="Q317" i="4"/>
  <c r="J293" i="4"/>
  <c r="X293" i="4"/>
  <c r="T169" i="4"/>
  <c r="L317" i="4"/>
  <c r="Q169" i="4"/>
  <c r="J317" i="4"/>
  <c r="P169" i="4"/>
  <c r="W169" i="4"/>
  <c r="M169" i="4"/>
  <c r="N169" i="4"/>
  <c r="E293" i="4"/>
  <c r="V169" i="4"/>
  <c r="R359" i="4"/>
  <c r="I359" i="4"/>
  <c r="A64" i="4"/>
  <c r="Q210" i="4"/>
  <c r="H210" i="4"/>
  <c r="J210" i="4"/>
  <c r="S210" i="4"/>
  <c r="K210" i="4"/>
  <c r="E210" i="4"/>
  <c r="K359" i="4"/>
  <c r="Q359" i="4"/>
  <c r="P359" i="4"/>
  <c r="O359" i="4"/>
  <c r="L359" i="4"/>
  <c r="L210" i="4"/>
  <c r="M210" i="4"/>
  <c r="F359" i="4"/>
  <c r="R210" i="4"/>
  <c r="G359" i="4"/>
  <c r="N210" i="4"/>
  <c r="F210" i="4"/>
  <c r="S359" i="4"/>
  <c r="O210" i="4"/>
  <c r="H359" i="4"/>
  <c r="G210" i="4"/>
  <c r="J359" i="4"/>
  <c r="P210" i="4"/>
  <c r="E359" i="4"/>
  <c r="I210" i="4"/>
  <c r="M359" i="4"/>
  <c r="N359" i="4"/>
  <c r="E161" i="4"/>
  <c r="G161" i="4"/>
  <c r="A15" i="4"/>
  <c r="F161" i="4"/>
  <c r="H217" i="4"/>
  <c r="I366" i="4"/>
  <c r="J366" i="4"/>
  <c r="M217" i="4"/>
  <c r="E217" i="4"/>
  <c r="K366" i="4"/>
  <c r="F366" i="4"/>
  <c r="G366" i="4"/>
  <c r="M366" i="4"/>
  <c r="I217" i="4"/>
  <c r="L217" i="4"/>
  <c r="H366" i="4"/>
  <c r="G217" i="4"/>
  <c r="J217" i="4"/>
  <c r="A71" i="4"/>
  <c r="L366" i="4"/>
  <c r="K217" i="4"/>
  <c r="F217" i="4"/>
  <c r="E366" i="4"/>
  <c r="X210" i="4"/>
  <c r="U210" i="4"/>
  <c r="AA359" i="4"/>
  <c r="U359" i="4"/>
  <c r="AA210" i="4"/>
  <c r="V359" i="4"/>
  <c r="T359" i="4"/>
  <c r="W210" i="4"/>
  <c r="X359" i="4"/>
  <c r="AB359" i="4"/>
  <c r="Y210" i="4"/>
  <c r="Z210" i="4"/>
  <c r="AB210" i="4"/>
  <c r="V210" i="4"/>
  <c r="Y359" i="4"/>
  <c r="W359" i="4"/>
  <c r="Z359" i="4"/>
  <c r="T210" i="4"/>
  <c r="W366" i="4"/>
  <c r="V217" i="4"/>
  <c r="P366" i="4"/>
  <c r="AA217" i="4"/>
  <c r="P217" i="4"/>
  <c r="U217" i="4"/>
  <c r="T366" i="4"/>
  <c r="Z366" i="4"/>
  <c r="Z217" i="4"/>
  <c r="AA366" i="4"/>
  <c r="X217" i="4"/>
  <c r="O366" i="4"/>
  <c r="U366" i="4"/>
  <c r="Q366" i="4"/>
  <c r="W217" i="4"/>
  <c r="R217" i="4"/>
  <c r="Y366" i="4"/>
  <c r="T217" i="4"/>
  <c r="X366" i="4"/>
  <c r="V366" i="4"/>
  <c r="Q217" i="4"/>
  <c r="S366" i="4"/>
  <c r="AB217" i="4"/>
  <c r="N217" i="4"/>
  <c r="O217" i="4"/>
  <c r="N366" i="4"/>
  <c r="AB366" i="4"/>
  <c r="S217" i="4"/>
  <c r="Y217" i="4"/>
  <c r="R366" i="4"/>
  <c r="N154" i="4"/>
  <c r="S154" i="4"/>
  <c r="G154" i="4"/>
  <c r="Z154" i="4"/>
  <c r="U154" i="4"/>
  <c r="P154" i="4"/>
  <c r="AA154" i="4"/>
  <c r="A8" i="4"/>
  <c r="Q154" i="4"/>
  <c r="H154" i="4"/>
  <c r="E154" i="4"/>
  <c r="M154" i="4"/>
  <c r="J154" i="4"/>
  <c r="AB154" i="4"/>
  <c r="V154" i="4"/>
  <c r="I154" i="4"/>
  <c r="K154" i="4"/>
  <c r="X154" i="4"/>
  <c r="L154" i="4"/>
  <c r="W154" i="4"/>
  <c r="R154" i="4"/>
  <c r="F154" i="4"/>
  <c r="T154" i="4"/>
  <c r="Y154" i="4"/>
  <c r="O154" i="4"/>
  <c r="V178" i="4"/>
  <c r="S302" i="4"/>
  <c r="F326" i="4"/>
  <c r="S326" i="4"/>
  <c r="W302" i="4"/>
  <c r="G178" i="4"/>
  <c r="X326" i="4"/>
  <c r="AB326" i="4"/>
  <c r="M302" i="4"/>
  <c r="G302" i="4"/>
  <c r="AB302" i="4"/>
  <c r="J178" i="4"/>
  <c r="Q178" i="4"/>
  <c r="U302" i="4"/>
  <c r="R178" i="4"/>
  <c r="Z326" i="4"/>
  <c r="M178" i="4"/>
  <c r="T326" i="4"/>
  <c r="Y178" i="4"/>
  <c r="AA326" i="4"/>
  <c r="L326" i="4"/>
  <c r="O302" i="4"/>
  <c r="W326" i="4"/>
  <c r="J326" i="4"/>
  <c r="U178" i="4"/>
  <c r="AB178" i="4"/>
  <c r="Y326" i="4"/>
  <c r="P302" i="4"/>
  <c r="AA178" i="4"/>
  <c r="G326" i="4"/>
  <c r="Z302" i="4"/>
  <c r="Y302" i="4"/>
  <c r="K326" i="4"/>
  <c r="Q302" i="4"/>
  <c r="T178" i="4"/>
  <c r="AA302" i="4"/>
  <c r="E178" i="4"/>
  <c r="I178" i="4"/>
  <c r="X178" i="4"/>
  <c r="H178" i="4"/>
  <c r="X302" i="4"/>
  <c r="P178" i="4"/>
  <c r="F302" i="4"/>
  <c r="H326" i="4"/>
  <c r="R326" i="4"/>
  <c r="A32" i="4"/>
  <c r="V302" i="4"/>
  <c r="Z178" i="4"/>
  <c r="V326" i="4"/>
  <c r="W178" i="4"/>
  <c r="K302" i="4"/>
  <c r="H302" i="4"/>
  <c r="M326" i="4"/>
  <c r="F178" i="4"/>
  <c r="Q326" i="4"/>
  <c r="L302" i="4"/>
  <c r="R302" i="4"/>
  <c r="I302" i="4"/>
  <c r="P326" i="4"/>
  <c r="O178" i="4"/>
  <c r="N326" i="4"/>
  <c r="N302" i="4"/>
  <c r="E326" i="4"/>
  <c r="S178" i="4"/>
  <c r="E302" i="4"/>
  <c r="L178" i="4"/>
  <c r="I326" i="4"/>
  <c r="J302" i="4"/>
  <c r="U326" i="4"/>
  <c r="N178" i="4"/>
  <c r="T302" i="4"/>
  <c r="O326" i="4"/>
  <c r="K178" i="4"/>
  <c r="G315" i="4"/>
  <c r="S191" i="4"/>
  <c r="P339" i="4"/>
  <c r="W315" i="4"/>
  <c r="Y339" i="4"/>
  <c r="P315" i="4"/>
  <c r="I339" i="4"/>
  <c r="O191" i="4"/>
  <c r="Q315" i="4"/>
  <c r="A45" i="4"/>
  <c r="H315" i="4"/>
  <c r="T191" i="4"/>
  <c r="W191" i="4"/>
  <c r="I315" i="4"/>
  <c r="E315" i="4"/>
  <c r="AA315" i="4"/>
  <c r="S315" i="4"/>
  <c r="R191" i="4"/>
  <c r="J339" i="4"/>
  <c r="U191" i="4"/>
  <c r="H191" i="4"/>
  <c r="L191" i="4"/>
  <c r="G339" i="4"/>
  <c r="F339" i="4"/>
  <c r="I191" i="4"/>
  <c r="M191" i="4"/>
  <c r="M315" i="4"/>
  <c r="AB339" i="4"/>
  <c r="AB315" i="4"/>
  <c r="T315" i="4"/>
  <c r="E191" i="4"/>
  <c r="Q339" i="4"/>
  <c r="E339" i="4"/>
  <c r="U339" i="4"/>
  <c r="X339" i="4"/>
  <c r="V315" i="4"/>
  <c r="AA191" i="4"/>
  <c r="V339" i="4"/>
  <c r="Z339" i="4"/>
  <c r="U315" i="4"/>
  <c r="Z315" i="4"/>
  <c r="Q191" i="4"/>
  <c r="N315" i="4"/>
  <c r="AA339" i="4"/>
  <c r="G191" i="4"/>
  <c r="M339" i="4"/>
  <c r="H339" i="4"/>
  <c r="J191" i="4"/>
  <c r="F315" i="4"/>
  <c r="AB191" i="4"/>
  <c r="L339" i="4"/>
  <c r="O339" i="4"/>
  <c r="K339" i="4"/>
  <c r="K191" i="4"/>
  <c r="W339" i="4"/>
  <c r="N191" i="4"/>
  <c r="R315" i="4"/>
  <c r="K315" i="4"/>
  <c r="X315" i="4"/>
  <c r="T339" i="4"/>
  <c r="X191" i="4"/>
  <c r="Y315" i="4"/>
  <c r="N339" i="4"/>
  <c r="L315" i="4"/>
  <c r="P191" i="4"/>
  <c r="V191" i="4"/>
  <c r="F191" i="4"/>
  <c r="Z191" i="4"/>
  <c r="S339" i="4"/>
  <c r="R339" i="4"/>
  <c r="O315" i="4"/>
  <c r="Y191" i="4"/>
  <c r="J315" i="4"/>
  <c r="S182" i="4"/>
  <c r="L330" i="4"/>
  <c r="O330" i="4"/>
  <c r="G330" i="4"/>
  <c r="AB330" i="4"/>
  <c r="H182" i="4"/>
  <c r="M182" i="4"/>
  <c r="F182" i="4"/>
  <c r="G182" i="4"/>
  <c r="E330" i="4"/>
  <c r="W182" i="4"/>
  <c r="N306" i="4"/>
  <c r="W330" i="4"/>
  <c r="U330" i="4"/>
  <c r="V330" i="4"/>
  <c r="Q306" i="4"/>
  <c r="E182" i="4"/>
  <c r="O306" i="4"/>
  <c r="M306" i="4"/>
  <c r="P306" i="4"/>
  <c r="S306" i="4"/>
  <c r="X330" i="4"/>
  <c r="I182" i="4"/>
  <c r="Y306" i="4"/>
  <c r="O182" i="4"/>
  <c r="Z330" i="4"/>
  <c r="K306" i="4"/>
  <c r="T182" i="4"/>
  <c r="AB182" i="4"/>
  <c r="R182" i="4"/>
  <c r="S330" i="4"/>
  <c r="Q182" i="4"/>
  <c r="AA182" i="4"/>
  <c r="AA330" i="4"/>
  <c r="N330" i="4"/>
  <c r="Z182" i="4"/>
  <c r="A36" i="4"/>
  <c r="I306" i="4"/>
  <c r="H330" i="4"/>
  <c r="F330" i="4"/>
  <c r="J182" i="4"/>
  <c r="L306" i="4"/>
  <c r="P182" i="4"/>
  <c r="T306" i="4"/>
  <c r="H306" i="4"/>
  <c r="Z306" i="4"/>
  <c r="J306" i="4"/>
  <c r="I330" i="4"/>
  <c r="K182" i="4"/>
  <c r="G306" i="4"/>
  <c r="P330" i="4"/>
  <c r="E306" i="4"/>
  <c r="F306" i="4"/>
  <c r="AA306" i="4"/>
  <c r="J330" i="4"/>
  <c r="V306" i="4"/>
  <c r="Y330" i="4"/>
  <c r="U306" i="4"/>
  <c r="L182" i="4"/>
  <c r="X182" i="4"/>
  <c r="X306" i="4"/>
  <c r="K330" i="4"/>
  <c r="Q330" i="4"/>
  <c r="N182" i="4"/>
  <c r="AB306" i="4"/>
  <c r="W306" i="4"/>
  <c r="T330" i="4"/>
  <c r="Y182" i="4"/>
  <c r="R306" i="4"/>
  <c r="U182" i="4"/>
  <c r="M330" i="4"/>
  <c r="R330" i="4"/>
  <c r="V182" i="4"/>
  <c r="H224" i="4"/>
  <c r="Y224" i="4"/>
  <c r="O224" i="4"/>
  <c r="W224" i="4"/>
  <c r="L224" i="4"/>
  <c r="P224" i="4"/>
  <c r="Z224" i="4"/>
  <c r="E224" i="4"/>
  <c r="T224" i="4"/>
  <c r="A78" i="4"/>
  <c r="N224" i="4"/>
  <c r="AB224" i="4"/>
  <c r="F224" i="4"/>
  <c r="G224" i="4"/>
  <c r="U224" i="4"/>
  <c r="Q224" i="4"/>
  <c r="K224" i="4"/>
  <c r="R224" i="4"/>
  <c r="M224" i="4"/>
  <c r="S224" i="4"/>
  <c r="V224" i="4"/>
  <c r="J224" i="4"/>
  <c r="I224" i="4"/>
  <c r="AA224" i="4"/>
  <c r="X224" i="4"/>
  <c r="W333" i="4"/>
  <c r="N309" i="4"/>
  <c r="R309" i="4"/>
  <c r="N333" i="4"/>
  <c r="H333" i="4"/>
  <c r="P185" i="4"/>
  <c r="S309" i="4"/>
  <c r="O333" i="4"/>
  <c r="F185" i="4"/>
  <c r="AB333" i="4"/>
  <c r="R333" i="4"/>
  <c r="Y185" i="4"/>
  <c r="J185" i="4"/>
  <c r="AB309" i="4"/>
  <c r="L309" i="4"/>
  <c r="G333" i="4"/>
  <c r="S185" i="4"/>
  <c r="G309" i="4"/>
  <c r="L333" i="4"/>
  <c r="T309" i="4"/>
  <c r="J309" i="4"/>
  <c r="G185" i="4"/>
  <c r="Q333" i="4"/>
  <c r="I309" i="4"/>
  <c r="O309" i="4"/>
  <c r="AB185" i="4"/>
  <c r="F333" i="4"/>
  <c r="V333" i="4"/>
  <c r="AA185" i="4"/>
  <c r="AA309" i="4"/>
  <c r="S333" i="4"/>
  <c r="P309" i="4"/>
  <c r="I333" i="4"/>
  <c r="K185" i="4"/>
  <c r="H185" i="4"/>
  <c r="E333" i="4"/>
  <c r="N185" i="4"/>
  <c r="P333" i="4"/>
  <c r="I185" i="4"/>
  <c r="V185" i="4"/>
  <c r="U309" i="4"/>
  <c r="O185" i="4"/>
  <c r="M309" i="4"/>
  <c r="A39" i="4"/>
  <c r="T333" i="4"/>
  <c r="L185" i="4"/>
  <c r="M333" i="4"/>
  <c r="AA333" i="4"/>
  <c r="W185" i="4"/>
  <c r="Y333" i="4"/>
  <c r="W309" i="4"/>
  <c r="T185" i="4"/>
  <c r="E185" i="4"/>
  <c r="U333" i="4"/>
  <c r="X185" i="4"/>
  <c r="K309" i="4"/>
  <c r="M185" i="4"/>
  <c r="F309" i="4"/>
  <c r="X333" i="4"/>
  <c r="Y309" i="4"/>
  <c r="X309" i="4"/>
  <c r="U185" i="4"/>
  <c r="K333" i="4"/>
  <c r="E309" i="4"/>
  <c r="Q309" i="4"/>
  <c r="Z309" i="4"/>
  <c r="Z333" i="4"/>
  <c r="R185" i="4"/>
  <c r="Z185" i="4"/>
  <c r="H309" i="4"/>
  <c r="V309" i="4"/>
  <c r="Q185" i="4"/>
  <c r="J333" i="4"/>
  <c r="O177" i="4"/>
  <c r="E301" i="4"/>
  <c r="K301" i="4"/>
  <c r="V301" i="4"/>
  <c r="Q177" i="4"/>
  <c r="Z301" i="4"/>
  <c r="AB177" i="4"/>
  <c r="P301" i="4"/>
  <c r="L301" i="4"/>
  <c r="H301" i="4"/>
  <c r="U177" i="4"/>
  <c r="O325" i="4"/>
  <c r="W177" i="4"/>
  <c r="L177" i="4"/>
  <c r="S325" i="4"/>
  <c r="W301" i="4"/>
  <c r="AB325" i="4"/>
  <c r="P177" i="4"/>
  <c r="F325" i="4"/>
  <c r="A31" i="4"/>
  <c r="F177" i="4"/>
  <c r="V177" i="4"/>
  <c r="J301" i="4"/>
  <c r="J325" i="4"/>
  <c r="X177" i="4"/>
  <c r="AA301" i="4"/>
  <c r="V325" i="4"/>
  <c r="Q301" i="4"/>
  <c r="H177" i="4"/>
  <c r="Z325" i="4"/>
  <c r="E325" i="4"/>
  <c r="L325" i="4"/>
  <c r="S301" i="4"/>
  <c r="M177" i="4"/>
  <c r="J177" i="4"/>
  <c r="Z177" i="4"/>
  <c r="T301" i="4"/>
  <c r="T177" i="4"/>
  <c r="R177" i="4"/>
  <c r="T325" i="4"/>
  <c r="X325" i="4"/>
  <c r="R301" i="4"/>
  <c r="K177" i="4"/>
  <c r="R325" i="4"/>
  <c r="M301" i="4"/>
  <c r="AB301" i="4"/>
  <c r="N177" i="4"/>
  <c r="P325" i="4"/>
  <c r="K325" i="4"/>
  <c r="AA325" i="4"/>
  <c r="M325" i="4"/>
  <c r="G325" i="4"/>
  <c r="I177" i="4"/>
  <c r="N325" i="4"/>
  <c r="O301" i="4"/>
  <c r="G177" i="4"/>
  <c r="G301" i="4"/>
  <c r="U325" i="4"/>
  <c r="AA177" i="4"/>
  <c r="F301" i="4"/>
  <c r="Q325" i="4"/>
  <c r="I325" i="4"/>
  <c r="N301" i="4"/>
  <c r="X301" i="4"/>
  <c r="Y301" i="4"/>
  <c r="H325" i="4"/>
  <c r="E177" i="4"/>
  <c r="Y177" i="4"/>
  <c r="I301" i="4"/>
  <c r="Y325" i="4"/>
  <c r="S177" i="4"/>
  <c r="U301" i="4"/>
  <c r="W325" i="4"/>
  <c r="E228" i="4"/>
  <c r="Z228" i="4"/>
  <c r="H228" i="4"/>
  <c r="F228" i="4"/>
  <c r="I228" i="4"/>
  <c r="V228" i="4"/>
  <c r="G228" i="4"/>
  <c r="X228" i="4"/>
  <c r="T228" i="4"/>
  <c r="L228" i="4"/>
  <c r="Q228" i="4"/>
  <c r="P228" i="4"/>
  <c r="A82" i="4"/>
  <c r="AA228" i="4"/>
  <c r="M228" i="4"/>
  <c r="W228" i="4"/>
  <c r="Y228" i="4"/>
  <c r="O228" i="4"/>
  <c r="AB228" i="4"/>
  <c r="N228" i="4"/>
  <c r="R228" i="4"/>
  <c r="J228" i="4"/>
  <c r="K228" i="4"/>
  <c r="S228" i="4"/>
  <c r="U228" i="4"/>
  <c r="K153" i="4"/>
  <c r="Z153" i="4"/>
  <c r="AA153" i="4"/>
  <c r="V153" i="4"/>
  <c r="L153" i="4"/>
  <c r="X153" i="4"/>
  <c r="N153" i="4"/>
  <c r="H153" i="4"/>
  <c r="P153" i="4"/>
  <c r="G153" i="4"/>
  <c r="AB153" i="4"/>
  <c r="W153" i="4"/>
  <c r="Q153" i="4"/>
  <c r="F153" i="4"/>
  <c r="R153" i="4"/>
  <c r="A7" i="4"/>
  <c r="E153" i="4"/>
  <c r="J153" i="4"/>
  <c r="U153" i="4"/>
  <c r="Y153" i="4"/>
  <c r="S153" i="4"/>
  <c r="M153" i="4"/>
  <c r="I153" i="4"/>
  <c r="O153" i="4"/>
  <c r="T153" i="4"/>
  <c r="E223" i="4"/>
  <c r="AB223" i="4"/>
  <c r="X223" i="4"/>
  <c r="T223" i="4"/>
  <c r="N223" i="4"/>
  <c r="O223" i="4"/>
  <c r="M223" i="4"/>
  <c r="Y223" i="4"/>
  <c r="F223" i="4"/>
  <c r="L223" i="4"/>
  <c r="AA223" i="4"/>
  <c r="R223" i="4"/>
  <c r="W223" i="4"/>
  <c r="K223" i="4"/>
  <c r="V223" i="4"/>
  <c r="U223" i="4"/>
  <c r="G223" i="4"/>
  <c r="A77" i="4"/>
  <c r="J223" i="4"/>
  <c r="Q223" i="4"/>
  <c r="S223" i="4"/>
  <c r="I223" i="4"/>
  <c r="P223" i="4"/>
  <c r="H223" i="4"/>
  <c r="Z223" i="4"/>
  <c r="AB277" i="4"/>
  <c r="Z277" i="4"/>
  <c r="F277" i="4"/>
  <c r="I277" i="4"/>
  <c r="Q277" i="4"/>
  <c r="J277" i="4"/>
  <c r="AA277" i="4"/>
  <c r="E277" i="4"/>
  <c r="O277" i="4"/>
  <c r="S277" i="4"/>
  <c r="K277" i="4"/>
  <c r="X277" i="4"/>
  <c r="U277" i="4"/>
  <c r="G277" i="4"/>
  <c r="N277" i="4"/>
  <c r="P277" i="4"/>
  <c r="L277" i="4"/>
  <c r="M277" i="4"/>
  <c r="W277" i="4"/>
  <c r="T277" i="4"/>
  <c r="H277" i="4"/>
  <c r="V277" i="4"/>
  <c r="R277" i="4"/>
  <c r="Y277" i="4"/>
  <c r="W234" i="4"/>
  <c r="J234" i="4"/>
  <c r="AB234" i="4"/>
  <c r="R234" i="4"/>
  <c r="Y234" i="4"/>
  <c r="M234" i="4"/>
  <c r="H234" i="4"/>
  <c r="X234" i="4"/>
  <c r="P234" i="4"/>
  <c r="U234" i="4"/>
  <c r="T234" i="4"/>
  <c r="Q234" i="4"/>
  <c r="S234" i="4"/>
  <c r="K234" i="4"/>
  <c r="F234" i="4"/>
  <c r="V234" i="4"/>
  <c r="G234" i="4"/>
  <c r="E234" i="4"/>
  <c r="Z234" i="4"/>
  <c r="L234" i="4"/>
  <c r="O234" i="4"/>
  <c r="N234" i="4"/>
  <c r="A88" i="4"/>
  <c r="AA234" i="4"/>
  <c r="I234" i="4"/>
  <c r="J348" i="4"/>
  <c r="V200" i="4"/>
  <c r="A54" i="4"/>
  <c r="V348" i="4"/>
  <c r="Q348" i="4"/>
  <c r="W348" i="4"/>
  <c r="M348" i="4"/>
  <c r="S348" i="4"/>
  <c r="Y200" i="4"/>
  <c r="Z348" i="4"/>
  <c r="Q200" i="4"/>
  <c r="T348" i="4"/>
  <c r="R348" i="4"/>
  <c r="H200" i="4"/>
  <c r="S200" i="4"/>
  <c r="L348" i="4"/>
  <c r="W200" i="4"/>
  <c r="P348" i="4"/>
  <c r="M200" i="4"/>
  <c r="K200" i="4"/>
  <c r="E200" i="4"/>
  <c r="K348" i="4"/>
  <c r="F348" i="4"/>
  <c r="I348" i="4"/>
  <c r="I200" i="4"/>
  <c r="R200" i="4"/>
  <c r="X200" i="4"/>
  <c r="E348" i="4"/>
  <c r="Z200" i="4"/>
  <c r="AB200" i="4"/>
  <c r="N348" i="4"/>
  <c r="P200" i="4"/>
  <c r="F200" i="4"/>
  <c r="AA200" i="4"/>
  <c r="AA348" i="4"/>
  <c r="H348" i="4"/>
  <c r="U200" i="4"/>
  <c r="N200" i="4"/>
  <c r="Y348" i="4"/>
  <c r="J200" i="4"/>
  <c r="X348" i="4"/>
  <c r="AB348" i="4"/>
  <c r="O200" i="4"/>
  <c r="G348" i="4"/>
  <c r="T200" i="4"/>
  <c r="G200" i="4"/>
  <c r="U348" i="4"/>
  <c r="O348" i="4"/>
  <c r="L200" i="4"/>
  <c r="F232" i="4"/>
  <c r="X232" i="4"/>
  <c r="A86" i="4"/>
  <c r="U232" i="4"/>
  <c r="P232" i="4"/>
  <c r="I232" i="4"/>
  <c r="O232" i="4"/>
  <c r="V232" i="4"/>
  <c r="G232" i="4"/>
  <c r="R232" i="4"/>
  <c r="N232" i="4"/>
  <c r="T232" i="4"/>
  <c r="L232" i="4"/>
  <c r="Y232" i="4"/>
  <c r="J232" i="4"/>
  <c r="Z232" i="4"/>
  <c r="K232" i="4"/>
  <c r="M232" i="4"/>
  <c r="W232" i="4"/>
  <c r="AB232" i="4"/>
  <c r="E232" i="4"/>
  <c r="S232" i="4"/>
  <c r="AA232" i="4"/>
  <c r="H232" i="4"/>
  <c r="Q232" i="4"/>
  <c r="V195" i="4"/>
  <c r="I343" i="4"/>
  <c r="AA195" i="4"/>
  <c r="I195" i="4"/>
  <c r="L195" i="4"/>
  <c r="H195" i="4"/>
  <c r="V343" i="4"/>
  <c r="Q343" i="4"/>
  <c r="Q195" i="4"/>
  <c r="L343" i="4"/>
  <c r="F343" i="4"/>
  <c r="F195" i="4"/>
  <c r="N343" i="4"/>
  <c r="Y343" i="4"/>
  <c r="W343" i="4"/>
  <c r="AA343" i="4"/>
  <c r="U343" i="4"/>
  <c r="T343" i="4"/>
  <c r="P195" i="4"/>
  <c r="T195" i="4"/>
  <c r="W195" i="4"/>
  <c r="A49" i="4"/>
  <c r="Z343" i="4"/>
  <c r="H343" i="4"/>
  <c r="Z195" i="4"/>
  <c r="X343" i="4"/>
  <c r="X195" i="4"/>
  <c r="M195" i="4"/>
  <c r="K195" i="4"/>
  <c r="K343" i="4"/>
  <c r="J343" i="4"/>
  <c r="O343" i="4"/>
  <c r="R195" i="4"/>
  <c r="S343" i="4"/>
  <c r="R343" i="4"/>
  <c r="J195" i="4"/>
  <c r="AB343" i="4"/>
  <c r="U195" i="4"/>
  <c r="M343" i="4"/>
  <c r="Y195" i="4"/>
  <c r="O195" i="4"/>
  <c r="N195" i="4"/>
  <c r="S195" i="4"/>
  <c r="E195" i="4"/>
  <c r="AB195" i="4"/>
  <c r="G343" i="4"/>
  <c r="E343" i="4"/>
  <c r="P343" i="4"/>
  <c r="G195" i="4"/>
  <c r="Q287" i="4"/>
  <c r="T163" i="4"/>
  <c r="M287" i="4"/>
  <c r="AB287" i="4"/>
  <c r="O287" i="4"/>
  <c r="X163" i="4"/>
  <c r="S163" i="4"/>
  <c r="A17" i="4"/>
  <c r="R287" i="4"/>
  <c r="W287" i="4"/>
  <c r="E287" i="4"/>
  <c r="H287" i="4"/>
  <c r="F287" i="4"/>
  <c r="K287" i="4"/>
  <c r="J163" i="4"/>
  <c r="W163" i="4"/>
  <c r="E163" i="4"/>
  <c r="J287" i="4"/>
  <c r="I163" i="4"/>
  <c r="L163" i="4"/>
  <c r="G163" i="4"/>
  <c r="X287" i="4"/>
  <c r="T287" i="4"/>
  <c r="U287" i="4"/>
  <c r="O163" i="4"/>
  <c r="F163" i="4"/>
  <c r="R163" i="4"/>
  <c r="Z287" i="4"/>
  <c r="V287" i="4"/>
  <c r="G287" i="4"/>
  <c r="N163" i="4"/>
  <c r="AB163" i="4"/>
  <c r="P287" i="4"/>
  <c r="Y163" i="4"/>
  <c r="S287" i="4"/>
  <c r="I287" i="4"/>
  <c r="Y287" i="4"/>
  <c r="U163" i="4"/>
  <c r="M163" i="4"/>
  <c r="AA163" i="4"/>
  <c r="P163" i="4"/>
  <c r="Q163" i="4"/>
  <c r="Z163" i="4"/>
  <c r="K163" i="4"/>
  <c r="V163" i="4"/>
  <c r="N287" i="4"/>
  <c r="AA287" i="4"/>
  <c r="H163" i="4"/>
  <c r="L287" i="4"/>
  <c r="N192" i="4"/>
  <c r="Y340" i="4"/>
  <c r="L192" i="4"/>
  <c r="J340" i="4"/>
  <c r="T192" i="4"/>
  <c r="Z340" i="4"/>
  <c r="V316" i="4"/>
  <c r="L316" i="4"/>
  <c r="M340" i="4"/>
  <c r="N316" i="4"/>
  <c r="H192" i="4"/>
  <c r="X316" i="4"/>
  <c r="X340" i="4"/>
  <c r="R340" i="4"/>
  <c r="F316" i="4"/>
  <c r="Y192" i="4"/>
  <c r="R192" i="4"/>
  <c r="Z316" i="4"/>
  <c r="U340" i="4"/>
  <c r="AA316" i="4"/>
  <c r="A46" i="4"/>
  <c r="R316" i="4"/>
  <c r="H316" i="4"/>
  <c r="M192" i="4"/>
  <c r="U192" i="4"/>
  <c r="V340" i="4"/>
  <c r="W192" i="4"/>
  <c r="V192" i="4"/>
  <c r="N340" i="4"/>
  <c r="I340" i="4"/>
  <c r="J192" i="4"/>
  <c r="O192" i="4"/>
  <c r="AB316" i="4"/>
  <c r="AB192" i="4"/>
  <c r="E192" i="4"/>
  <c r="M316" i="4"/>
  <c r="W316" i="4"/>
  <c r="J316" i="4"/>
  <c r="E340" i="4"/>
  <c r="S316" i="4"/>
  <c r="T340" i="4"/>
  <c r="K316" i="4"/>
  <c r="O340" i="4"/>
  <c r="W340" i="4"/>
  <c r="L340" i="4"/>
  <c r="P192" i="4"/>
  <c r="Y316" i="4"/>
  <c r="AA192" i="4"/>
  <c r="H340" i="4"/>
  <c r="X192" i="4"/>
  <c r="U316" i="4"/>
  <c r="P316" i="4"/>
  <c r="AB340" i="4"/>
  <c r="I192" i="4"/>
  <c r="I316" i="4"/>
  <c r="Q340" i="4"/>
  <c r="Q316" i="4"/>
  <c r="S192" i="4"/>
  <c r="E316" i="4"/>
  <c r="P340" i="4"/>
  <c r="K192" i="4"/>
  <c r="AA340" i="4"/>
  <c r="G192" i="4"/>
  <c r="F340" i="4"/>
  <c r="O316" i="4"/>
  <c r="Q192" i="4"/>
  <c r="T316" i="4"/>
  <c r="K340" i="4"/>
  <c r="Z192" i="4"/>
  <c r="G316" i="4"/>
  <c r="G340" i="4"/>
  <c r="F192" i="4"/>
  <c r="S340" i="4"/>
  <c r="S166" i="4"/>
  <c r="K290" i="4"/>
  <c r="AA166" i="4"/>
  <c r="E166" i="4"/>
  <c r="J290" i="4"/>
  <c r="F166" i="4"/>
  <c r="R166" i="4"/>
  <c r="O166" i="4"/>
  <c r="X166" i="4"/>
  <c r="AB166" i="4"/>
  <c r="Z290" i="4"/>
  <c r="U166" i="4"/>
  <c r="G166" i="4"/>
  <c r="H290" i="4"/>
  <c r="W166" i="4"/>
  <c r="S290" i="4"/>
  <c r="Z166" i="4"/>
  <c r="E290" i="4"/>
  <c r="L290" i="4"/>
  <c r="Q290" i="4"/>
  <c r="W290" i="4"/>
  <c r="T290" i="4"/>
  <c r="J166" i="4"/>
  <c r="X290" i="4"/>
  <c r="Q166" i="4"/>
  <c r="M290" i="4"/>
  <c r="F290" i="4"/>
  <c r="H166" i="4"/>
  <c r="T166" i="4"/>
  <c r="O290" i="4"/>
  <c r="A20" i="4"/>
  <c r="I290" i="4"/>
  <c r="N290" i="4"/>
  <c r="P166" i="4"/>
  <c r="I166" i="4"/>
  <c r="Y290" i="4"/>
  <c r="K166" i="4"/>
  <c r="AB290" i="4"/>
  <c r="N166" i="4"/>
  <c r="L166" i="4"/>
  <c r="M166" i="4"/>
  <c r="V290" i="4"/>
  <c r="U290" i="4"/>
  <c r="Y166" i="4"/>
  <c r="G290" i="4"/>
  <c r="AA290" i="4"/>
  <c r="P290" i="4"/>
  <c r="R290" i="4"/>
  <c r="V166" i="4"/>
  <c r="A42" i="4"/>
  <c r="W312" i="4"/>
  <c r="AA312" i="4"/>
  <c r="U336" i="4"/>
  <c r="F312" i="4"/>
  <c r="K336" i="4"/>
  <c r="Y336" i="4"/>
  <c r="L336" i="4"/>
  <c r="N336" i="4"/>
  <c r="Y188" i="4"/>
  <c r="S312" i="4"/>
  <c r="E312" i="4"/>
  <c r="W336" i="4"/>
  <c r="R312" i="4"/>
  <c r="E336" i="4"/>
  <c r="W188" i="4"/>
  <c r="R336" i="4"/>
  <c r="Q188" i="4"/>
  <c r="Z188" i="4"/>
  <c r="O188" i="4"/>
  <c r="F336" i="4"/>
  <c r="Y312" i="4"/>
  <c r="M336" i="4"/>
  <c r="I188" i="4"/>
  <c r="E188" i="4"/>
  <c r="X188" i="4"/>
  <c r="T312" i="4"/>
  <c r="I336" i="4"/>
  <c r="N188" i="4"/>
  <c r="G336" i="4"/>
  <c r="H336" i="4"/>
  <c r="H312" i="4"/>
  <c r="J188" i="4"/>
  <c r="L312" i="4"/>
  <c r="O336" i="4"/>
  <c r="AB312" i="4"/>
  <c r="O312" i="4"/>
  <c r="V312" i="4"/>
  <c r="K188" i="4"/>
  <c r="L188" i="4"/>
  <c r="Q336" i="4"/>
  <c r="H188" i="4"/>
  <c r="N312" i="4"/>
  <c r="V336" i="4"/>
  <c r="AA336" i="4"/>
  <c r="U312" i="4"/>
  <c r="P336" i="4"/>
  <c r="G188" i="4"/>
  <c r="I312" i="4"/>
  <c r="X312" i="4"/>
  <c r="F188" i="4"/>
  <c r="T188" i="4"/>
  <c r="AB188" i="4"/>
  <c r="S336" i="4"/>
  <c r="T336" i="4"/>
  <c r="S188" i="4"/>
  <c r="J312" i="4"/>
  <c r="Z312" i="4"/>
  <c r="G312" i="4"/>
  <c r="AB336" i="4"/>
  <c r="P188" i="4"/>
  <c r="X336" i="4"/>
  <c r="J336" i="4"/>
  <c r="K312" i="4"/>
  <c r="R188" i="4"/>
  <c r="Z336" i="4"/>
  <c r="P312" i="4"/>
  <c r="M188" i="4"/>
  <c r="Q312" i="4"/>
  <c r="AA188" i="4"/>
  <c r="M312" i="4"/>
  <c r="V188" i="4"/>
  <c r="U188" i="4"/>
  <c r="A59" i="4"/>
  <c r="E353" i="4"/>
  <c r="M205" i="4"/>
  <c r="T353" i="4"/>
  <c r="Q205" i="4"/>
  <c r="X353" i="4"/>
  <c r="F353" i="4"/>
  <c r="F205" i="4"/>
  <c r="AB205" i="4"/>
  <c r="N353" i="4"/>
  <c r="O205" i="4"/>
  <c r="T205" i="4"/>
  <c r="V353" i="4"/>
  <c r="Z205" i="4"/>
  <c r="O353" i="4"/>
  <c r="W353" i="4"/>
  <c r="R353" i="4"/>
  <c r="X205" i="4"/>
  <c r="AA353" i="4"/>
  <c r="U353" i="4"/>
  <c r="U205" i="4"/>
  <c r="AB353" i="4"/>
  <c r="Y205" i="4"/>
  <c r="N205" i="4"/>
  <c r="L353" i="4"/>
  <c r="P205" i="4"/>
  <c r="M353" i="4"/>
  <c r="I353" i="4"/>
  <c r="K353" i="4"/>
  <c r="I205" i="4"/>
  <c r="Q353" i="4"/>
  <c r="H353" i="4"/>
  <c r="J205" i="4"/>
  <c r="P353" i="4"/>
  <c r="J353" i="4"/>
  <c r="W205" i="4"/>
  <c r="G353" i="4"/>
  <c r="G205" i="4"/>
  <c r="L205" i="4"/>
  <c r="R205" i="4"/>
  <c r="AA205" i="4"/>
  <c r="S353" i="4"/>
  <c r="H205" i="4"/>
  <c r="S205" i="4"/>
  <c r="E205" i="4"/>
  <c r="K205" i="4"/>
  <c r="Y353" i="4"/>
  <c r="Z353" i="4"/>
  <c r="V205" i="4"/>
  <c r="R347" i="4"/>
  <c r="W347" i="4"/>
  <c r="K199" i="4"/>
  <c r="X347" i="4"/>
  <c r="Z347" i="4"/>
  <c r="J199" i="4"/>
  <c r="R199" i="4"/>
  <c r="S347" i="4"/>
  <c r="L347" i="4"/>
  <c r="O347" i="4"/>
  <c r="V347" i="4"/>
  <c r="E347" i="4"/>
  <c r="W199" i="4"/>
  <c r="O199" i="4"/>
  <c r="V199" i="4"/>
  <c r="AB199" i="4"/>
  <c r="I347" i="4"/>
  <c r="AA199" i="4"/>
  <c r="Y199" i="4"/>
  <c r="AB347" i="4"/>
  <c r="Y347" i="4"/>
  <c r="Z199" i="4"/>
  <c r="Q199" i="4"/>
  <c r="K347" i="4"/>
  <c r="P199" i="4"/>
  <c r="X199" i="4"/>
  <c r="AA347" i="4"/>
  <c r="G347" i="4"/>
  <c r="A53" i="4"/>
  <c r="N199" i="4"/>
  <c r="H347" i="4"/>
  <c r="J347" i="4"/>
  <c r="M199" i="4"/>
  <c r="T199" i="4"/>
  <c r="Q347" i="4"/>
  <c r="F347" i="4"/>
  <c r="I199" i="4"/>
  <c r="P347" i="4"/>
  <c r="N347" i="4"/>
  <c r="E199" i="4"/>
  <c r="M347" i="4"/>
  <c r="G199" i="4"/>
  <c r="U199" i="4"/>
  <c r="F199" i="4"/>
  <c r="T347" i="4"/>
  <c r="S199" i="4"/>
  <c r="L199" i="4"/>
  <c r="U347" i="4"/>
  <c r="H199" i="4"/>
  <c r="AB239" i="4"/>
  <c r="W239" i="4"/>
  <c r="H239" i="4"/>
  <c r="J239" i="4"/>
  <c r="P239" i="4"/>
  <c r="U239" i="4"/>
  <c r="L239" i="4"/>
  <c r="X239" i="4"/>
  <c r="N239" i="4"/>
  <c r="Y239" i="4"/>
  <c r="E239" i="4"/>
  <c r="O239" i="4"/>
  <c r="M239" i="4"/>
  <c r="V239" i="4"/>
  <c r="F239" i="4"/>
  <c r="AA239" i="4"/>
  <c r="T239" i="4"/>
  <c r="R239" i="4"/>
  <c r="I239" i="4"/>
  <c r="Z239" i="4"/>
  <c r="K239" i="4"/>
  <c r="S239" i="4"/>
  <c r="Q239" i="4"/>
  <c r="G239" i="4"/>
  <c r="I162" i="4"/>
  <c r="T162" i="4"/>
  <c r="M286" i="4"/>
  <c r="E162" i="4"/>
  <c r="Y162" i="4"/>
  <c r="O286" i="4"/>
  <c r="Q162" i="4"/>
  <c r="AB162" i="4"/>
  <c r="Q286" i="4"/>
  <c r="AA286" i="4"/>
  <c r="Z286" i="4"/>
  <c r="K162" i="4"/>
  <c r="G162" i="4"/>
  <c r="A16" i="4"/>
  <c r="N162" i="4"/>
  <c r="G286" i="4"/>
  <c r="V286" i="4"/>
  <c r="M162" i="4"/>
  <c r="F162" i="4"/>
  <c r="J286" i="4"/>
  <c r="R286" i="4"/>
  <c r="P286" i="4"/>
  <c r="H162" i="4"/>
  <c r="U162" i="4"/>
  <c r="Y286" i="4"/>
  <c r="U286" i="4"/>
  <c r="X162" i="4"/>
  <c r="W162" i="4"/>
  <c r="T286" i="4"/>
  <c r="O162" i="4"/>
  <c r="S286" i="4"/>
  <c r="L162" i="4"/>
  <c r="P162" i="4"/>
  <c r="I286" i="4"/>
  <c r="L286" i="4"/>
  <c r="K286" i="4"/>
  <c r="AB286" i="4"/>
  <c r="V162" i="4"/>
  <c r="E286" i="4"/>
  <c r="Z162" i="4"/>
  <c r="N286" i="4"/>
  <c r="AA162" i="4"/>
  <c r="H286" i="4"/>
  <c r="R162" i="4"/>
  <c r="W286" i="4"/>
  <c r="S162" i="4"/>
  <c r="J162" i="4"/>
  <c r="X286" i="4"/>
  <c r="F286" i="4"/>
  <c r="G275" i="4"/>
  <c r="Q275" i="4"/>
  <c r="L275" i="4"/>
  <c r="P275" i="4"/>
  <c r="W275" i="4"/>
  <c r="Y275" i="4"/>
  <c r="R275" i="4"/>
  <c r="H275" i="4"/>
  <c r="X275" i="4"/>
  <c r="T275" i="4"/>
  <c r="AA275" i="4"/>
  <c r="F275" i="4"/>
  <c r="J275" i="4"/>
  <c r="S275" i="4"/>
  <c r="AB275" i="4"/>
  <c r="N275" i="4"/>
  <c r="M275" i="4"/>
  <c r="Z275" i="4"/>
  <c r="I275" i="4"/>
  <c r="U275" i="4"/>
  <c r="E275" i="4"/>
  <c r="O275" i="4"/>
  <c r="K275" i="4"/>
  <c r="V275" i="4"/>
  <c r="O276" i="4"/>
  <c r="U276" i="4"/>
  <c r="T276" i="4"/>
  <c r="AA276" i="4"/>
  <c r="Z276" i="4"/>
  <c r="K276" i="4"/>
  <c r="S276" i="4"/>
  <c r="L276" i="4"/>
  <c r="V276" i="4"/>
  <c r="Y276" i="4"/>
  <c r="E276" i="4"/>
  <c r="W276" i="4"/>
  <c r="I276" i="4"/>
  <c r="G276" i="4"/>
  <c r="P276" i="4"/>
  <c r="F276" i="4"/>
  <c r="Q276" i="4"/>
  <c r="J276" i="4"/>
  <c r="N276" i="4"/>
  <c r="H276" i="4"/>
  <c r="AB276" i="4"/>
  <c r="R276" i="4"/>
  <c r="X276" i="4"/>
  <c r="M276" i="4"/>
  <c r="Z176" i="4"/>
  <c r="W176" i="4"/>
  <c r="I300" i="4"/>
  <c r="M176" i="4"/>
  <c r="AB176" i="4"/>
  <c r="H324" i="4"/>
  <c r="R300" i="4"/>
  <c r="G324" i="4"/>
  <c r="N300" i="4"/>
  <c r="Y176" i="4"/>
  <c r="Q176" i="4"/>
  <c r="U324" i="4"/>
  <c r="U176" i="4"/>
  <c r="O324" i="4"/>
  <c r="A30" i="4"/>
  <c r="V300" i="4"/>
  <c r="L300" i="4"/>
  <c r="AB300" i="4"/>
  <c r="F324" i="4"/>
  <c r="J324" i="4"/>
  <c r="P176" i="4"/>
  <c r="J176" i="4"/>
  <c r="Q324" i="4"/>
  <c r="I176" i="4"/>
  <c r="T176" i="4"/>
  <c r="S300" i="4"/>
  <c r="V176" i="4"/>
  <c r="W300" i="4"/>
  <c r="K324" i="4"/>
  <c r="AB324" i="4"/>
  <c r="G300" i="4"/>
  <c r="I324" i="4"/>
  <c r="AA300" i="4"/>
  <c r="N176" i="4"/>
  <c r="Y324" i="4"/>
  <c r="F176" i="4"/>
  <c r="T324" i="4"/>
  <c r="H176" i="4"/>
  <c r="U300" i="4"/>
  <c r="E324" i="4"/>
  <c r="L176" i="4"/>
  <c r="S176" i="4"/>
  <c r="F300" i="4"/>
  <c r="Z300" i="4"/>
  <c r="X300" i="4"/>
  <c r="P324" i="4"/>
  <c r="K176" i="4"/>
  <c r="M324" i="4"/>
  <c r="T300" i="4"/>
  <c r="L324" i="4"/>
  <c r="W324" i="4"/>
  <c r="AA176" i="4"/>
  <c r="M300" i="4"/>
  <c r="O300" i="4"/>
  <c r="E176" i="4"/>
  <c r="J300" i="4"/>
  <c r="AA324" i="4"/>
  <c r="R176" i="4"/>
  <c r="Q300" i="4"/>
  <c r="N324" i="4"/>
  <c r="Y300" i="4"/>
  <c r="Z324" i="4"/>
  <c r="K300" i="4"/>
  <c r="V324" i="4"/>
  <c r="X176" i="4"/>
  <c r="H300" i="4"/>
  <c r="X324" i="4"/>
  <c r="S324" i="4"/>
  <c r="G176" i="4"/>
  <c r="P300" i="4"/>
  <c r="O176" i="4"/>
  <c r="R324" i="4"/>
  <c r="E300" i="4"/>
  <c r="T170" i="4"/>
  <c r="F170" i="4"/>
  <c r="S170" i="4"/>
  <c r="G294" i="4"/>
  <c r="AB170" i="4"/>
  <c r="Q170" i="4"/>
  <c r="X170" i="4"/>
  <c r="P170" i="4"/>
  <c r="Y294" i="4"/>
  <c r="V318" i="4"/>
  <c r="V294" i="4"/>
  <c r="N294" i="4"/>
  <c r="H170" i="4"/>
  <c r="S318" i="4"/>
  <c r="Y318" i="4"/>
  <c r="M170" i="4"/>
  <c r="Z170" i="4"/>
  <c r="AA294" i="4"/>
  <c r="U294" i="4"/>
  <c r="L170" i="4"/>
  <c r="P318" i="4"/>
  <c r="R318" i="4"/>
  <c r="O170" i="4"/>
  <c r="H294" i="4"/>
  <c r="E294" i="4"/>
  <c r="Q318" i="4"/>
  <c r="W318" i="4"/>
  <c r="M318" i="4"/>
  <c r="V170" i="4"/>
  <c r="I318" i="4"/>
  <c r="J318" i="4"/>
  <c r="T294" i="4"/>
  <c r="O294" i="4"/>
  <c r="O318" i="4"/>
  <c r="F318" i="4"/>
  <c r="N170" i="4"/>
  <c r="M294" i="4"/>
  <c r="T318" i="4"/>
  <c r="P294" i="4"/>
  <c r="K294" i="4"/>
  <c r="W170" i="4"/>
  <c r="E170" i="4"/>
  <c r="Z318" i="4"/>
  <c r="AA170" i="4"/>
  <c r="G170" i="4"/>
  <c r="R170" i="4"/>
  <c r="X318" i="4"/>
  <c r="N318" i="4"/>
  <c r="AB294" i="4"/>
  <c r="J170" i="4"/>
  <c r="X294" i="4"/>
  <c r="L294" i="4"/>
  <c r="U318" i="4"/>
  <c r="Z294" i="4"/>
  <c r="G318" i="4"/>
  <c r="R294" i="4"/>
  <c r="E318" i="4"/>
  <c r="J294" i="4"/>
  <c r="Y170" i="4"/>
  <c r="U170" i="4"/>
  <c r="AB318" i="4"/>
  <c r="AA318" i="4"/>
  <c r="S294" i="4"/>
  <c r="K170" i="4"/>
  <c r="F294" i="4"/>
  <c r="H318" i="4"/>
  <c r="K318" i="4"/>
  <c r="A24" i="4"/>
  <c r="I294" i="4"/>
  <c r="W294" i="4"/>
  <c r="L318" i="4"/>
  <c r="Q294" i="4"/>
  <c r="I170" i="4"/>
  <c r="K280" i="4"/>
  <c r="V280" i="4"/>
  <c r="T280" i="4"/>
  <c r="O280" i="4"/>
  <c r="M280" i="4"/>
  <c r="Z280" i="4"/>
  <c r="L280" i="4"/>
  <c r="G280" i="4"/>
  <c r="Q280" i="4"/>
  <c r="H280" i="4"/>
  <c r="P280" i="4"/>
  <c r="I280" i="4"/>
  <c r="U280" i="4"/>
  <c r="X280" i="4"/>
  <c r="J280" i="4"/>
  <c r="N280" i="4"/>
  <c r="Y280" i="4"/>
  <c r="S280" i="4"/>
  <c r="AA280" i="4"/>
  <c r="E280" i="4"/>
  <c r="AB280" i="4"/>
  <c r="W280" i="4"/>
  <c r="R280" i="4"/>
  <c r="F280" i="4"/>
  <c r="Q206" i="4"/>
  <c r="R206" i="4"/>
  <c r="J206" i="4"/>
  <c r="R354" i="4"/>
  <c r="M354" i="4"/>
  <c r="V354" i="4"/>
  <c r="N354" i="4"/>
  <c r="E206" i="4"/>
  <c r="I206" i="4"/>
  <c r="Z354" i="4"/>
  <c r="N206" i="4"/>
  <c r="Q354" i="4"/>
  <c r="E354" i="4"/>
  <c r="W206" i="4"/>
  <c r="AA354" i="4"/>
  <c r="V206" i="4"/>
  <c r="X206" i="4"/>
  <c r="G354" i="4"/>
  <c r="AA206" i="4"/>
  <c r="M206" i="4"/>
  <c r="H206" i="4"/>
  <c r="Y354" i="4"/>
  <c r="Y206" i="4"/>
  <c r="L354" i="4"/>
  <c r="Z206" i="4"/>
  <c r="H354" i="4"/>
  <c r="O206" i="4"/>
  <c r="T206" i="4"/>
  <c r="AB354" i="4"/>
  <c r="W354" i="4"/>
  <c r="K354" i="4"/>
  <c r="F206" i="4"/>
  <c r="U206" i="4"/>
  <c r="A60" i="4"/>
  <c r="P354" i="4"/>
  <c r="S354" i="4"/>
  <c r="K206" i="4"/>
  <c r="AB206" i="4"/>
  <c r="X354" i="4"/>
  <c r="T354" i="4"/>
  <c r="J354" i="4"/>
  <c r="F354" i="4"/>
  <c r="O354" i="4"/>
  <c r="G206" i="4"/>
  <c r="P206" i="4"/>
  <c r="I354" i="4"/>
  <c r="L206" i="4"/>
  <c r="S206" i="4"/>
  <c r="U354" i="4"/>
  <c r="Z260" i="4"/>
  <c r="V260" i="4"/>
  <c r="AB260" i="4"/>
  <c r="P260" i="4"/>
  <c r="O260" i="4"/>
  <c r="H260" i="4"/>
  <c r="R260" i="4"/>
  <c r="G260" i="4"/>
  <c r="L260" i="4"/>
  <c r="S260" i="4"/>
  <c r="Y260" i="4"/>
  <c r="M260" i="4"/>
  <c r="X260" i="4"/>
  <c r="N260" i="4"/>
  <c r="F260" i="4"/>
  <c r="K260" i="4"/>
  <c r="AA260" i="4"/>
  <c r="I260" i="4"/>
  <c r="W260" i="4"/>
  <c r="Q260" i="4"/>
  <c r="J260" i="4"/>
  <c r="E260" i="4"/>
  <c r="T260" i="4"/>
  <c r="U260" i="4"/>
  <c r="I242" i="4"/>
  <c r="S242" i="4"/>
  <c r="M242" i="4"/>
  <c r="F242" i="4"/>
  <c r="T242" i="4"/>
  <c r="L242" i="4"/>
  <c r="J242" i="4"/>
  <c r="X242" i="4"/>
  <c r="Y242" i="4"/>
  <c r="V242" i="4"/>
  <c r="Q242" i="4"/>
  <c r="U242" i="4"/>
  <c r="G242" i="4"/>
  <c r="O242" i="4"/>
  <c r="Z242" i="4"/>
  <c r="AA242" i="4"/>
  <c r="K242" i="4"/>
  <c r="N242" i="4"/>
  <c r="P242" i="4"/>
  <c r="H242" i="4"/>
  <c r="R242" i="4"/>
  <c r="W242" i="4"/>
  <c r="E242" i="4"/>
  <c r="AB242" i="4"/>
  <c r="Z187" i="4"/>
  <c r="T187" i="4"/>
  <c r="K335" i="4"/>
  <c r="K311" i="4"/>
  <c r="Z311" i="4"/>
  <c r="W187" i="4"/>
  <c r="T311" i="4"/>
  <c r="H187" i="4"/>
  <c r="O335" i="4"/>
  <c r="Y311" i="4"/>
  <c r="AA311" i="4"/>
  <c r="O311" i="4"/>
  <c r="AB187" i="4"/>
  <c r="S335" i="4"/>
  <c r="F311" i="4"/>
  <c r="R187" i="4"/>
  <c r="U311" i="4"/>
  <c r="I311" i="4"/>
  <c r="J187" i="4"/>
  <c r="I187" i="4"/>
  <c r="Q335" i="4"/>
  <c r="X187" i="4"/>
  <c r="P311" i="4"/>
  <c r="H335" i="4"/>
  <c r="H311" i="4"/>
  <c r="V335" i="4"/>
  <c r="W335" i="4"/>
  <c r="U335" i="4"/>
  <c r="N335" i="4"/>
  <c r="S311" i="4"/>
  <c r="X311" i="4"/>
  <c r="F187" i="4"/>
  <c r="L187" i="4"/>
  <c r="Y187" i="4"/>
  <c r="M335" i="4"/>
  <c r="G311" i="4"/>
  <c r="Q187" i="4"/>
  <c r="M187" i="4"/>
  <c r="Y335" i="4"/>
  <c r="V187" i="4"/>
  <c r="P335" i="4"/>
  <c r="R335" i="4"/>
  <c r="G187" i="4"/>
  <c r="L311" i="4"/>
  <c r="K187" i="4"/>
  <c r="AA187" i="4"/>
  <c r="T335" i="4"/>
  <c r="N311" i="4"/>
  <c r="S187" i="4"/>
  <c r="L335" i="4"/>
  <c r="J311" i="4"/>
  <c r="J335" i="4"/>
  <c r="R311" i="4"/>
  <c r="X335" i="4"/>
  <c r="O187" i="4"/>
  <c r="E311" i="4"/>
  <c r="F335" i="4"/>
  <c r="P187" i="4"/>
  <c r="AA335" i="4"/>
  <c r="U187" i="4"/>
  <c r="M311" i="4"/>
  <c r="W311" i="4"/>
  <c r="I335" i="4"/>
  <c r="Z335" i="4"/>
  <c r="E335" i="4"/>
  <c r="Q311" i="4"/>
  <c r="G335" i="4"/>
  <c r="N187" i="4"/>
  <c r="V311" i="4"/>
  <c r="AB335" i="4"/>
  <c r="AB311" i="4"/>
  <c r="E187" i="4"/>
  <c r="A41" i="4"/>
  <c r="N243" i="4"/>
  <c r="P243" i="4"/>
  <c r="R243" i="4"/>
  <c r="E243" i="4"/>
  <c r="I243" i="4"/>
  <c r="W243" i="4"/>
  <c r="F243" i="4"/>
  <c r="V243" i="4"/>
  <c r="M243" i="4"/>
  <c r="T243" i="4"/>
  <c r="S243" i="4"/>
  <c r="J243" i="4"/>
  <c r="X243" i="4"/>
  <c r="K243" i="4"/>
  <c r="U243" i="4"/>
  <c r="Y243" i="4"/>
  <c r="AB243" i="4"/>
  <c r="G243" i="4"/>
  <c r="Z243" i="4"/>
  <c r="Q243" i="4"/>
  <c r="O243" i="4"/>
  <c r="H243" i="4"/>
  <c r="L243" i="4"/>
  <c r="AA243" i="4"/>
  <c r="O257" i="4"/>
  <c r="H257" i="4"/>
  <c r="T257" i="4"/>
  <c r="N257" i="4"/>
  <c r="G257" i="4"/>
  <c r="P257" i="4"/>
  <c r="S257" i="4"/>
  <c r="I257" i="4"/>
  <c r="J257" i="4"/>
  <c r="V257" i="4"/>
  <c r="E257" i="4"/>
  <c r="Q257" i="4"/>
  <c r="AB257" i="4"/>
  <c r="R257" i="4"/>
  <c r="Z257" i="4"/>
  <c r="U257" i="4"/>
  <c r="AA257" i="4"/>
  <c r="X257" i="4"/>
  <c r="F257" i="4"/>
  <c r="K257" i="4"/>
  <c r="M257" i="4"/>
  <c r="L257" i="4"/>
  <c r="Y257" i="4"/>
  <c r="W257" i="4"/>
  <c r="R164" i="4"/>
  <c r="F288" i="4"/>
  <c r="O164" i="4"/>
  <c r="S288" i="4"/>
  <c r="X288" i="4"/>
  <c r="Q288" i="4"/>
  <c r="AA164" i="4"/>
  <c r="N164" i="4"/>
  <c r="P164" i="4"/>
  <c r="M288" i="4"/>
  <c r="V288" i="4"/>
  <c r="K288" i="4"/>
  <c r="T164" i="4"/>
  <c r="AB164" i="4"/>
  <c r="U164" i="4"/>
  <c r="E164" i="4"/>
  <c r="H288" i="4"/>
  <c r="F164" i="4"/>
  <c r="K164" i="4"/>
  <c r="L288" i="4"/>
  <c r="G288" i="4"/>
  <c r="Z164" i="4"/>
  <c r="L164" i="4"/>
  <c r="V164" i="4"/>
  <c r="X164" i="4"/>
  <c r="AA288" i="4"/>
  <c r="W164" i="4"/>
  <c r="Z288" i="4"/>
  <c r="R288" i="4"/>
  <c r="G164" i="4"/>
  <c r="Y164" i="4"/>
  <c r="Q164" i="4"/>
  <c r="S164" i="4"/>
  <c r="E288" i="4"/>
  <c r="T288" i="4"/>
  <c r="I164" i="4"/>
  <c r="W288" i="4"/>
  <c r="M164" i="4"/>
  <c r="H164" i="4"/>
  <c r="AB288" i="4"/>
  <c r="I288" i="4"/>
  <c r="J288" i="4"/>
  <c r="O288" i="4"/>
  <c r="J164" i="4"/>
  <c r="P288" i="4"/>
  <c r="A18" i="4"/>
  <c r="Y288" i="4"/>
  <c r="N288" i="4"/>
  <c r="U288" i="4"/>
  <c r="N281" i="4"/>
  <c r="J281" i="4"/>
  <c r="F281" i="4"/>
  <c r="O281" i="4"/>
  <c r="AB281" i="4"/>
  <c r="W281" i="4"/>
  <c r="S281" i="4"/>
  <c r="Z281" i="4"/>
  <c r="V281" i="4"/>
  <c r="R281" i="4"/>
  <c r="P281" i="4"/>
  <c r="K281" i="4"/>
  <c r="E281" i="4"/>
  <c r="G281" i="4"/>
  <c r="H281" i="4"/>
  <c r="Y281" i="4"/>
  <c r="M281" i="4"/>
  <c r="T281" i="4"/>
  <c r="X281" i="4"/>
  <c r="U281" i="4"/>
  <c r="Q281" i="4"/>
  <c r="AA281" i="4"/>
  <c r="L281" i="4"/>
  <c r="I281" i="4"/>
  <c r="W321" i="4"/>
  <c r="U173" i="4"/>
  <c r="N173" i="4"/>
  <c r="S321" i="4"/>
  <c r="Q321" i="4"/>
  <c r="L321" i="4"/>
  <c r="AB297" i="4"/>
  <c r="S297" i="4"/>
  <c r="W297" i="4"/>
  <c r="J297" i="4"/>
  <c r="AA297" i="4"/>
  <c r="N321" i="4"/>
  <c r="H297" i="4"/>
  <c r="E297" i="4"/>
  <c r="T297" i="4"/>
  <c r="H173" i="4"/>
  <c r="R321" i="4"/>
  <c r="T173" i="4"/>
  <c r="X173" i="4"/>
  <c r="A27" i="4"/>
  <c r="K297" i="4"/>
  <c r="U321" i="4"/>
  <c r="G297" i="4"/>
  <c r="Y297" i="4"/>
  <c r="Y173" i="4"/>
  <c r="L173" i="4"/>
  <c r="Q173" i="4"/>
  <c r="G321" i="4"/>
  <c r="E321" i="4"/>
  <c r="AA173" i="4"/>
  <c r="V321" i="4"/>
  <c r="Z321" i="4"/>
  <c r="W173" i="4"/>
  <c r="O321" i="4"/>
  <c r="N297" i="4"/>
  <c r="AB173" i="4"/>
  <c r="M297" i="4"/>
  <c r="O173" i="4"/>
  <c r="L297" i="4"/>
  <c r="K173" i="4"/>
  <c r="S173" i="4"/>
  <c r="I297" i="4"/>
  <c r="U297" i="4"/>
  <c r="Y321" i="4"/>
  <c r="G173" i="4"/>
  <c r="R173" i="4"/>
  <c r="E173" i="4"/>
  <c r="H321" i="4"/>
  <c r="P321" i="4"/>
  <c r="F297" i="4"/>
  <c r="K321" i="4"/>
  <c r="V173" i="4"/>
  <c r="J173" i="4"/>
  <c r="Q297" i="4"/>
  <c r="P297" i="4"/>
  <c r="X297" i="4"/>
  <c r="O297" i="4"/>
  <c r="T321" i="4"/>
  <c r="I173" i="4"/>
  <c r="X321" i="4"/>
  <c r="J321" i="4"/>
  <c r="I321" i="4"/>
  <c r="Z173" i="4"/>
  <c r="Z297" i="4"/>
  <c r="F321" i="4"/>
  <c r="M321" i="4"/>
  <c r="M173" i="4"/>
  <c r="F173" i="4"/>
  <c r="R297" i="4"/>
  <c r="AA321" i="4"/>
  <c r="AB321" i="4"/>
  <c r="P173" i="4"/>
  <c r="V297" i="4"/>
  <c r="V213" i="4"/>
  <c r="E362" i="4"/>
  <c r="M362" i="4"/>
  <c r="F213" i="4"/>
  <c r="H213" i="4"/>
  <c r="N362" i="4"/>
  <c r="T213" i="4"/>
  <c r="Q213" i="4"/>
  <c r="AB213" i="4"/>
  <c r="H362" i="4"/>
  <c r="G362" i="4"/>
  <c r="U362" i="4"/>
  <c r="T362" i="4"/>
  <c r="L362" i="4"/>
  <c r="A67" i="4"/>
  <c r="O213" i="4"/>
  <c r="R362" i="4"/>
  <c r="E213" i="4"/>
  <c r="U213" i="4"/>
  <c r="AA213" i="4"/>
  <c r="F362" i="4"/>
  <c r="Y362" i="4"/>
  <c r="J213" i="4"/>
  <c r="Z362" i="4"/>
  <c r="X213" i="4"/>
  <c r="Q362" i="4"/>
  <c r="AA362" i="4"/>
  <c r="P213" i="4"/>
  <c r="W362" i="4"/>
  <c r="X362" i="4"/>
  <c r="P362" i="4"/>
  <c r="Y213" i="4"/>
  <c r="S362" i="4"/>
  <c r="W213" i="4"/>
  <c r="R213" i="4"/>
  <c r="L213" i="4"/>
  <c r="AB362" i="4"/>
  <c r="I213" i="4"/>
  <c r="K213" i="4"/>
  <c r="S213" i="4"/>
  <c r="I362" i="4"/>
  <c r="Z213" i="4"/>
  <c r="J362" i="4"/>
  <c r="G213" i="4"/>
  <c r="N213" i="4"/>
  <c r="V362" i="4"/>
  <c r="O362" i="4"/>
  <c r="K362" i="4"/>
  <c r="M213" i="4"/>
  <c r="Y212" i="4"/>
  <c r="L361" i="4"/>
  <c r="N361" i="4"/>
  <c r="H361" i="4"/>
  <c r="W212" i="4"/>
  <c r="N212" i="4"/>
  <c r="M361" i="4"/>
  <c r="K361" i="4"/>
  <c r="E212" i="4"/>
  <c r="I361" i="4"/>
  <c r="S361" i="4"/>
  <c r="U361" i="4"/>
  <c r="P212" i="4"/>
  <c r="S212" i="4"/>
  <c r="G361" i="4"/>
  <c r="AB212" i="4"/>
  <c r="R361" i="4"/>
  <c r="L212" i="4"/>
  <c r="O212" i="4"/>
  <c r="I212" i="4"/>
  <c r="AB361" i="4"/>
  <c r="Q361" i="4"/>
  <c r="T212" i="4"/>
  <c r="A66" i="4"/>
  <c r="AA361" i="4"/>
  <c r="W361" i="4"/>
  <c r="G212" i="4"/>
  <c r="X361" i="4"/>
  <c r="F361" i="4"/>
  <c r="AA212" i="4"/>
  <c r="O361" i="4"/>
  <c r="V212" i="4"/>
  <c r="T361" i="4"/>
  <c r="Z361" i="4"/>
  <c r="Q212" i="4"/>
  <c r="E361" i="4"/>
  <c r="F212" i="4"/>
  <c r="H212" i="4"/>
  <c r="R212" i="4"/>
  <c r="X212" i="4"/>
  <c r="Z212" i="4"/>
  <c r="U212" i="4"/>
  <c r="K212" i="4"/>
  <c r="Y361" i="4"/>
  <c r="J212" i="4"/>
  <c r="J361" i="4"/>
  <c r="V361" i="4"/>
  <c r="P361" i="4"/>
  <c r="M212" i="4"/>
  <c r="S258" i="4"/>
  <c r="Q258" i="4"/>
  <c r="F258" i="4"/>
  <c r="AB258" i="4"/>
  <c r="V258" i="4"/>
  <c r="X258" i="4"/>
  <c r="I258" i="4"/>
  <c r="O258" i="4"/>
  <c r="G258" i="4"/>
  <c r="R258" i="4"/>
  <c r="P258" i="4"/>
  <c r="K258" i="4"/>
  <c r="E258" i="4"/>
  <c r="U258" i="4"/>
  <c r="AA258" i="4"/>
  <c r="Z258" i="4"/>
  <c r="T258" i="4"/>
  <c r="W258" i="4"/>
  <c r="M258" i="4"/>
  <c r="J258" i="4"/>
  <c r="L258" i="4"/>
  <c r="Y258" i="4"/>
  <c r="H258" i="4"/>
  <c r="N258" i="4"/>
  <c r="Q201" i="4"/>
  <c r="Y349" i="4"/>
  <c r="M201" i="4"/>
  <c r="N349" i="4"/>
  <c r="T201" i="4"/>
  <c r="K349" i="4"/>
  <c r="F349" i="4"/>
  <c r="M349" i="4"/>
  <c r="Z201" i="4"/>
  <c r="I349" i="4"/>
  <c r="J201" i="4"/>
  <c r="AA201" i="4"/>
  <c r="U201" i="4"/>
  <c r="J349" i="4"/>
  <c r="P349" i="4"/>
  <c r="H349" i="4"/>
  <c r="N201" i="4"/>
  <c r="Q349" i="4"/>
  <c r="AB349" i="4"/>
  <c r="V349" i="4"/>
  <c r="Z349" i="4"/>
  <c r="W349" i="4"/>
  <c r="Y201" i="4"/>
  <c r="P201" i="4"/>
  <c r="E201" i="4"/>
  <c r="G349" i="4"/>
  <c r="I201" i="4"/>
  <c r="A55" i="4"/>
  <c r="R201" i="4"/>
  <c r="X349" i="4"/>
  <c r="R349" i="4"/>
  <c r="S201" i="4"/>
  <c r="L349" i="4"/>
  <c r="L201" i="4"/>
  <c r="U349" i="4"/>
  <c r="O349" i="4"/>
  <c r="E349" i="4"/>
  <c r="O201" i="4"/>
  <c r="H201" i="4"/>
  <c r="W201" i="4"/>
  <c r="S349" i="4"/>
  <c r="X201" i="4"/>
  <c r="G201" i="4"/>
  <c r="K201" i="4"/>
  <c r="AA349" i="4"/>
  <c r="F201" i="4"/>
  <c r="AB201" i="4"/>
  <c r="T349" i="4"/>
  <c r="V201" i="4"/>
  <c r="J261" i="4"/>
  <c r="S261" i="4"/>
  <c r="G261" i="4"/>
  <c r="K261" i="4"/>
  <c r="R261" i="4"/>
  <c r="H261" i="4"/>
  <c r="Q261" i="4"/>
  <c r="P261" i="4"/>
  <c r="O261" i="4"/>
  <c r="W261" i="4"/>
  <c r="X261" i="4"/>
  <c r="V261" i="4"/>
  <c r="AB261" i="4"/>
  <c r="Z261" i="4"/>
  <c r="Y261" i="4"/>
  <c r="I261" i="4"/>
  <c r="N261" i="4"/>
  <c r="U261" i="4"/>
  <c r="E261" i="4"/>
  <c r="L261" i="4"/>
  <c r="F261" i="4"/>
  <c r="AA261" i="4"/>
  <c r="T261" i="4"/>
  <c r="M261" i="4"/>
  <c r="X165" i="4"/>
  <c r="R289" i="4"/>
  <c r="M165" i="4"/>
  <c r="A19" i="4"/>
  <c r="G165" i="4"/>
  <c r="U289" i="4"/>
  <c r="F165" i="4"/>
  <c r="O165" i="4"/>
  <c r="P289" i="4"/>
  <c r="L289" i="4"/>
  <c r="V165" i="4"/>
  <c r="V289" i="4"/>
  <c r="J289" i="4"/>
  <c r="W289" i="4"/>
  <c r="G289" i="4"/>
  <c r="H289" i="4"/>
  <c r="S165" i="4"/>
  <c r="J165" i="4"/>
  <c r="W165" i="4"/>
  <c r="N289" i="4"/>
  <c r="AA165" i="4"/>
  <c r="T289" i="4"/>
  <c r="N165" i="4"/>
  <c r="O289" i="4"/>
  <c r="I165" i="4"/>
  <c r="M289" i="4"/>
  <c r="Z289" i="4"/>
  <c r="S289" i="4"/>
  <c r="Q165" i="4"/>
  <c r="R165" i="4"/>
  <c r="E165" i="4"/>
  <c r="U165" i="4"/>
  <c r="Z165" i="4"/>
  <c r="AA289" i="4"/>
  <c r="K289" i="4"/>
  <c r="T165" i="4"/>
  <c r="E289" i="4"/>
  <c r="K165" i="4"/>
  <c r="H165" i="4"/>
  <c r="P165" i="4"/>
  <c r="I289" i="4"/>
  <c r="AB165" i="4"/>
  <c r="Q289" i="4"/>
  <c r="Y289" i="4"/>
  <c r="X289" i="4"/>
  <c r="L165" i="4"/>
  <c r="Y165" i="4"/>
  <c r="AB289" i="4"/>
  <c r="F289" i="4"/>
  <c r="O244" i="4"/>
  <c r="Q244" i="4"/>
  <c r="J244" i="4"/>
  <c r="E244" i="4"/>
  <c r="U244" i="4"/>
  <c r="H244" i="4"/>
  <c r="M244" i="4"/>
  <c r="I244" i="4"/>
  <c r="Y244" i="4"/>
  <c r="AB244" i="4"/>
  <c r="G244" i="4"/>
  <c r="W244" i="4"/>
  <c r="V244" i="4"/>
  <c r="L244" i="4"/>
  <c r="AA244" i="4"/>
  <c r="N244" i="4"/>
  <c r="S244" i="4"/>
  <c r="F244" i="4"/>
  <c r="Z244" i="4"/>
  <c r="T244" i="4"/>
  <c r="R244" i="4"/>
  <c r="P244" i="4"/>
  <c r="K244" i="4"/>
  <c r="X244" i="4"/>
  <c r="AB190" i="4"/>
  <c r="R314" i="4"/>
  <c r="K338" i="4"/>
  <c r="N338" i="4"/>
  <c r="S314" i="4"/>
  <c r="Y190" i="4"/>
  <c r="W314" i="4"/>
  <c r="E338" i="4"/>
  <c r="P190" i="4"/>
  <c r="L314" i="4"/>
  <c r="T314" i="4"/>
  <c r="Q338" i="4"/>
  <c r="I338" i="4"/>
  <c r="AB314" i="4"/>
  <c r="V190" i="4"/>
  <c r="U190" i="4"/>
  <c r="O314" i="4"/>
  <c r="K314" i="4"/>
  <c r="Z314" i="4"/>
  <c r="H314" i="4"/>
  <c r="F190" i="4"/>
  <c r="X338" i="4"/>
  <c r="S190" i="4"/>
  <c r="L190" i="4"/>
  <c r="E314" i="4"/>
  <c r="I190" i="4"/>
  <c r="G314" i="4"/>
  <c r="R190" i="4"/>
  <c r="J314" i="4"/>
  <c r="I314" i="4"/>
  <c r="AB338" i="4"/>
  <c r="H338" i="4"/>
  <c r="M338" i="4"/>
  <c r="L338" i="4"/>
  <c r="T338" i="4"/>
  <c r="AA190" i="4"/>
  <c r="M190" i="4"/>
  <c r="W190" i="4"/>
  <c r="Z338" i="4"/>
  <c r="O338" i="4"/>
  <c r="V338" i="4"/>
  <c r="U338" i="4"/>
  <c r="W338" i="4"/>
  <c r="J190" i="4"/>
  <c r="Q190" i="4"/>
  <c r="K190" i="4"/>
  <c r="J338" i="4"/>
  <c r="Z190" i="4"/>
  <c r="G338" i="4"/>
  <c r="G190" i="4"/>
  <c r="F338" i="4"/>
  <c r="S338" i="4"/>
  <c r="Q314" i="4"/>
  <c r="P338" i="4"/>
  <c r="R338" i="4"/>
  <c r="U314" i="4"/>
  <c r="O190" i="4"/>
  <c r="H190" i="4"/>
  <c r="X190" i="4"/>
  <c r="AA338" i="4"/>
  <c r="Y338" i="4"/>
  <c r="N190" i="4"/>
  <c r="Y314" i="4"/>
  <c r="P314" i="4"/>
  <c r="E190" i="4"/>
  <c r="T190" i="4"/>
  <c r="AA314" i="4"/>
  <c r="F314" i="4"/>
  <c r="M314" i="4"/>
  <c r="X314" i="4"/>
  <c r="N314" i="4"/>
  <c r="V314" i="4"/>
  <c r="A44" i="4"/>
  <c r="AA198" i="4"/>
  <c r="J198" i="4"/>
  <c r="AA346" i="4"/>
  <c r="Y198" i="4"/>
  <c r="Z346" i="4"/>
  <c r="AB198" i="4"/>
  <c r="Y346" i="4"/>
  <c r="V198" i="4"/>
  <c r="Z198" i="4"/>
  <c r="L346" i="4"/>
  <c r="W346" i="4"/>
  <c r="U346" i="4"/>
  <c r="G346" i="4"/>
  <c r="AB346" i="4"/>
  <c r="O346" i="4"/>
  <c r="T198" i="4"/>
  <c r="U198" i="4"/>
  <c r="P198" i="4"/>
  <c r="J346" i="4"/>
  <c r="N346" i="4"/>
  <c r="R346" i="4"/>
  <c r="S346" i="4"/>
  <c r="M346" i="4"/>
  <c r="E346" i="4"/>
  <c r="G198" i="4"/>
  <c r="F346" i="4"/>
  <c r="K346" i="4"/>
  <c r="X346" i="4"/>
  <c r="H346" i="4"/>
  <c r="O198" i="4"/>
  <c r="V346" i="4"/>
  <c r="L198" i="4"/>
  <c r="W198" i="4"/>
  <c r="X198" i="4"/>
  <c r="H198" i="4"/>
  <c r="N198" i="4"/>
  <c r="M198" i="4"/>
  <c r="K198" i="4"/>
  <c r="E198" i="4"/>
  <c r="S198" i="4"/>
  <c r="Q198" i="4"/>
  <c r="T346" i="4"/>
  <c r="F198" i="4"/>
  <c r="P346" i="4"/>
  <c r="R198" i="4"/>
  <c r="A52" i="4"/>
  <c r="Q346" i="4"/>
  <c r="I198" i="4"/>
  <c r="I346" i="4"/>
  <c r="N157" i="4"/>
  <c r="O157" i="4"/>
  <c r="M157" i="4"/>
  <c r="I157" i="4"/>
  <c r="X157" i="4"/>
  <c r="R157" i="4"/>
  <c r="F157" i="4"/>
  <c r="Z157" i="4"/>
  <c r="E157" i="4"/>
  <c r="S157" i="4"/>
  <c r="H157" i="4"/>
  <c r="A11" i="4"/>
  <c r="Q157" i="4"/>
  <c r="J157" i="4"/>
  <c r="G157" i="4"/>
  <c r="Y157" i="4"/>
  <c r="T157" i="4"/>
  <c r="W157" i="4"/>
  <c r="K157" i="4"/>
  <c r="AA157" i="4"/>
  <c r="AB157" i="4"/>
  <c r="P157" i="4"/>
  <c r="U157" i="4"/>
  <c r="V157" i="4"/>
  <c r="L157" i="4"/>
  <c r="V267" i="4"/>
  <c r="H267" i="4"/>
  <c r="S267" i="4"/>
  <c r="Z267" i="4"/>
  <c r="X267" i="4"/>
  <c r="K267" i="4"/>
  <c r="I267" i="4"/>
  <c r="AA267" i="4"/>
  <c r="AB267" i="4"/>
  <c r="R267" i="4"/>
  <c r="G267" i="4"/>
  <c r="L267" i="4"/>
  <c r="F267" i="4"/>
  <c r="W267" i="4"/>
  <c r="P267" i="4"/>
  <c r="N267" i="4"/>
  <c r="U267" i="4"/>
  <c r="Q267" i="4"/>
  <c r="O267" i="4"/>
  <c r="T267" i="4"/>
  <c r="M267" i="4"/>
  <c r="J267" i="4"/>
  <c r="Y267" i="4"/>
  <c r="E267" i="4"/>
  <c r="Z296" i="4"/>
  <c r="J296" i="4"/>
  <c r="X172" i="4"/>
  <c r="H296" i="4"/>
  <c r="P296" i="4"/>
  <c r="N296" i="4"/>
  <c r="E320" i="4"/>
  <c r="T320" i="4"/>
  <c r="G320" i="4"/>
  <c r="Y172" i="4"/>
  <c r="A26" i="4"/>
  <c r="Y296" i="4"/>
  <c r="H172" i="4"/>
  <c r="R296" i="4"/>
  <c r="R320" i="4"/>
  <c r="L172" i="4"/>
  <c r="AA172" i="4"/>
  <c r="T296" i="4"/>
  <c r="P172" i="4"/>
  <c r="Y320" i="4"/>
  <c r="G172" i="4"/>
  <c r="AB296" i="4"/>
  <c r="R172" i="4"/>
  <c r="S320" i="4"/>
  <c r="O320" i="4"/>
  <c r="N320" i="4"/>
  <c r="K172" i="4"/>
  <c r="W296" i="4"/>
  <c r="Q320" i="4"/>
  <c r="J172" i="4"/>
  <c r="I172" i="4"/>
  <c r="K320" i="4"/>
  <c r="M320" i="4"/>
  <c r="AA296" i="4"/>
  <c r="M296" i="4"/>
  <c r="G296" i="4"/>
  <c r="O172" i="4"/>
  <c r="U296" i="4"/>
  <c r="O296" i="4"/>
  <c r="Z320" i="4"/>
  <c r="V320" i="4"/>
  <c r="Q296" i="4"/>
  <c r="V172" i="4"/>
  <c r="T172" i="4"/>
  <c r="AB320" i="4"/>
  <c r="N172" i="4"/>
  <c r="W320" i="4"/>
  <c r="X320" i="4"/>
  <c r="P320" i="4"/>
  <c r="K296" i="4"/>
  <c r="S172" i="4"/>
  <c r="V296" i="4"/>
  <c r="U172" i="4"/>
  <c r="M172" i="4"/>
  <c r="F320" i="4"/>
  <c r="L296" i="4"/>
  <c r="E172" i="4"/>
  <c r="J320" i="4"/>
  <c r="U320" i="4"/>
  <c r="W172" i="4"/>
  <c r="I320" i="4"/>
  <c r="L320" i="4"/>
  <c r="X296" i="4"/>
  <c r="AB172" i="4"/>
  <c r="Z172" i="4"/>
  <c r="F296" i="4"/>
  <c r="H320" i="4"/>
  <c r="AA320" i="4"/>
  <c r="E296" i="4"/>
  <c r="F172" i="4"/>
  <c r="Q172" i="4"/>
  <c r="S296" i="4"/>
  <c r="I296" i="4"/>
  <c r="Z233" i="4"/>
  <c r="N233" i="4"/>
  <c r="J233" i="4"/>
  <c r="V233" i="4"/>
  <c r="Y233" i="4"/>
  <c r="T233" i="4"/>
  <c r="G233" i="4"/>
  <c r="U233" i="4"/>
  <c r="I233" i="4"/>
  <c r="S233" i="4"/>
  <c r="AB233" i="4"/>
  <c r="M233" i="4"/>
  <c r="F233" i="4"/>
  <c r="E233" i="4"/>
  <c r="H233" i="4"/>
  <c r="K233" i="4"/>
  <c r="L233" i="4"/>
  <c r="A87" i="4"/>
  <c r="Q233" i="4"/>
  <c r="AA233" i="4"/>
  <c r="X233" i="4"/>
  <c r="W233" i="4"/>
  <c r="R233" i="4"/>
  <c r="O233" i="4"/>
  <c r="P233" i="4"/>
  <c r="U356" i="4"/>
  <c r="O356" i="4"/>
  <c r="K356" i="4"/>
  <c r="W356" i="4"/>
  <c r="P208" i="4"/>
  <c r="F356" i="4"/>
  <c r="Z208" i="4"/>
  <c r="O208" i="4"/>
  <c r="Y208" i="4"/>
  <c r="Y356" i="4"/>
  <c r="AB208" i="4"/>
  <c r="T208" i="4"/>
  <c r="R208" i="4"/>
  <c r="J208" i="4"/>
  <c r="AA356" i="4"/>
  <c r="E208" i="4"/>
  <c r="Z356" i="4"/>
  <c r="Q208" i="4"/>
  <c r="W208" i="4"/>
  <c r="AB356" i="4"/>
  <c r="M208" i="4"/>
  <c r="F208" i="4"/>
  <c r="N208" i="4"/>
  <c r="N356" i="4"/>
  <c r="A62" i="4"/>
  <c r="U208" i="4"/>
  <c r="I356" i="4"/>
  <c r="K208" i="4"/>
  <c r="S208" i="4"/>
  <c r="S356" i="4"/>
  <c r="R356" i="4"/>
  <c r="L208" i="4"/>
  <c r="V356" i="4"/>
  <c r="H208" i="4"/>
  <c r="X208" i="4"/>
  <c r="M356" i="4"/>
  <c r="H356" i="4"/>
  <c r="AA208" i="4"/>
  <c r="G356" i="4"/>
  <c r="E356" i="4"/>
  <c r="P356" i="4"/>
  <c r="I208" i="4"/>
  <c r="J356" i="4"/>
  <c r="V208" i="4"/>
  <c r="X356" i="4"/>
  <c r="G208" i="4"/>
  <c r="L356" i="4"/>
  <c r="T356" i="4"/>
  <c r="Q356" i="4"/>
  <c r="I368" i="4"/>
  <c r="Q219" i="4"/>
  <c r="M219" i="4"/>
  <c r="N219" i="4"/>
  <c r="F219" i="4"/>
  <c r="AA219" i="4"/>
  <c r="J219" i="4"/>
  <c r="Z368" i="4"/>
  <c r="G219" i="4"/>
  <c r="S368" i="4"/>
  <c r="F368" i="4"/>
  <c r="N368" i="4"/>
  <c r="O219" i="4"/>
  <c r="Q368" i="4"/>
  <c r="W368" i="4"/>
  <c r="J368" i="4"/>
  <c r="Y219" i="4"/>
  <c r="E368" i="4"/>
  <c r="T219" i="4"/>
  <c r="R219" i="4"/>
  <c r="Z219" i="4"/>
  <c r="X368" i="4"/>
  <c r="P368" i="4"/>
  <c r="AB368" i="4"/>
  <c r="W219" i="4"/>
  <c r="E219" i="4"/>
  <c r="AA368" i="4"/>
  <c r="V219" i="4"/>
  <c r="V368" i="4"/>
  <c r="L368" i="4"/>
  <c r="T368" i="4"/>
  <c r="O368" i="4"/>
  <c r="S219" i="4"/>
  <c r="L219" i="4"/>
  <c r="AB219" i="4"/>
  <c r="U368" i="4"/>
  <c r="Y368" i="4"/>
  <c r="P219" i="4"/>
  <c r="H368" i="4"/>
  <c r="M368" i="4"/>
  <c r="G368" i="4"/>
  <c r="X219" i="4"/>
  <c r="R368" i="4"/>
  <c r="A73" i="4"/>
  <c r="I219" i="4"/>
  <c r="U219" i="4"/>
  <c r="K219" i="4"/>
  <c r="H219" i="4"/>
  <c r="K368" i="4"/>
  <c r="P168" i="4"/>
  <c r="T292" i="4"/>
  <c r="T168" i="4"/>
  <c r="R292" i="4"/>
  <c r="H168" i="4"/>
  <c r="Y168" i="4"/>
  <c r="W292" i="4"/>
  <c r="Q292" i="4"/>
  <c r="P292" i="4"/>
  <c r="E168" i="4"/>
  <c r="J168" i="4"/>
  <c r="X168" i="4"/>
  <c r="F168" i="4"/>
  <c r="M168" i="4"/>
  <c r="L168" i="4"/>
  <c r="X292" i="4"/>
  <c r="AA292" i="4"/>
  <c r="H292" i="4"/>
  <c r="U292" i="4"/>
  <c r="N292" i="4"/>
  <c r="G168" i="4"/>
  <c r="I168" i="4"/>
  <c r="K168" i="4"/>
  <c r="S168" i="4"/>
  <c r="K292" i="4"/>
  <c r="M292" i="4"/>
  <c r="J292" i="4"/>
  <c r="O168" i="4"/>
  <c r="Y292" i="4"/>
  <c r="L292" i="4"/>
  <c r="AB168" i="4"/>
  <c r="W168" i="4"/>
  <c r="S292" i="4"/>
  <c r="V168" i="4"/>
  <c r="Z168" i="4"/>
  <c r="AB292" i="4"/>
  <c r="U168" i="4"/>
  <c r="Q168" i="4"/>
  <c r="F292" i="4"/>
  <c r="I292" i="4"/>
  <c r="V292" i="4"/>
  <c r="Z292" i="4"/>
  <c r="N168" i="4"/>
  <c r="O292" i="4"/>
  <c r="A22" i="4"/>
  <c r="E292" i="4"/>
  <c r="AA168" i="4"/>
  <c r="G292" i="4"/>
  <c r="R168" i="4"/>
  <c r="U230" i="4"/>
  <c r="AA230" i="4"/>
  <c r="M230" i="4"/>
  <c r="Y230" i="4"/>
  <c r="J230" i="4"/>
  <c r="T230" i="4"/>
  <c r="S230" i="4"/>
  <c r="H230" i="4"/>
  <c r="K230" i="4"/>
  <c r="L230" i="4"/>
  <c r="G230" i="4"/>
  <c r="Z230" i="4"/>
  <c r="Q230" i="4"/>
  <c r="O230" i="4"/>
  <c r="R230" i="4"/>
  <c r="E230" i="4"/>
  <c r="F230" i="4"/>
  <c r="A84" i="4"/>
  <c r="N230" i="4"/>
  <c r="V230" i="4"/>
  <c r="P230" i="4"/>
  <c r="X230" i="4"/>
  <c r="AB230" i="4"/>
  <c r="I230" i="4"/>
  <c r="W230" i="4"/>
  <c r="M345" i="4"/>
  <c r="F197" i="4"/>
  <c r="Y345" i="4"/>
  <c r="T345" i="4"/>
  <c r="U345" i="4"/>
  <c r="G345" i="4"/>
  <c r="H345" i="4"/>
  <c r="R345" i="4"/>
  <c r="W197" i="4"/>
  <c r="Q345" i="4"/>
  <c r="S345" i="4"/>
  <c r="T197" i="4"/>
  <c r="A51" i="4"/>
  <c r="O197" i="4"/>
  <c r="N197" i="4"/>
  <c r="W345" i="4"/>
  <c r="P197" i="4"/>
  <c r="L197" i="4"/>
  <c r="Z197" i="4"/>
  <c r="AB197" i="4"/>
  <c r="K345" i="4"/>
  <c r="X345" i="4"/>
  <c r="I197" i="4"/>
  <c r="N345" i="4"/>
  <c r="AA197" i="4"/>
  <c r="L345" i="4"/>
  <c r="J345" i="4"/>
  <c r="Q197" i="4"/>
  <c r="V197" i="4"/>
  <c r="AB345" i="4"/>
  <c r="U197" i="4"/>
  <c r="V345" i="4"/>
  <c r="I345" i="4"/>
  <c r="H197" i="4"/>
  <c r="AA345" i="4"/>
  <c r="Y197" i="4"/>
  <c r="S197" i="4"/>
  <c r="M197" i="4"/>
  <c r="Z345" i="4"/>
  <c r="J197" i="4"/>
  <c r="X197" i="4"/>
  <c r="P345" i="4"/>
  <c r="F345" i="4"/>
  <c r="O345" i="4"/>
  <c r="G197" i="4"/>
  <c r="R197" i="4"/>
  <c r="K197" i="4"/>
  <c r="E345" i="4"/>
  <c r="E197" i="4"/>
  <c r="F247" i="4"/>
  <c r="G247" i="4"/>
  <c r="L247" i="4"/>
  <c r="H247" i="4"/>
  <c r="J247" i="4"/>
  <c r="W247" i="4"/>
  <c r="AB247" i="4"/>
  <c r="R247" i="4"/>
  <c r="N247" i="4"/>
  <c r="Q247" i="4"/>
  <c r="P247" i="4"/>
  <c r="Z247" i="4"/>
  <c r="E247" i="4"/>
  <c r="U247" i="4"/>
  <c r="I247" i="4"/>
  <c r="V247" i="4"/>
  <c r="S247" i="4"/>
  <c r="M247" i="4"/>
  <c r="T247" i="4"/>
  <c r="K247" i="4"/>
  <c r="AA247" i="4"/>
  <c r="O247" i="4"/>
  <c r="Y247" i="4"/>
  <c r="X247" i="4"/>
  <c r="X248" i="4"/>
  <c r="W248" i="4"/>
  <c r="U248" i="4"/>
  <c r="K248" i="4"/>
  <c r="G248" i="4"/>
  <c r="Q248" i="4"/>
  <c r="V248" i="4"/>
  <c r="I248" i="4"/>
  <c r="Z248" i="4"/>
  <c r="S248" i="4"/>
  <c r="L248" i="4"/>
  <c r="H248" i="4"/>
  <c r="J248" i="4"/>
  <c r="E248" i="4"/>
  <c r="N248" i="4"/>
  <c r="Y248" i="4"/>
  <c r="R248" i="4"/>
  <c r="AA248" i="4"/>
  <c r="T248" i="4"/>
  <c r="P248" i="4"/>
  <c r="O248" i="4"/>
  <c r="M248" i="4"/>
  <c r="AB248" i="4"/>
  <c r="F248" i="4"/>
  <c r="M352" i="4"/>
  <c r="Y352" i="4"/>
  <c r="E204" i="4"/>
  <c r="M204" i="4"/>
  <c r="U204" i="4"/>
  <c r="AA352" i="4"/>
  <c r="V352" i="4"/>
  <c r="K204" i="4"/>
  <c r="Z204" i="4"/>
  <c r="H352" i="4"/>
  <c r="R204" i="4"/>
  <c r="Z352" i="4"/>
  <c r="F204" i="4"/>
  <c r="N204" i="4"/>
  <c r="E352" i="4"/>
  <c r="S352" i="4"/>
  <c r="P204" i="4"/>
  <c r="J204" i="4"/>
  <c r="O204" i="4"/>
  <c r="I352" i="4"/>
  <c r="X204" i="4"/>
  <c r="L204" i="4"/>
  <c r="T352" i="4"/>
  <c r="AB204" i="4"/>
  <c r="K352" i="4"/>
  <c r="J352" i="4"/>
  <c r="V204" i="4"/>
  <c r="P352" i="4"/>
  <c r="AB352" i="4"/>
  <c r="I204" i="4"/>
  <c r="W204" i="4"/>
  <c r="Y204" i="4"/>
  <c r="R352" i="4"/>
  <c r="G352" i="4"/>
  <c r="Q204" i="4"/>
  <c r="T204" i="4"/>
  <c r="A58" i="4"/>
  <c r="X352" i="4"/>
  <c r="AA204" i="4"/>
  <c r="H204" i="4"/>
  <c r="N352" i="4"/>
  <c r="U352" i="4"/>
  <c r="O352" i="4"/>
  <c r="S204" i="4"/>
  <c r="F352" i="4"/>
  <c r="Q352" i="4"/>
  <c r="L352" i="4"/>
  <c r="W352" i="4"/>
  <c r="G204" i="4"/>
  <c r="Z215" i="4"/>
  <c r="M215" i="4"/>
  <c r="L364" i="4"/>
  <c r="R215" i="4"/>
  <c r="X215" i="4"/>
  <c r="Y215" i="4"/>
  <c r="H215" i="4"/>
  <c r="U215" i="4"/>
  <c r="K364" i="4"/>
  <c r="N364" i="4"/>
  <c r="AA364" i="4"/>
  <c r="AB215" i="4"/>
  <c r="X364" i="4"/>
  <c r="F364" i="4"/>
  <c r="T364" i="4"/>
  <c r="E364" i="4"/>
  <c r="U364" i="4"/>
  <c r="G364" i="4"/>
  <c r="M364" i="4"/>
  <c r="Q364" i="4"/>
  <c r="Y364" i="4"/>
  <c r="V215" i="4"/>
  <c r="J364" i="4"/>
  <c r="O215" i="4"/>
  <c r="AB364" i="4"/>
  <c r="S215" i="4"/>
  <c r="Q215" i="4"/>
  <c r="H364" i="4"/>
  <c r="AA215" i="4"/>
  <c r="K215" i="4"/>
  <c r="N215" i="4"/>
  <c r="F215" i="4"/>
  <c r="W364" i="4"/>
  <c r="I215" i="4"/>
  <c r="L215" i="4"/>
  <c r="W215" i="4"/>
  <c r="V364" i="4"/>
  <c r="P215" i="4"/>
  <c r="R364" i="4"/>
  <c r="P364" i="4"/>
  <c r="T215" i="4"/>
  <c r="I364" i="4"/>
  <c r="E215" i="4"/>
  <c r="Z364" i="4"/>
  <c r="A69" i="4"/>
  <c r="O364" i="4"/>
  <c r="J215" i="4"/>
  <c r="G215" i="4"/>
  <c r="S364" i="4"/>
  <c r="M236" i="4"/>
  <c r="K236" i="4"/>
  <c r="W236" i="4"/>
  <c r="N236" i="4"/>
  <c r="P236" i="4"/>
  <c r="S236" i="4"/>
  <c r="O236" i="4"/>
  <c r="AB236" i="4"/>
  <c r="U236" i="4"/>
  <c r="Y236" i="4"/>
  <c r="F236" i="4"/>
  <c r="Q236" i="4"/>
  <c r="L236" i="4"/>
  <c r="E236" i="4"/>
  <c r="AA236" i="4"/>
  <c r="Z236" i="4"/>
  <c r="H236" i="4"/>
  <c r="T236" i="4"/>
  <c r="J236" i="4"/>
  <c r="X236" i="4"/>
  <c r="I236" i="4"/>
  <c r="G236" i="4"/>
  <c r="R236" i="4"/>
  <c r="V236" i="4"/>
  <c r="T252" i="4"/>
  <c r="U252" i="4"/>
  <c r="K252" i="4"/>
  <c r="G252" i="4"/>
  <c r="E252" i="4"/>
  <c r="H252" i="4"/>
  <c r="Y252" i="4"/>
  <c r="M252" i="4"/>
  <c r="AB252" i="4"/>
  <c r="J252" i="4"/>
  <c r="Q252" i="4"/>
  <c r="AA252" i="4"/>
  <c r="W252" i="4"/>
  <c r="S252" i="4"/>
  <c r="N252" i="4"/>
  <c r="F252" i="4"/>
  <c r="O252" i="4"/>
  <c r="Z252" i="4"/>
  <c r="I252" i="4"/>
  <c r="P252" i="4"/>
  <c r="R252" i="4"/>
  <c r="V252" i="4"/>
  <c r="X252" i="4"/>
  <c r="L252" i="4"/>
  <c r="Q240" i="4"/>
  <c r="G240" i="4"/>
  <c r="X240" i="4"/>
  <c r="J240" i="4"/>
  <c r="AA240" i="4"/>
  <c r="R240" i="4"/>
  <c r="Y240" i="4"/>
  <c r="Z240" i="4"/>
  <c r="O240" i="4"/>
  <c r="M240" i="4"/>
  <c r="V240" i="4"/>
  <c r="L240" i="4"/>
  <c r="K240" i="4"/>
  <c r="P240" i="4"/>
  <c r="S240" i="4"/>
  <c r="U240" i="4"/>
  <c r="H240" i="4"/>
  <c r="F240" i="4"/>
  <c r="N240" i="4"/>
  <c r="W240" i="4"/>
  <c r="I240" i="4"/>
  <c r="E240" i="4"/>
  <c r="AB240" i="4"/>
  <c r="T240" i="4"/>
  <c r="E203" i="4"/>
  <c r="AA203" i="4"/>
  <c r="Z351" i="4"/>
  <c r="T203" i="4"/>
  <c r="H203" i="4"/>
  <c r="AB351" i="4"/>
  <c r="AB203" i="4"/>
  <c r="W351" i="4"/>
  <c r="U351" i="4"/>
  <c r="J351" i="4"/>
  <c r="G351" i="4"/>
  <c r="Z203" i="4"/>
  <c r="I351" i="4"/>
  <c r="A57" i="4"/>
  <c r="S351" i="4"/>
  <c r="S203" i="4"/>
  <c r="O203" i="4"/>
  <c r="K351" i="4"/>
  <c r="Q203" i="4"/>
  <c r="X203" i="4"/>
  <c r="AA351" i="4"/>
  <c r="P351" i="4"/>
  <c r="E351" i="4"/>
  <c r="O351" i="4"/>
  <c r="J203" i="4"/>
  <c r="R351" i="4"/>
  <c r="X351" i="4"/>
  <c r="P203" i="4"/>
  <c r="T351" i="4"/>
  <c r="V351" i="4"/>
  <c r="K203" i="4"/>
  <c r="L203" i="4"/>
  <c r="M203" i="4"/>
  <c r="V203" i="4"/>
  <c r="U203" i="4"/>
  <c r="I203" i="4"/>
  <c r="H351" i="4"/>
  <c r="R203" i="4"/>
  <c r="F351" i="4"/>
  <c r="N203" i="4"/>
  <c r="L351" i="4"/>
  <c r="Y351" i="4"/>
  <c r="G203" i="4"/>
  <c r="Q351" i="4"/>
  <c r="F203" i="4"/>
  <c r="Y203" i="4"/>
  <c r="M351" i="4"/>
  <c r="N351" i="4"/>
  <c r="W203" i="4"/>
  <c r="N323" i="4"/>
  <c r="AB323" i="4"/>
  <c r="W299" i="4"/>
  <c r="O299" i="4"/>
  <c r="I175" i="4"/>
  <c r="U299" i="4"/>
  <c r="Z175" i="4"/>
  <c r="M299" i="4"/>
  <c r="I299" i="4"/>
  <c r="Y299" i="4"/>
  <c r="X175" i="4"/>
  <c r="J175" i="4"/>
  <c r="W323" i="4"/>
  <c r="T175" i="4"/>
  <c r="G323" i="4"/>
  <c r="J323" i="4"/>
  <c r="F175" i="4"/>
  <c r="S323" i="4"/>
  <c r="U323" i="4"/>
  <c r="E175" i="4"/>
  <c r="AA299" i="4"/>
  <c r="M323" i="4"/>
  <c r="K323" i="4"/>
  <c r="T323" i="4"/>
  <c r="R299" i="4"/>
  <c r="H175" i="4"/>
  <c r="AB299" i="4"/>
  <c r="V323" i="4"/>
  <c r="P175" i="4"/>
  <c r="H323" i="4"/>
  <c r="G299" i="4"/>
  <c r="N299" i="4"/>
  <c r="H299" i="4"/>
  <c r="Z299" i="4"/>
  <c r="R323" i="4"/>
  <c r="F299" i="4"/>
  <c r="O175" i="4"/>
  <c r="M175" i="4"/>
  <c r="L299" i="4"/>
  <c r="T299" i="4"/>
  <c r="Q323" i="4"/>
  <c r="Q175" i="4"/>
  <c r="L175" i="4"/>
  <c r="U175" i="4"/>
  <c r="K175" i="4"/>
  <c r="E323" i="4"/>
  <c r="E299" i="4"/>
  <c r="F323" i="4"/>
  <c r="AA323" i="4"/>
  <c r="X323" i="4"/>
  <c r="L323" i="4"/>
  <c r="Z323" i="4"/>
  <c r="N175" i="4"/>
  <c r="Q299" i="4"/>
  <c r="A29" i="4"/>
  <c r="J299" i="4"/>
  <c r="V299" i="4"/>
  <c r="AB175" i="4"/>
  <c r="P323" i="4"/>
  <c r="G175" i="4"/>
  <c r="K299" i="4"/>
  <c r="S299" i="4"/>
  <c r="I323" i="4"/>
  <c r="P299" i="4"/>
  <c r="R175" i="4"/>
  <c r="X299" i="4"/>
  <c r="AA175" i="4"/>
  <c r="Y323" i="4"/>
  <c r="V175" i="4"/>
  <c r="O323" i="4"/>
  <c r="S175" i="4"/>
  <c r="W175" i="4"/>
  <c r="Y175" i="4"/>
  <c r="R341" i="4"/>
  <c r="I193" i="4"/>
  <c r="J193" i="4"/>
  <c r="AB193" i="4"/>
  <c r="F193" i="4"/>
  <c r="Y193" i="4"/>
  <c r="G193" i="4"/>
  <c r="AA193" i="4"/>
  <c r="R193" i="4"/>
  <c r="K193" i="4"/>
  <c r="L193" i="4"/>
  <c r="W341" i="4"/>
  <c r="S341" i="4"/>
  <c r="K341" i="4"/>
  <c r="X193" i="4"/>
  <c r="H193" i="4"/>
  <c r="Z193" i="4"/>
  <c r="S193" i="4"/>
  <c r="J341" i="4"/>
  <c r="L341" i="4"/>
  <c r="X341" i="4"/>
  <c r="AA341" i="4"/>
  <c r="P341" i="4"/>
  <c r="O193" i="4"/>
  <c r="Y341" i="4"/>
  <c r="V341" i="4"/>
  <c r="Z341" i="4"/>
  <c r="F341" i="4"/>
  <c r="E193" i="4"/>
  <c r="T193" i="4"/>
  <c r="A47" i="4"/>
  <c r="AB341" i="4"/>
  <c r="N341" i="4"/>
  <c r="W193" i="4"/>
  <c r="Q193" i="4"/>
  <c r="V193" i="4"/>
  <c r="U341" i="4"/>
  <c r="E341" i="4"/>
  <c r="N193" i="4"/>
  <c r="P193" i="4"/>
  <c r="M341" i="4"/>
  <c r="Q341" i="4"/>
  <c r="I341" i="4"/>
  <c r="T341" i="4"/>
  <c r="U193" i="4"/>
  <c r="O341" i="4"/>
  <c r="G341" i="4"/>
  <c r="H341" i="4"/>
  <c r="M193" i="4"/>
  <c r="X183" i="4"/>
  <c r="V331" i="4"/>
  <c r="F183" i="4"/>
  <c r="S307" i="4"/>
  <c r="N183" i="4"/>
  <c r="U307" i="4"/>
  <c r="I331" i="4"/>
  <c r="W331" i="4"/>
  <c r="P183" i="4"/>
  <c r="W183" i="4"/>
  <c r="M183" i="4"/>
  <c r="J331" i="4"/>
  <c r="X307" i="4"/>
  <c r="J307" i="4"/>
  <c r="H331" i="4"/>
  <c r="AA183" i="4"/>
  <c r="T331" i="4"/>
  <c r="R331" i="4"/>
  <c r="J183" i="4"/>
  <c r="Z183" i="4"/>
  <c r="P331" i="4"/>
  <c r="T307" i="4"/>
  <c r="F307" i="4"/>
  <c r="H307" i="4"/>
  <c r="G307" i="4"/>
  <c r="N331" i="4"/>
  <c r="K183" i="4"/>
  <c r="Z331" i="4"/>
  <c r="R307" i="4"/>
  <c r="I183" i="4"/>
  <c r="P307" i="4"/>
  <c r="V183" i="4"/>
  <c r="G183" i="4"/>
  <c r="O331" i="4"/>
  <c r="A37" i="4"/>
  <c r="R183" i="4"/>
  <c r="O183" i="4"/>
  <c r="K331" i="4"/>
  <c r="AA331" i="4"/>
  <c r="V307" i="4"/>
  <c r="E307" i="4"/>
  <c r="AB307" i="4"/>
  <c r="F331" i="4"/>
  <c r="M331" i="4"/>
  <c r="M307" i="4"/>
  <c r="L183" i="4"/>
  <c r="Z307" i="4"/>
  <c r="S331" i="4"/>
  <c r="G331" i="4"/>
  <c r="U331" i="4"/>
  <c r="U183" i="4"/>
  <c r="W307" i="4"/>
  <c r="X331" i="4"/>
  <c r="H183" i="4"/>
  <c r="O307" i="4"/>
  <c r="L307" i="4"/>
  <c r="AB331" i="4"/>
  <c r="Q183" i="4"/>
  <c r="L331" i="4"/>
  <c r="E331" i="4"/>
  <c r="AB183" i="4"/>
  <c r="Y183" i="4"/>
  <c r="E183" i="4"/>
  <c r="N307" i="4"/>
  <c r="Q307" i="4"/>
  <c r="Q331" i="4"/>
  <c r="T183" i="4"/>
  <c r="AA307" i="4"/>
  <c r="S183" i="4"/>
  <c r="K307" i="4"/>
  <c r="Y307" i="4"/>
  <c r="I307" i="4"/>
  <c r="Y331" i="4"/>
  <c r="O253" i="4"/>
  <c r="J253" i="4"/>
  <c r="I253" i="4"/>
  <c r="S253" i="4"/>
  <c r="F253" i="4"/>
  <c r="G253" i="4"/>
  <c r="Q253" i="4"/>
  <c r="X253" i="4"/>
  <c r="AB253" i="4"/>
  <c r="T253" i="4"/>
  <c r="R253" i="4"/>
  <c r="W253" i="4"/>
  <c r="AA253" i="4"/>
  <c r="Y253" i="4"/>
  <c r="U253" i="4"/>
  <c r="Z253" i="4"/>
  <c r="V253" i="4"/>
  <c r="M253" i="4"/>
  <c r="P253" i="4"/>
  <c r="L253" i="4"/>
  <c r="E253" i="4"/>
  <c r="H253" i="4"/>
  <c r="K253" i="4"/>
  <c r="N253" i="4"/>
  <c r="M319" i="4"/>
  <c r="U171" i="4"/>
  <c r="F319" i="4"/>
  <c r="Y171" i="4"/>
  <c r="S171" i="4"/>
  <c r="G295" i="4"/>
  <c r="S319" i="4"/>
  <c r="M295" i="4"/>
  <c r="X319" i="4"/>
  <c r="Q171" i="4"/>
  <c r="G171" i="4"/>
  <c r="P295" i="4"/>
  <c r="H171" i="4"/>
  <c r="M171" i="4"/>
  <c r="O319" i="4"/>
  <c r="AB319" i="4"/>
  <c r="R295" i="4"/>
  <c r="F171" i="4"/>
  <c r="AB295" i="4"/>
  <c r="K171" i="4"/>
  <c r="V171" i="4"/>
  <c r="E171" i="4"/>
  <c r="Y295" i="4"/>
  <c r="N319" i="4"/>
  <c r="AA171" i="4"/>
  <c r="U319" i="4"/>
  <c r="X295" i="4"/>
  <c r="AA295" i="4"/>
  <c r="E295" i="4"/>
  <c r="Q295" i="4"/>
  <c r="T171" i="4"/>
  <c r="K295" i="4"/>
  <c r="U295" i="4"/>
  <c r="R171" i="4"/>
  <c r="L295" i="4"/>
  <c r="J295" i="4"/>
  <c r="G319" i="4"/>
  <c r="H319" i="4"/>
  <c r="K319" i="4"/>
  <c r="W319" i="4"/>
  <c r="T295" i="4"/>
  <c r="T319" i="4"/>
  <c r="AB171" i="4"/>
  <c r="Y319" i="4"/>
  <c r="Z171" i="4"/>
  <c r="AA319" i="4"/>
  <c r="N295" i="4"/>
  <c r="P171" i="4"/>
  <c r="F295" i="4"/>
  <c r="J171" i="4"/>
  <c r="E319" i="4"/>
  <c r="W295" i="4"/>
  <c r="S295" i="4"/>
  <c r="O171" i="4"/>
  <c r="V319" i="4"/>
  <c r="X171" i="4"/>
  <c r="W171" i="4"/>
  <c r="L319" i="4"/>
  <c r="L171" i="4"/>
  <c r="Q319" i="4"/>
  <c r="H295" i="4"/>
  <c r="I319" i="4"/>
  <c r="Z319" i="4"/>
  <c r="Z295" i="4"/>
  <c r="O295" i="4"/>
  <c r="J319" i="4"/>
  <c r="P319" i="4"/>
  <c r="R319" i="4"/>
  <c r="V295" i="4"/>
  <c r="A25" i="4"/>
  <c r="I171" i="4"/>
  <c r="I295" i="4"/>
  <c r="N171" i="4"/>
  <c r="S156" i="4"/>
  <c r="E156" i="4"/>
  <c r="V156" i="4"/>
  <c r="T156" i="4"/>
  <c r="J156" i="4"/>
  <c r="O156" i="4"/>
  <c r="H156" i="4"/>
  <c r="F156" i="4"/>
  <c r="AB156" i="4"/>
  <c r="Y156" i="4"/>
  <c r="X156" i="4"/>
  <c r="U156" i="4"/>
  <c r="N156" i="4"/>
  <c r="M156" i="4"/>
  <c r="L156" i="4"/>
  <c r="I156" i="4"/>
  <c r="Z156" i="4"/>
  <c r="G156" i="4"/>
  <c r="Q156" i="4"/>
  <c r="A10" i="4"/>
  <c r="AA156" i="4"/>
  <c r="R156" i="4"/>
  <c r="W156" i="4"/>
  <c r="K156" i="4"/>
  <c r="P156" i="4"/>
  <c r="R186" i="4"/>
  <c r="F334" i="4"/>
  <c r="K334" i="4"/>
  <c r="Z186" i="4"/>
  <c r="M334" i="4"/>
  <c r="W334" i="4"/>
  <c r="O310" i="4"/>
  <c r="AB310" i="4"/>
  <c r="E310" i="4"/>
  <c r="U334" i="4"/>
  <c r="Y334" i="4"/>
  <c r="G310" i="4"/>
  <c r="E186" i="4"/>
  <c r="O186" i="4"/>
  <c r="I186" i="4"/>
  <c r="V186" i="4"/>
  <c r="Z334" i="4"/>
  <c r="Q186" i="4"/>
  <c r="J334" i="4"/>
  <c r="Q310" i="4"/>
  <c r="AA310" i="4"/>
  <c r="X334" i="4"/>
  <c r="I334" i="4"/>
  <c r="T186" i="4"/>
  <c r="P310" i="4"/>
  <c r="AB186" i="4"/>
  <c r="K186" i="4"/>
  <c r="N334" i="4"/>
  <c r="F186" i="4"/>
  <c r="Z310" i="4"/>
  <c r="M310" i="4"/>
  <c r="H310" i="4"/>
  <c r="U186" i="4"/>
  <c r="S334" i="4"/>
  <c r="R310" i="4"/>
  <c r="J186" i="4"/>
  <c r="E334" i="4"/>
  <c r="V334" i="4"/>
  <c r="A40" i="4"/>
  <c r="U310" i="4"/>
  <c r="H186" i="4"/>
  <c r="I310" i="4"/>
  <c r="M186" i="4"/>
  <c r="L310" i="4"/>
  <c r="L334" i="4"/>
  <c r="R334" i="4"/>
  <c r="S186" i="4"/>
  <c r="V310" i="4"/>
  <c r="W186" i="4"/>
  <c r="X186" i="4"/>
  <c r="N310" i="4"/>
  <c r="T334" i="4"/>
  <c r="W310" i="4"/>
  <c r="Q334" i="4"/>
  <c r="AB334" i="4"/>
  <c r="Y310" i="4"/>
  <c r="H334" i="4"/>
  <c r="AA334" i="4"/>
  <c r="AA186" i="4"/>
  <c r="O334" i="4"/>
  <c r="S310" i="4"/>
  <c r="G334" i="4"/>
  <c r="Y186" i="4"/>
  <c r="J310" i="4"/>
  <c r="L186" i="4"/>
  <c r="K310" i="4"/>
  <c r="X310" i="4"/>
  <c r="N186" i="4"/>
  <c r="F310" i="4"/>
  <c r="G186" i="4"/>
  <c r="P186" i="4"/>
  <c r="T310" i="4"/>
  <c r="P334" i="4"/>
  <c r="J256" i="4"/>
  <c r="O256" i="4"/>
  <c r="I256" i="4"/>
  <c r="G256" i="4"/>
  <c r="H256" i="4"/>
  <c r="F256" i="4"/>
  <c r="AB256" i="4"/>
  <c r="S256" i="4"/>
  <c r="T256" i="4"/>
  <c r="AA256" i="4"/>
  <c r="W256" i="4"/>
  <c r="X256" i="4"/>
  <c r="R256" i="4"/>
  <c r="U256" i="4"/>
  <c r="V256" i="4"/>
  <c r="N256" i="4"/>
  <c r="K256" i="4"/>
  <c r="E256" i="4"/>
  <c r="Y256" i="4"/>
  <c r="Q256" i="4"/>
  <c r="P256" i="4"/>
  <c r="Z256" i="4"/>
  <c r="M256" i="4"/>
  <c r="L256" i="4"/>
  <c r="Y231" i="4"/>
  <c r="AA231" i="4"/>
  <c r="W231" i="4"/>
  <c r="Z231" i="4"/>
  <c r="K231" i="4"/>
  <c r="H231" i="4"/>
  <c r="F231" i="4"/>
  <c r="S231" i="4"/>
  <c r="AB231" i="4"/>
  <c r="A85" i="4"/>
  <c r="R231" i="4"/>
  <c r="T231" i="4"/>
  <c r="E231" i="4"/>
  <c r="V231" i="4"/>
  <c r="L231" i="4"/>
  <c r="P231" i="4"/>
  <c r="U231" i="4"/>
  <c r="G231" i="4"/>
  <c r="X231" i="4"/>
  <c r="N231" i="4"/>
  <c r="I231" i="4"/>
  <c r="Q231" i="4"/>
  <c r="J231" i="4"/>
  <c r="M231" i="4"/>
  <c r="O231" i="4"/>
  <c r="A80" i="4"/>
  <c r="U226" i="4"/>
  <c r="J226" i="4"/>
  <c r="F226" i="4"/>
  <c r="L226" i="4"/>
  <c r="K226" i="4"/>
  <c r="M226" i="4"/>
  <c r="AB226" i="4"/>
  <c r="H226" i="4"/>
  <c r="AA226" i="4"/>
  <c r="G226" i="4"/>
  <c r="Y226" i="4"/>
  <c r="Q226" i="4"/>
  <c r="P226" i="4"/>
  <c r="O226" i="4"/>
  <c r="W226" i="4"/>
  <c r="T226" i="4"/>
  <c r="R226" i="4"/>
  <c r="N226" i="4"/>
  <c r="Z226" i="4"/>
  <c r="X226" i="4"/>
  <c r="E226" i="4"/>
  <c r="S226" i="4"/>
  <c r="I226" i="4"/>
  <c r="V226" i="4"/>
  <c r="L196" i="4"/>
  <c r="M344" i="4"/>
  <c r="O344" i="4"/>
  <c r="R196" i="4"/>
  <c r="U344" i="4"/>
  <c r="X196" i="4"/>
  <c r="AA196" i="4"/>
  <c r="N196" i="4"/>
  <c r="P344" i="4"/>
  <c r="E344" i="4"/>
  <c r="A50" i="4"/>
  <c r="AB344" i="4"/>
  <c r="J196" i="4"/>
  <c r="T196" i="4"/>
  <c r="H196" i="4"/>
  <c r="V196" i="4"/>
  <c r="K196" i="4"/>
  <c r="Q196" i="4"/>
  <c r="H344" i="4"/>
  <c r="Y196" i="4"/>
  <c r="F196" i="4"/>
  <c r="Q344" i="4"/>
  <c r="S344" i="4"/>
  <c r="U196" i="4"/>
  <c r="S196" i="4"/>
  <c r="T344" i="4"/>
  <c r="G344" i="4"/>
  <c r="AA344" i="4"/>
  <c r="N344" i="4"/>
  <c r="W196" i="4"/>
  <c r="V344" i="4"/>
  <c r="R344" i="4"/>
  <c r="Z344" i="4"/>
  <c r="P196" i="4"/>
  <c r="W344" i="4"/>
  <c r="O196" i="4"/>
  <c r="M196" i="4"/>
  <c r="Y344" i="4"/>
  <c r="X344" i="4"/>
  <c r="J344" i="4"/>
  <c r="Z196" i="4"/>
  <c r="F344" i="4"/>
  <c r="K344" i="4"/>
  <c r="G196" i="4"/>
  <c r="AB196" i="4"/>
  <c r="E196" i="4"/>
  <c r="I196" i="4"/>
  <c r="I344" i="4"/>
  <c r="L344" i="4"/>
  <c r="E249" i="4"/>
  <c r="J249" i="4"/>
  <c r="Q249" i="4"/>
  <c r="G249" i="4"/>
  <c r="H249" i="4"/>
  <c r="O249" i="4"/>
  <c r="R249" i="4"/>
  <c r="U249" i="4"/>
  <c r="V249" i="4"/>
  <c r="M249" i="4"/>
  <c r="W249" i="4"/>
  <c r="N249" i="4"/>
  <c r="P249" i="4"/>
  <c r="AA249" i="4"/>
  <c r="I249" i="4"/>
  <c r="X249" i="4"/>
  <c r="L249" i="4"/>
  <c r="T249" i="4"/>
  <c r="Z249" i="4"/>
  <c r="S249" i="4"/>
  <c r="K249" i="4"/>
  <c r="AB249" i="4"/>
  <c r="F249" i="4"/>
  <c r="Y249" i="4"/>
  <c r="R263" i="4"/>
  <c r="G263" i="4"/>
  <c r="Y263" i="4"/>
  <c r="H263" i="4"/>
  <c r="E263" i="4"/>
  <c r="I263" i="4"/>
  <c r="AA263" i="4"/>
  <c r="AB263" i="4"/>
  <c r="T263" i="4"/>
  <c r="U263" i="4"/>
  <c r="N263" i="4"/>
  <c r="K263" i="4"/>
  <c r="S263" i="4"/>
  <c r="M263" i="4"/>
  <c r="Z263" i="4"/>
  <c r="W263" i="4"/>
  <c r="F263" i="4"/>
  <c r="Q263" i="4"/>
  <c r="P263" i="4"/>
  <c r="V263" i="4"/>
  <c r="L263" i="4"/>
  <c r="J263" i="4"/>
  <c r="O263" i="4"/>
  <c r="X263" i="4"/>
  <c r="R360" i="4"/>
  <c r="AA211" i="4"/>
  <c r="W360" i="4"/>
  <c r="Z211" i="4"/>
  <c r="L360" i="4"/>
  <c r="O211" i="4"/>
  <c r="X211" i="4"/>
  <c r="T360" i="4"/>
  <c r="X360" i="4"/>
  <c r="U360" i="4"/>
  <c r="L211" i="4"/>
  <c r="J211" i="4"/>
  <c r="H360" i="4"/>
  <c r="P211" i="4"/>
  <c r="U211" i="4"/>
  <c r="T211" i="4"/>
  <c r="R211" i="4"/>
  <c r="V360" i="4"/>
  <c r="H211" i="4"/>
  <c r="N211" i="4"/>
  <c r="V211" i="4"/>
  <c r="N360" i="4"/>
  <c r="P360" i="4"/>
  <c r="M211" i="4"/>
  <c r="Y211" i="4"/>
  <c r="S211" i="4"/>
  <c r="S360" i="4"/>
  <c r="F360" i="4"/>
  <c r="K211" i="4"/>
  <c r="M360" i="4"/>
  <c r="Y360" i="4"/>
  <c r="G360" i="4"/>
  <c r="E360" i="4"/>
  <c r="Q211" i="4"/>
  <c r="G211" i="4"/>
  <c r="W211" i="4"/>
  <c r="AA360" i="4"/>
  <c r="AB360" i="4"/>
  <c r="J360" i="4"/>
  <c r="F211" i="4"/>
  <c r="O360" i="4"/>
  <c r="I211" i="4"/>
  <c r="AB211" i="4"/>
  <c r="I360" i="4"/>
  <c r="K360" i="4"/>
  <c r="Z360" i="4"/>
  <c r="Q360" i="4"/>
  <c r="E211" i="4"/>
  <c r="A65" i="4"/>
  <c r="R216" i="4"/>
  <c r="U216" i="4"/>
  <c r="S216" i="4"/>
  <c r="AA365" i="4"/>
  <c r="Y365" i="4"/>
  <c r="H365" i="4"/>
  <c r="G365" i="4"/>
  <c r="L216" i="4"/>
  <c r="P365" i="4"/>
  <c r="J216" i="4"/>
  <c r="AA216" i="4"/>
  <c r="M216" i="4"/>
  <c r="N216" i="4"/>
  <c r="K365" i="4"/>
  <c r="O216" i="4"/>
  <c r="AB216" i="4"/>
  <c r="X216" i="4"/>
  <c r="E365" i="4"/>
  <c r="A70" i="4"/>
  <c r="Y216" i="4"/>
  <c r="G216" i="4"/>
  <c r="J365" i="4"/>
  <c r="S365" i="4"/>
  <c r="Q216" i="4"/>
  <c r="E216" i="4"/>
  <c r="Q365" i="4"/>
  <c r="AB365" i="4"/>
  <c r="R365" i="4"/>
  <c r="I365" i="4"/>
  <c r="L365" i="4"/>
  <c r="T216" i="4"/>
  <c r="W365" i="4"/>
  <c r="U365" i="4"/>
  <c r="Z365" i="4"/>
  <c r="M365" i="4"/>
  <c r="F365" i="4"/>
  <c r="K216" i="4"/>
  <c r="I216" i="4"/>
  <c r="O365" i="4"/>
  <c r="Z216" i="4"/>
  <c r="P216" i="4"/>
  <c r="F216" i="4"/>
  <c r="X365" i="4"/>
  <c r="V365" i="4"/>
  <c r="H216" i="4"/>
  <c r="T365" i="4"/>
  <c r="V216" i="4"/>
  <c r="W216" i="4"/>
  <c r="N365" i="4"/>
  <c r="Z221" i="4"/>
  <c r="U221" i="4"/>
  <c r="Y221" i="4"/>
  <c r="L221" i="4"/>
  <c r="V370" i="4"/>
  <c r="A75" i="4"/>
  <c r="J221" i="4"/>
  <c r="G370" i="4"/>
  <c r="F370" i="4"/>
  <c r="T221" i="4"/>
  <c r="U370" i="4"/>
  <c r="N370" i="4"/>
  <c r="AA370" i="4"/>
  <c r="P221" i="4"/>
  <c r="H370" i="4"/>
  <c r="P370" i="4"/>
  <c r="H221" i="4"/>
  <c r="M370" i="4"/>
  <c r="T370" i="4"/>
  <c r="I221" i="4"/>
  <c r="E221" i="4"/>
  <c r="X221" i="4"/>
  <c r="Q370" i="4"/>
  <c r="R221" i="4"/>
  <c r="K370" i="4"/>
  <c r="Q221" i="4"/>
  <c r="AA221" i="4"/>
  <c r="V221" i="4"/>
  <c r="J370" i="4"/>
  <c r="Z370" i="4"/>
  <c r="O370" i="4"/>
  <c r="G221" i="4"/>
  <c r="X370" i="4"/>
  <c r="AB370" i="4"/>
  <c r="S221" i="4"/>
  <c r="Y370" i="4"/>
  <c r="S370" i="4"/>
  <c r="O221" i="4"/>
  <c r="W370" i="4"/>
  <c r="I370" i="4"/>
  <c r="E370" i="4"/>
  <c r="W221" i="4"/>
  <c r="N221" i="4"/>
  <c r="AB221" i="4"/>
  <c r="M221" i="4"/>
  <c r="K221" i="4"/>
  <c r="L370" i="4"/>
  <c r="F221" i="4"/>
  <c r="R370" i="4"/>
  <c r="AB357" i="4"/>
  <c r="Q357" i="4"/>
  <c r="T357" i="4"/>
  <c r="I357" i="4"/>
  <c r="K357" i="4"/>
  <c r="M357" i="4"/>
  <c r="K209" i="4"/>
  <c r="N209" i="4"/>
  <c r="S357" i="4"/>
  <c r="O209" i="4"/>
  <c r="M209" i="4"/>
  <c r="Z209" i="4"/>
  <c r="L357" i="4"/>
  <c r="Z357" i="4"/>
  <c r="AA209" i="4"/>
  <c r="Y357" i="4"/>
  <c r="U209" i="4"/>
  <c r="F209" i="4"/>
  <c r="J209" i="4"/>
  <c r="H209" i="4"/>
  <c r="V357" i="4"/>
  <c r="P357" i="4"/>
  <c r="Y209" i="4"/>
  <c r="Q209" i="4"/>
  <c r="H357" i="4"/>
  <c r="AB209" i="4"/>
  <c r="W209" i="4"/>
  <c r="G357" i="4"/>
  <c r="E209" i="4"/>
  <c r="F357" i="4"/>
  <c r="L209" i="4"/>
  <c r="A63" i="4"/>
  <c r="N357" i="4"/>
  <c r="AA357" i="4"/>
  <c r="X357" i="4"/>
  <c r="O357" i="4"/>
  <c r="T209" i="4"/>
  <c r="X209" i="4"/>
  <c r="R209" i="4"/>
  <c r="I209" i="4"/>
  <c r="V209" i="4"/>
  <c r="J357" i="4"/>
  <c r="G209" i="4"/>
  <c r="R357" i="4"/>
  <c r="P209" i="4"/>
  <c r="E357" i="4"/>
  <c r="U357" i="4"/>
  <c r="S209" i="4"/>
  <c r="W357" i="4"/>
  <c r="P160" i="4"/>
  <c r="A14" i="4"/>
  <c r="AB160" i="4"/>
  <c r="Q160" i="4"/>
  <c r="I160" i="4"/>
  <c r="O160" i="4"/>
  <c r="R160" i="4"/>
  <c r="Y160" i="4"/>
  <c r="AA160" i="4"/>
  <c r="T160" i="4"/>
  <c r="J160" i="4"/>
  <c r="V160" i="4"/>
  <c r="G160" i="4"/>
  <c r="N160" i="4"/>
  <c r="M160" i="4"/>
  <c r="K160" i="4"/>
  <c r="U160" i="4"/>
  <c r="S160" i="4"/>
  <c r="E160" i="4"/>
  <c r="H160" i="4"/>
  <c r="Z160" i="4"/>
  <c r="L160" i="4"/>
  <c r="W160" i="4"/>
  <c r="X160" i="4"/>
  <c r="F160" i="4"/>
  <c r="I279" i="4"/>
  <c r="P279" i="4"/>
  <c r="J279" i="4"/>
  <c r="S279" i="4"/>
  <c r="AB279" i="4"/>
  <c r="AA279" i="4"/>
  <c r="W279" i="4"/>
  <c r="F279" i="4"/>
  <c r="Z279" i="4"/>
  <c r="R279" i="4"/>
  <c r="H279" i="4"/>
  <c r="Y279" i="4"/>
  <c r="V279" i="4"/>
  <c r="X279" i="4"/>
  <c r="O279" i="4"/>
  <c r="U279" i="4"/>
  <c r="M279" i="4"/>
  <c r="K279" i="4"/>
  <c r="E279" i="4"/>
  <c r="T279" i="4"/>
  <c r="G279" i="4"/>
  <c r="L279" i="4"/>
  <c r="Q279" i="4"/>
  <c r="N279" i="4"/>
  <c r="H222" i="4"/>
  <c r="T222" i="4"/>
  <c r="I222" i="4"/>
  <c r="U222" i="4"/>
  <c r="Y222" i="4"/>
  <c r="P222" i="4"/>
  <c r="V222" i="4"/>
  <c r="N222" i="4"/>
  <c r="L222" i="4"/>
  <c r="K222" i="4"/>
  <c r="X222" i="4"/>
  <c r="M222" i="4"/>
  <c r="G222" i="4"/>
  <c r="J222" i="4"/>
  <c r="Q222" i="4"/>
  <c r="W222" i="4"/>
  <c r="E222" i="4"/>
  <c r="A76" i="4"/>
  <c r="S222" i="4"/>
  <c r="AA222" i="4"/>
  <c r="R222" i="4"/>
  <c r="O222" i="4"/>
  <c r="Z222" i="4"/>
  <c r="F222" i="4"/>
  <c r="AB222" i="4"/>
  <c r="H202" i="4"/>
  <c r="P350" i="4"/>
  <c r="F202" i="4"/>
  <c r="X350" i="4"/>
  <c r="K202" i="4"/>
  <c r="L202" i="4"/>
  <c r="E202" i="4"/>
  <c r="Q350" i="4"/>
  <c r="AB202" i="4"/>
  <c r="W202" i="4"/>
  <c r="M350" i="4"/>
  <c r="J202" i="4"/>
  <c r="G202" i="4"/>
  <c r="Q202" i="4"/>
  <c r="S350" i="4"/>
  <c r="N202" i="4"/>
  <c r="T202" i="4"/>
  <c r="M202" i="4"/>
  <c r="G350" i="4"/>
  <c r="AA202" i="4"/>
  <c r="Y350" i="4"/>
  <c r="R202" i="4"/>
  <c r="V350" i="4"/>
  <c r="AA350" i="4"/>
  <c r="O350" i="4"/>
  <c r="N350" i="4"/>
  <c r="O202" i="4"/>
  <c r="U202" i="4"/>
  <c r="H350" i="4"/>
  <c r="W350" i="4"/>
  <c r="J350" i="4"/>
  <c r="R350" i="4"/>
  <c r="U350" i="4"/>
  <c r="X202" i="4"/>
  <c r="S202" i="4"/>
  <c r="I350" i="4"/>
  <c r="T350" i="4"/>
  <c r="K350" i="4"/>
  <c r="P202" i="4"/>
  <c r="V202" i="4"/>
  <c r="Z202" i="4"/>
  <c r="I202" i="4"/>
  <c r="L350" i="4"/>
  <c r="AB350" i="4"/>
  <c r="A56" i="4"/>
  <c r="F350" i="4"/>
  <c r="Y202" i="4"/>
  <c r="Z350" i="4"/>
  <c r="E350" i="4"/>
  <c r="I238" i="4"/>
  <c r="Q238" i="4"/>
  <c r="L238" i="4"/>
  <c r="R238" i="4"/>
  <c r="M238" i="4"/>
  <c r="V238" i="4"/>
  <c r="P238" i="4"/>
  <c r="J238" i="4"/>
  <c r="E238" i="4"/>
  <c r="Y238" i="4"/>
  <c r="K238" i="4"/>
  <c r="F238" i="4"/>
  <c r="U238" i="4"/>
  <c r="H238" i="4"/>
  <c r="X238" i="4"/>
  <c r="N238" i="4"/>
  <c r="W238" i="4"/>
  <c r="AB238" i="4"/>
  <c r="T238" i="4"/>
  <c r="AA238" i="4"/>
  <c r="O238" i="4"/>
  <c r="G238" i="4"/>
  <c r="S238" i="4"/>
  <c r="Z238" i="4"/>
  <c r="S220" i="4"/>
  <c r="X220" i="4"/>
  <c r="Y369" i="4"/>
  <c r="Q220" i="4"/>
  <c r="P220" i="4"/>
  <c r="R220" i="4"/>
  <c r="V220" i="4"/>
  <c r="J369" i="4"/>
  <c r="Z369" i="4"/>
  <c r="AA220" i="4"/>
  <c r="F220" i="4"/>
  <c r="X369" i="4"/>
  <c r="T369" i="4"/>
  <c r="Z220" i="4"/>
  <c r="U220" i="4"/>
  <c r="L220" i="4"/>
  <c r="K369" i="4"/>
  <c r="H220" i="4"/>
  <c r="O220" i="4"/>
  <c r="J220" i="4"/>
  <c r="S369" i="4"/>
  <c r="AB220" i="4"/>
  <c r="E220" i="4"/>
  <c r="AB369" i="4"/>
  <c r="G369" i="4"/>
  <c r="L369" i="4"/>
  <c r="Q369" i="4"/>
  <c r="W369" i="4"/>
  <c r="A74" i="4"/>
  <c r="O369" i="4"/>
  <c r="M220" i="4"/>
  <c r="V369" i="4"/>
  <c r="AA369" i="4"/>
  <c r="I220" i="4"/>
  <c r="E369" i="4"/>
  <c r="Y220" i="4"/>
  <c r="R369" i="4"/>
  <c r="U369" i="4"/>
  <c r="N369" i="4"/>
  <c r="H369" i="4"/>
  <c r="N220" i="4"/>
  <c r="F369" i="4"/>
  <c r="M369" i="4"/>
  <c r="P369" i="4"/>
  <c r="K220" i="4"/>
  <c r="G220" i="4"/>
  <c r="I369" i="4"/>
  <c r="W220" i="4"/>
  <c r="T220" i="4"/>
  <c r="S313" i="4"/>
  <c r="N313" i="4"/>
  <c r="M189" i="4"/>
  <c r="AA189" i="4"/>
  <c r="K337" i="4"/>
  <c r="N189" i="4"/>
  <c r="AB337" i="4"/>
  <c r="J337" i="4"/>
  <c r="W337" i="4"/>
  <c r="I337" i="4"/>
  <c r="L189" i="4"/>
  <c r="K189" i="4"/>
  <c r="AB313" i="4"/>
  <c r="X337" i="4"/>
  <c r="R189" i="4"/>
  <c r="G337" i="4"/>
  <c r="R313" i="4"/>
  <c r="I313" i="4"/>
  <c r="M337" i="4"/>
  <c r="Y313" i="4"/>
  <c r="U337" i="4"/>
  <c r="H189" i="4"/>
  <c r="L313" i="4"/>
  <c r="P189" i="4"/>
  <c r="AA313" i="4"/>
  <c r="H337" i="4"/>
  <c r="E313" i="4"/>
  <c r="Q189" i="4"/>
  <c r="K313" i="4"/>
  <c r="T313" i="4"/>
  <c r="V313" i="4"/>
  <c r="P313" i="4"/>
  <c r="T189" i="4"/>
  <c r="F189" i="4"/>
  <c r="O313" i="4"/>
  <c r="V337" i="4"/>
  <c r="O189" i="4"/>
  <c r="F313" i="4"/>
  <c r="X313" i="4"/>
  <c r="V189" i="4"/>
  <c r="Z189" i="4"/>
  <c r="P337" i="4"/>
  <c r="S337" i="4"/>
  <c r="R337" i="4"/>
  <c r="L337" i="4"/>
  <c r="G189" i="4"/>
  <c r="M313" i="4"/>
  <c r="A43" i="4"/>
  <c r="Z337" i="4"/>
  <c r="E189" i="4"/>
  <c r="Q313" i="4"/>
  <c r="J313" i="4"/>
  <c r="N337" i="4"/>
  <c r="T337" i="4"/>
  <c r="U189" i="4"/>
  <c r="W313" i="4"/>
  <c r="E337" i="4"/>
  <c r="AA337" i="4"/>
  <c r="I189" i="4"/>
  <c r="G313" i="4"/>
  <c r="W189" i="4"/>
  <c r="F337" i="4"/>
  <c r="AB189" i="4"/>
  <c r="S189" i="4"/>
  <c r="Z313" i="4"/>
  <c r="J189" i="4"/>
  <c r="O337" i="4"/>
  <c r="Y337" i="4"/>
  <c r="H313" i="4"/>
  <c r="Q337" i="4"/>
  <c r="Y189" i="4"/>
  <c r="U313" i="4"/>
  <c r="X189" i="4"/>
  <c r="AB225" i="4"/>
  <c r="A79" i="4"/>
  <c r="I225" i="4"/>
  <c r="R225" i="4"/>
  <c r="L225" i="4"/>
  <c r="S225" i="4"/>
  <c r="J225" i="4"/>
  <c r="F225" i="4"/>
  <c r="Q225" i="4"/>
  <c r="K225" i="4"/>
  <c r="X225" i="4"/>
  <c r="O225" i="4"/>
  <c r="V225" i="4"/>
  <c r="T225" i="4"/>
  <c r="AA225" i="4"/>
  <c r="H225" i="4"/>
  <c r="G225" i="4"/>
  <c r="Y225" i="4"/>
  <c r="E225" i="4"/>
  <c r="M225" i="4"/>
  <c r="Z225" i="4"/>
  <c r="W225" i="4"/>
  <c r="U225" i="4"/>
  <c r="P225" i="4"/>
  <c r="N225" i="4"/>
  <c r="R158" i="4"/>
  <c r="H158" i="4"/>
  <c r="J158" i="4"/>
  <c r="P158" i="4"/>
  <c r="T158" i="4"/>
  <c r="N158" i="4"/>
  <c r="AB158" i="4"/>
  <c r="G158" i="4"/>
  <c r="A12" i="4"/>
  <c r="M158" i="4"/>
  <c r="E158" i="4"/>
  <c r="Z158" i="4"/>
  <c r="L158" i="4"/>
  <c r="F158" i="4"/>
  <c r="AA158" i="4"/>
  <c r="Q158" i="4"/>
  <c r="S158" i="4"/>
  <c r="V158" i="4"/>
  <c r="X158" i="4"/>
  <c r="K158" i="4"/>
  <c r="I158" i="4"/>
  <c r="U158" i="4"/>
  <c r="O158" i="4"/>
  <c r="Y158" i="4"/>
  <c r="W158" i="4"/>
  <c r="L251" i="4"/>
  <c r="X251" i="4"/>
  <c r="P251" i="4"/>
  <c r="R251" i="4"/>
  <c r="W251" i="4"/>
  <c r="V251" i="4"/>
  <c r="E251" i="4"/>
  <c r="N251" i="4"/>
  <c r="Z251" i="4"/>
  <c r="AB251" i="4"/>
  <c r="H251" i="4"/>
  <c r="U251" i="4"/>
  <c r="I251" i="4"/>
  <c r="K251" i="4"/>
  <c r="F251" i="4"/>
  <c r="M251" i="4"/>
  <c r="Y251" i="4"/>
  <c r="G251" i="4"/>
  <c r="J251" i="4"/>
  <c r="T251" i="4"/>
  <c r="AA251" i="4"/>
  <c r="Q251" i="4"/>
  <c r="O251" i="4"/>
  <c r="S251" i="4"/>
  <c r="AA180" i="4"/>
  <c r="E304" i="4"/>
  <c r="L304" i="4"/>
  <c r="X180" i="4"/>
  <c r="G304" i="4"/>
  <c r="W328" i="4"/>
  <c r="E180" i="4"/>
  <c r="AA304" i="4"/>
  <c r="I180" i="4"/>
  <c r="J180" i="4"/>
  <c r="K328" i="4"/>
  <c r="K304" i="4"/>
  <c r="U328" i="4"/>
  <c r="H328" i="4"/>
  <c r="L180" i="4"/>
  <c r="P328" i="4"/>
  <c r="Q304" i="4"/>
  <c r="Z180" i="4"/>
  <c r="AB328" i="4"/>
  <c r="I328" i="4"/>
  <c r="P304" i="4"/>
  <c r="Y328" i="4"/>
  <c r="N304" i="4"/>
  <c r="L328" i="4"/>
  <c r="I304" i="4"/>
  <c r="O328" i="4"/>
  <c r="X304" i="4"/>
  <c r="AB304" i="4"/>
  <c r="S328" i="4"/>
  <c r="J304" i="4"/>
  <c r="O180" i="4"/>
  <c r="R304" i="4"/>
  <c r="Z304" i="4"/>
  <c r="G180" i="4"/>
  <c r="P180" i="4"/>
  <c r="R328" i="4"/>
  <c r="M180" i="4"/>
  <c r="J328" i="4"/>
  <c r="N180" i="4"/>
  <c r="H304" i="4"/>
  <c r="T304" i="4"/>
  <c r="AB180" i="4"/>
  <c r="S304" i="4"/>
  <c r="V304" i="4"/>
  <c r="AA328" i="4"/>
  <c r="Y304" i="4"/>
  <c r="H180" i="4"/>
  <c r="W180" i="4"/>
  <c r="A34" i="4"/>
  <c r="F180" i="4"/>
  <c r="O304" i="4"/>
  <c r="Y180" i="4"/>
  <c r="M328" i="4"/>
  <c r="Z328" i="4"/>
  <c r="V180" i="4"/>
  <c r="K180" i="4"/>
  <c r="S180" i="4"/>
  <c r="G328" i="4"/>
  <c r="F328" i="4"/>
  <c r="R180" i="4"/>
  <c r="Q180" i="4"/>
  <c r="T328" i="4"/>
  <c r="U180" i="4"/>
  <c r="V328" i="4"/>
  <c r="E328" i="4"/>
  <c r="U304" i="4"/>
  <c r="X328" i="4"/>
  <c r="N328" i="4"/>
  <c r="M304" i="4"/>
  <c r="W304" i="4"/>
  <c r="T180" i="4"/>
  <c r="F304" i="4"/>
  <c r="Q328" i="4"/>
  <c r="P151" i="4"/>
  <c r="AB151" i="4"/>
  <c r="G151" i="4"/>
  <c r="Y151" i="4"/>
  <c r="AA151" i="4"/>
  <c r="M151" i="4"/>
  <c r="X151" i="4"/>
  <c r="J151" i="4"/>
  <c r="Z151" i="4"/>
  <c r="N151" i="4"/>
  <c r="U151" i="4"/>
  <c r="T151" i="4"/>
  <c r="Q151" i="4"/>
  <c r="O151" i="4"/>
  <c r="A5" i="4"/>
  <c r="E151" i="4"/>
  <c r="L151" i="4"/>
  <c r="R151" i="4"/>
  <c r="W151" i="4"/>
  <c r="H151" i="4"/>
  <c r="K151" i="4"/>
  <c r="I151" i="4"/>
  <c r="S151" i="4"/>
  <c r="F151" i="4"/>
  <c r="V151" i="4"/>
  <c r="H241" i="4"/>
  <c r="W241" i="4"/>
  <c r="AA241" i="4"/>
  <c r="O241" i="4"/>
  <c r="K241" i="4"/>
  <c r="Q241" i="4"/>
  <c r="X241" i="4"/>
  <c r="R241" i="4"/>
  <c r="AB241" i="4"/>
  <c r="L241" i="4"/>
  <c r="M241" i="4"/>
  <c r="U241" i="4"/>
  <c r="E241" i="4"/>
  <c r="J241" i="4"/>
  <c r="V241" i="4"/>
  <c r="Y241" i="4"/>
  <c r="F241" i="4"/>
  <c r="T241" i="4"/>
  <c r="N241" i="4"/>
  <c r="I241" i="4"/>
  <c r="G241" i="4"/>
  <c r="Z241" i="4"/>
  <c r="S241" i="4"/>
  <c r="P241" i="4"/>
  <c r="G155" i="4"/>
  <c r="N155" i="4"/>
  <c r="F155" i="4"/>
  <c r="S155" i="4"/>
  <c r="V155" i="4"/>
  <c r="W155" i="4"/>
  <c r="H155" i="4"/>
  <c r="AB155" i="4"/>
  <c r="AA155" i="4"/>
  <c r="Y155" i="4"/>
  <c r="Q155" i="4"/>
  <c r="E155" i="4"/>
  <c r="I155" i="4"/>
  <c r="K155" i="4"/>
  <c r="J155" i="4"/>
  <c r="X155" i="4"/>
  <c r="M155" i="4"/>
  <c r="P155" i="4"/>
  <c r="Z155" i="4"/>
  <c r="L155" i="4"/>
  <c r="O155" i="4"/>
  <c r="A9" i="4"/>
  <c r="R155" i="4"/>
  <c r="U155" i="4"/>
  <c r="T155" i="4"/>
  <c r="X152" i="4"/>
  <c r="R152" i="4"/>
  <c r="I152" i="4"/>
  <c r="T152" i="4"/>
  <c r="Y152" i="4"/>
  <c r="F152" i="4"/>
  <c r="U152" i="4"/>
  <c r="V152" i="4"/>
  <c r="M152" i="4"/>
  <c r="K152" i="4"/>
  <c r="G152" i="4"/>
  <c r="L152" i="4"/>
  <c r="Z152" i="4"/>
  <c r="S152" i="4"/>
  <c r="W152" i="4"/>
  <c r="O152" i="4"/>
  <c r="AB152" i="4"/>
  <c r="J152" i="4"/>
  <c r="A6" i="4"/>
  <c r="N152" i="4"/>
  <c r="Q152" i="4"/>
  <c r="AA152" i="4"/>
  <c r="H152" i="4"/>
  <c r="P152" i="4"/>
  <c r="E152" i="4"/>
  <c r="W363" i="4"/>
  <c r="M214" i="4"/>
  <c r="R363" i="4"/>
  <c r="Y363" i="4"/>
  <c r="Z214" i="4"/>
  <c r="AB214" i="4"/>
  <c r="P214" i="4"/>
  <c r="W214" i="4"/>
  <c r="P363" i="4"/>
  <c r="AA214" i="4"/>
  <c r="AB363" i="4"/>
  <c r="L214" i="4"/>
  <c r="E214" i="4"/>
  <c r="I363" i="4"/>
  <c r="N363" i="4"/>
  <c r="Z363" i="4"/>
  <c r="G363" i="4"/>
  <c r="AA363" i="4"/>
  <c r="S363" i="4"/>
  <c r="K363" i="4"/>
  <c r="Y214" i="4"/>
  <c r="K214" i="4"/>
  <c r="H363" i="4"/>
  <c r="U214" i="4"/>
  <c r="T214" i="4"/>
  <c r="I214" i="4"/>
  <c r="U363" i="4"/>
  <c r="R214" i="4"/>
  <c r="T363" i="4"/>
  <c r="Q363" i="4"/>
  <c r="M363" i="4"/>
  <c r="N214" i="4"/>
  <c r="X363" i="4"/>
  <c r="O363" i="4"/>
  <c r="O214" i="4"/>
  <c r="A68" i="4"/>
  <c r="F214" i="4"/>
  <c r="J363" i="4"/>
  <c r="E363" i="4"/>
  <c r="X214" i="4"/>
  <c r="L363" i="4"/>
  <c r="H214" i="4"/>
  <c r="V363" i="4"/>
  <c r="F363" i="4"/>
  <c r="V214" i="4"/>
  <c r="J214" i="4"/>
  <c r="G214" i="4"/>
  <c r="Q214" i="4"/>
  <c r="S214" i="4"/>
  <c r="E254" i="4"/>
  <c r="F254" i="4"/>
  <c r="J254" i="4"/>
  <c r="K254" i="4"/>
  <c r="AB254" i="4"/>
  <c r="L254" i="4"/>
  <c r="V254" i="4"/>
  <c r="S254" i="4"/>
  <c r="X254" i="4"/>
  <c r="W254" i="4"/>
  <c r="U254" i="4"/>
  <c r="R254" i="4"/>
  <c r="AA254" i="4"/>
  <c r="M254" i="4"/>
  <c r="T254" i="4"/>
  <c r="H254" i="4"/>
  <c r="Y254" i="4"/>
  <c r="P254" i="4"/>
  <c r="Z254" i="4"/>
  <c r="G254" i="4"/>
  <c r="N254" i="4"/>
  <c r="I254" i="4"/>
  <c r="Q254" i="4"/>
  <c r="O254" i="4"/>
  <c r="AB255" i="4"/>
  <c r="Q255" i="4"/>
  <c r="L255" i="4"/>
  <c r="M255" i="4"/>
  <c r="F255" i="4"/>
  <c r="K255" i="4"/>
  <c r="T255" i="4"/>
  <c r="I255" i="4"/>
  <c r="W255" i="4"/>
  <c r="U255" i="4"/>
  <c r="AA255" i="4"/>
  <c r="O255" i="4"/>
  <c r="E255" i="4"/>
  <c r="S255" i="4"/>
  <c r="V255" i="4"/>
  <c r="Y255" i="4"/>
  <c r="R255" i="4"/>
  <c r="Z255" i="4"/>
  <c r="N255" i="4"/>
  <c r="G255" i="4"/>
  <c r="J255" i="4"/>
  <c r="H255" i="4"/>
  <c r="X255" i="4"/>
  <c r="P255" i="4"/>
  <c r="W194" i="4"/>
  <c r="V194" i="4"/>
  <c r="T342" i="4"/>
  <c r="Q342" i="4"/>
  <c r="J194" i="4"/>
  <c r="F194" i="4"/>
  <c r="J342" i="4"/>
  <c r="I194" i="4"/>
  <c r="X342" i="4"/>
  <c r="Y342" i="4"/>
  <c r="I342" i="4"/>
  <c r="O194" i="4"/>
  <c r="L342" i="4"/>
  <c r="G194" i="4"/>
  <c r="R194" i="4"/>
  <c r="H194" i="4"/>
  <c r="S342" i="4"/>
  <c r="N342" i="4"/>
  <c r="S194" i="4"/>
  <c r="E342" i="4"/>
  <c r="V342" i="4"/>
  <c r="L194" i="4"/>
  <c r="AB342" i="4"/>
  <c r="E194" i="4"/>
  <c r="A48" i="4"/>
  <c r="U194" i="4"/>
  <c r="M194" i="4"/>
  <c r="K194" i="4"/>
  <c r="F342" i="4"/>
  <c r="P194" i="4"/>
  <c r="AA342" i="4"/>
  <c r="Y194" i="4"/>
  <c r="O342" i="4"/>
  <c r="N194" i="4"/>
  <c r="M342" i="4"/>
  <c r="G342" i="4"/>
  <c r="K342" i="4"/>
  <c r="Z342" i="4"/>
  <c r="Q194" i="4"/>
  <c r="R342" i="4"/>
  <c r="H342" i="4"/>
  <c r="Z194" i="4"/>
  <c r="AA194" i="4"/>
  <c r="U342" i="4"/>
  <c r="W342" i="4"/>
  <c r="P342" i="4"/>
  <c r="AB194" i="4"/>
  <c r="X194" i="4"/>
  <c r="T194" i="4"/>
  <c r="AA259" i="4"/>
  <c r="U259" i="4"/>
  <c r="L259" i="4"/>
  <c r="H259" i="4"/>
  <c r="Q259" i="4"/>
  <c r="G259" i="4"/>
  <c r="X259" i="4"/>
  <c r="M259" i="4"/>
  <c r="S259" i="4"/>
  <c r="K259" i="4"/>
  <c r="Z259" i="4"/>
  <c r="O259" i="4"/>
  <c r="R259" i="4"/>
  <c r="N259" i="4"/>
  <c r="E259" i="4"/>
  <c r="J259" i="4"/>
  <c r="F259" i="4"/>
  <c r="V259" i="4"/>
  <c r="T259" i="4"/>
  <c r="W259" i="4"/>
  <c r="I259" i="4"/>
  <c r="Y259" i="4"/>
  <c r="P259" i="4"/>
  <c r="AB259" i="4"/>
  <c r="R227" i="4"/>
  <c r="L227" i="4"/>
  <c r="V227" i="4"/>
  <c r="U227" i="4"/>
  <c r="K227" i="4"/>
  <c r="AB227" i="4"/>
  <c r="F227" i="4"/>
  <c r="N227" i="4"/>
  <c r="A81" i="4"/>
  <c r="P227" i="4"/>
  <c r="H227" i="4"/>
  <c r="T227" i="4"/>
  <c r="I227" i="4"/>
  <c r="S227" i="4"/>
  <c r="Z227" i="4"/>
  <c r="O227" i="4"/>
  <c r="E227" i="4"/>
  <c r="M227" i="4"/>
  <c r="G227" i="4"/>
  <c r="W227" i="4"/>
  <c r="X227" i="4"/>
  <c r="J227" i="4"/>
  <c r="Q227" i="4"/>
  <c r="AA227" i="4"/>
  <c r="Y227" i="4"/>
  <c r="W298" i="4"/>
  <c r="O174" i="4"/>
  <c r="M298" i="4"/>
  <c r="W174" i="4"/>
  <c r="K174" i="4"/>
  <c r="X174" i="4"/>
  <c r="N174" i="4"/>
  <c r="A28" i="4"/>
  <c r="O298" i="4"/>
  <c r="T298" i="4"/>
  <c r="AB298" i="4"/>
  <c r="H174" i="4"/>
  <c r="R298" i="4"/>
  <c r="AA174" i="4"/>
  <c r="G298" i="4"/>
  <c r="H298" i="4"/>
  <c r="F298" i="4"/>
  <c r="F322" i="4"/>
  <c r="K322" i="4"/>
  <c r="Z322" i="4"/>
  <c r="P298" i="4"/>
  <c r="L298" i="4"/>
  <c r="AA322" i="4"/>
  <c r="U298" i="4"/>
  <c r="M322" i="4"/>
  <c r="V298" i="4"/>
  <c r="G174" i="4"/>
  <c r="AA298" i="4"/>
  <c r="N298" i="4"/>
  <c r="L174" i="4"/>
  <c r="J298" i="4"/>
  <c r="I298" i="4"/>
  <c r="Q174" i="4"/>
  <c r="P174" i="4"/>
  <c r="H322" i="4"/>
  <c r="L322" i="4"/>
  <c r="T322" i="4"/>
  <c r="AB174" i="4"/>
  <c r="I174" i="4"/>
  <c r="N322" i="4"/>
  <c r="Y174" i="4"/>
  <c r="G322" i="4"/>
  <c r="R174" i="4"/>
  <c r="F174" i="4"/>
  <c r="R322" i="4"/>
  <c r="AB322" i="4"/>
  <c r="K298" i="4"/>
  <c r="E174" i="4"/>
  <c r="V322" i="4"/>
  <c r="E322" i="4"/>
  <c r="S322" i="4"/>
  <c r="Y322" i="4"/>
  <c r="E298" i="4"/>
  <c r="I322" i="4"/>
  <c r="X322" i="4"/>
  <c r="U322" i="4"/>
  <c r="X298" i="4"/>
  <c r="U174" i="4"/>
  <c r="S298" i="4"/>
  <c r="Z298" i="4"/>
  <c r="T174" i="4"/>
  <c r="Q298" i="4"/>
  <c r="O322" i="4"/>
  <c r="P322" i="4"/>
  <c r="M174" i="4"/>
  <c r="J322" i="4"/>
  <c r="Z174" i="4"/>
  <c r="Q322" i="4"/>
  <c r="W322" i="4"/>
  <c r="J174" i="4"/>
  <c r="V174" i="4"/>
  <c r="Y298" i="4"/>
  <c r="S174" i="4"/>
  <c r="Z159" i="4"/>
  <c r="J159" i="4"/>
  <c r="X159" i="4"/>
  <c r="R159" i="4"/>
  <c r="U159" i="4"/>
  <c r="I159" i="4"/>
  <c r="F159" i="4"/>
  <c r="V159" i="4"/>
  <c r="O159" i="4"/>
  <c r="G159" i="4"/>
  <c r="M159" i="4"/>
  <c r="P159" i="4"/>
  <c r="Y159" i="4"/>
  <c r="S159" i="4"/>
  <c r="H159" i="4"/>
  <c r="AA159" i="4"/>
  <c r="N159" i="4"/>
  <c r="Q159" i="4"/>
  <c r="L159" i="4"/>
  <c r="T159" i="4"/>
  <c r="A13" i="4"/>
  <c r="W159" i="4"/>
  <c r="K159" i="4"/>
  <c r="AB159" i="4"/>
  <c r="E159" i="4"/>
  <c r="V329" i="4"/>
  <c r="S181" i="4"/>
  <c r="H329" i="4"/>
  <c r="W305" i="4"/>
  <c r="N329" i="4"/>
  <c r="V181" i="4"/>
  <c r="L329" i="4"/>
  <c r="Q329" i="4"/>
  <c r="G329" i="4"/>
  <c r="P329" i="4"/>
  <c r="A35" i="4"/>
  <c r="X305" i="4"/>
  <c r="AA329" i="4"/>
  <c r="E305" i="4"/>
  <c r="AB329" i="4"/>
  <c r="AB181" i="4"/>
  <c r="F329" i="4"/>
  <c r="E329" i="4"/>
  <c r="J329" i="4"/>
  <c r="I305" i="4"/>
  <c r="P305" i="4"/>
  <c r="T329" i="4"/>
  <c r="F181" i="4"/>
  <c r="F305" i="4"/>
  <c r="R181" i="4"/>
  <c r="S305" i="4"/>
  <c r="O305" i="4"/>
  <c r="P181" i="4"/>
  <c r="Q181" i="4"/>
  <c r="J305" i="4"/>
  <c r="E181" i="4"/>
  <c r="S329" i="4"/>
  <c r="N181" i="4"/>
  <c r="N305" i="4"/>
  <c r="V305" i="4"/>
  <c r="I181" i="4"/>
  <c r="X329" i="4"/>
  <c r="K329" i="4"/>
  <c r="R329" i="4"/>
  <c r="T181" i="4"/>
  <c r="Z305" i="4"/>
  <c r="Y181" i="4"/>
  <c r="I329" i="4"/>
  <c r="X181" i="4"/>
  <c r="M181" i="4"/>
  <c r="Z181" i="4"/>
  <c r="H305" i="4"/>
  <c r="Z329" i="4"/>
  <c r="M329" i="4"/>
  <c r="H181" i="4"/>
  <c r="AA305" i="4"/>
  <c r="T305" i="4"/>
  <c r="U181" i="4"/>
  <c r="Q305" i="4"/>
  <c r="W329" i="4"/>
  <c r="O181" i="4"/>
  <c r="G181" i="4"/>
  <c r="U329" i="4"/>
  <c r="L305" i="4"/>
  <c r="M305" i="4"/>
  <c r="L181" i="4"/>
  <c r="K305" i="4"/>
  <c r="U305" i="4"/>
  <c r="G305" i="4"/>
  <c r="AA181" i="4"/>
  <c r="AB305" i="4"/>
  <c r="Y329" i="4"/>
  <c r="W181" i="4"/>
  <c r="J181" i="4"/>
  <c r="O329" i="4"/>
  <c r="R305" i="4"/>
  <c r="Y305" i="4"/>
  <c r="K181" i="4"/>
  <c r="O237" i="4"/>
  <c r="E237" i="4"/>
  <c r="N237" i="4"/>
  <c r="S237" i="4"/>
  <c r="F237" i="4"/>
  <c r="AA237" i="4"/>
  <c r="X237" i="4"/>
  <c r="H237" i="4"/>
  <c r="R237" i="4"/>
  <c r="T237" i="4"/>
  <c r="AB237" i="4"/>
  <c r="W237" i="4"/>
  <c r="G237" i="4"/>
  <c r="L237" i="4"/>
  <c r="Q237" i="4"/>
  <c r="M237" i="4"/>
  <c r="Z237" i="4"/>
  <c r="Y237" i="4"/>
  <c r="I237" i="4"/>
  <c r="P237" i="4"/>
  <c r="J237" i="4"/>
  <c r="U237" i="4"/>
  <c r="K237" i="4"/>
  <c r="V237" i="4"/>
  <c r="R229" i="4"/>
  <c r="W229" i="4"/>
  <c r="P229" i="4"/>
  <c r="F229" i="4"/>
  <c r="AB229" i="4"/>
  <c r="Y229" i="4"/>
  <c r="V229" i="4"/>
  <c r="G229" i="4"/>
  <c r="AA229" i="4"/>
  <c r="T229" i="4"/>
  <c r="K229" i="4"/>
  <c r="E229" i="4"/>
  <c r="X229" i="4"/>
  <c r="I229" i="4"/>
  <c r="M229" i="4"/>
  <c r="S229" i="4"/>
  <c r="J229" i="4"/>
  <c r="U229" i="4"/>
  <c r="Z229" i="4"/>
  <c r="O229" i="4"/>
  <c r="N229" i="4"/>
  <c r="H229" i="4"/>
  <c r="Q229" i="4"/>
  <c r="A83" i="4"/>
  <c r="L229" i="4"/>
  <c r="G246" i="4"/>
  <c r="W246" i="4"/>
  <c r="H246" i="4"/>
  <c r="M246" i="4"/>
  <c r="Q246" i="4"/>
  <c r="F246" i="4"/>
  <c r="E246" i="4"/>
  <c r="P246" i="4"/>
  <c r="L246" i="4"/>
  <c r="R246" i="4"/>
  <c r="AB246" i="4"/>
  <c r="K246" i="4"/>
  <c r="V246" i="4"/>
  <c r="Z246" i="4"/>
  <c r="J246" i="4"/>
  <c r="X246" i="4"/>
  <c r="T246" i="4"/>
  <c r="N246" i="4"/>
  <c r="U246" i="4"/>
  <c r="S246" i="4"/>
  <c r="Y246" i="4"/>
  <c r="AA246" i="4"/>
  <c r="O246" i="4"/>
  <c r="I246" i="4"/>
  <c r="H367" i="4"/>
  <c r="F367" i="4"/>
  <c r="P367" i="4"/>
  <c r="Q218" i="4"/>
  <c r="T367" i="4"/>
  <c r="O218" i="4"/>
  <c r="M367" i="4"/>
  <c r="Z218" i="4"/>
  <c r="U218" i="4"/>
  <c r="A72" i="4"/>
  <c r="P218" i="4"/>
  <c r="I218" i="4"/>
  <c r="J367" i="4"/>
  <c r="O367" i="4"/>
  <c r="Z367" i="4"/>
  <c r="M218" i="4"/>
  <c r="F218" i="4"/>
  <c r="E218" i="4"/>
  <c r="I367" i="4"/>
  <c r="U367" i="4"/>
  <c r="R218" i="4"/>
  <c r="S367" i="4"/>
  <c r="AA218" i="4"/>
  <c r="S218" i="4"/>
  <c r="Y218" i="4"/>
  <c r="L218" i="4"/>
  <c r="Q367" i="4"/>
  <c r="AB367" i="4"/>
  <c r="H218" i="4"/>
  <c r="K367" i="4"/>
  <c r="AA367" i="4"/>
  <c r="V367" i="4"/>
  <c r="W367" i="4"/>
  <c r="G367" i="4"/>
  <c r="G218" i="4"/>
  <c r="V218" i="4"/>
  <c r="Y367" i="4"/>
  <c r="L367" i="4"/>
  <c r="X218" i="4"/>
  <c r="N367" i="4"/>
  <c r="E367" i="4"/>
  <c r="T218" i="4"/>
  <c r="X367" i="4"/>
  <c r="N218" i="4"/>
  <c r="AB218" i="4"/>
  <c r="W218" i="4"/>
  <c r="K218" i="4"/>
  <c r="R367" i="4"/>
  <c r="J218" i="4"/>
  <c r="Z282" i="4"/>
  <c r="Y282" i="4"/>
  <c r="G282" i="4"/>
  <c r="O282" i="4"/>
  <c r="F282" i="4"/>
  <c r="L282" i="4"/>
  <c r="U282" i="4"/>
  <c r="J282" i="4"/>
  <c r="S282" i="4"/>
  <c r="H282" i="4"/>
  <c r="K282" i="4"/>
  <c r="V282" i="4"/>
  <c r="E282" i="4"/>
  <c r="W282" i="4"/>
  <c r="N282" i="4"/>
  <c r="P282" i="4"/>
  <c r="I282" i="4"/>
  <c r="M282" i="4"/>
  <c r="R282" i="4"/>
  <c r="AB282" i="4"/>
  <c r="AA282" i="4"/>
  <c r="Q282" i="4"/>
  <c r="T282" i="4"/>
  <c r="X282" i="4"/>
  <c r="U250" i="4"/>
  <c r="Q250" i="4"/>
  <c r="E250" i="4"/>
  <c r="F250" i="4"/>
  <c r="AB250" i="4"/>
  <c r="X250" i="4"/>
  <c r="W250" i="4"/>
  <c r="T250" i="4"/>
  <c r="M250" i="4"/>
  <c r="AA250" i="4"/>
  <c r="Z250" i="4"/>
  <c r="N250" i="4"/>
  <c r="K250" i="4"/>
  <c r="S250" i="4"/>
  <c r="V250" i="4"/>
  <c r="R250" i="4"/>
  <c r="J250" i="4"/>
  <c r="L250" i="4"/>
  <c r="H250" i="4"/>
  <c r="I250" i="4"/>
  <c r="Y250" i="4"/>
  <c r="G250" i="4"/>
  <c r="O250" i="4"/>
  <c r="P250" i="4"/>
  <c r="AA355" i="4"/>
  <c r="L355" i="4"/>
  <c r="Q355" i="4"/>
  <c r="V355" i="4"/>
  <c r="Q207" i="4"/>
  <c r="X355" i="4"/>
  <c r="N207" i="4"/>
  <c r="S207" i="4"/>
  <c r="T207" i="4"/>
  <c r="U355" i="4"/>
  <c r="E355" i="4"/>
  <c r="F355" i="4"/>
  <c r="R355" i="4"/>
  <c r="I355" i="4"/>
  <c r="W355" i="4"/>
  <c r="G207" i="4"/>
  <c r="AB355" i="4"/>
  <c r="J207" i="4"/>
  <c r="O355" i="4"/>
  <c r="W207" i="4"/>
  <c r="L207" i="4"/>
  <c r="Y207" i="4"/>
  <c r="Y355" i="4"/>
  <c r="H207" i="4"/>
  <c r="AB207" i="4"/>
  <c r="U207" i="4"/>
  <c r="P207" i="4"/>
  <c r="AA207" i="4"/>
  <c r="V207" i="4"/>
  <c r="J355" i="4"/>
  <c r="I207" i="4"/>
  <c r="X207" i="4"/>
  <c r="N355" i="4"/>
  <c r="A61" i="4"/>
  <c r="K207" i="4"/>
  <c r="M207" i="4"/>
  <c r="H355" i="4"/>
  <c r="R207" i="4"/>
  <c r="Z207" i="4"/>
  <c r="E207" i="4"/>
  <c r="G355" i="4"/>
  <c r="O207" i="4"/>
  <c r="F207" i="4"/>
  <c r="Z355" i="4"/>
  <c r="P355" i="4"/>
  <c r="M355" i="4"/>
  <c r="S355" i="4"/>
  <c r="K355" i="4"/>
  <c r="T355" i="4"/>
  <c r="N332" i="4"/>
  <c r="H332" i="4"/>
  <c r="P332" i="4"/>
  <c r="J184" i="4"/>
  <c r="U332" i="4"/>
  <c r="T308" i="4"/>
  <c r="AB308" i="4"/>
  <c r="Y184" i="4"/>
  <c r="S308" i="4"/>
  <c r="F308" i="4"/>
  <c r="M184" i="4"/>
  <c r="Z332" i="4"/>
  <c r="V184" i="4"/>
  <c r="AA184" i="4"/>
  <c r="R184" i="4"/>
  <c r="V332" i="4"/>
  <c r="I332" i="4"/>
  <c r="X308" i="4"/>
  <c r="P184" i="4"/>
  <c r="G332" i="4"/>
  <c r="Q332" i="4"/>
  <c r="P308" i="4"/>
  <c r="T332" i="4"/>
  <c r="X184" i="4"/>
  <c r="L184" i="4"/>
  <c r="K332" i="4"/>
  <c r="AB332" i="4"/>
  <c r="V308" i="4"/>
  <c r="Z184" i="4"/>
  <c r="J308" i="4"/>
  <c r="M308" i="4"/>
  <c r="Y308" i="4"/>
  <c r="S184" i="4"/>
  <c r="W332" i="4"/>
  <c r="W184" i="4"/>
  <c r="Z308" i="4"/>
  <c r="Q308" i="4"/>
  <c r="AA308" i="4"/>
  <c r="U184" i="4"/>
  <c r="Y332" i="4"/>
  <c r="O184" i="4"/>
  <c r="AA332" i="4"/>
  <c r="X332" i="4"/>
  <c r="O332" i="4"/>
  <c r="H308" i="4"/>
  <c r="I308" i="4"/>
  <c r="E332" i="4"/>
  <c r="N184" i="4"/>
  <c r="G308" i="4"/>
  <c r="Q184" i="4"/>
  <c r="R308" i="4"/>
  <c r="W308" i="4"/>
  <c r="AB184" i="4"/>
  <c r="R332" i="4"/>
  <c r="K308" i="4"/>
  <c r="A38" i="4"/>
  <c r="I184" i="4"/>
  <c r="L332" i="4"/>
  <c r="N308" i="4"/>
  <c r="K184" i="4"/>
  <c r="T184" i="4"/>
  <c r="F184" i="4"/>
  <c r="O308" i="4"/>
  <c r="U308" i="4"/>
  <c r="M332" i="4"/>
  <c r="L308" i="4"/>
  <c r="S332" i="4"/>
  <c r="E184" i="4"/>
  <c r="E308" i="4"/>
  <c r="G184" i="4"/>
  <c r="H184" i="4"/>
  <c r="F332" i="4"/>
  <c r="J332" i="4"/>
  <c r="W291" i="4"/>
  <c r="F167" i="4"/>
  <c r="Q167" i="4"/>
  <c r="H167" i="4"/>
  <c r="W167" i="4"/>
  <c r="V291" i="4"/>
  <c r="P167" i="4"/>
  <c r="S291" i="4"/>
  <c r="K291" i="4"/>
  <c r="Q291" i="4"/>
  <c r="E167" i="4"/>
  <c r="S167" i="4"/>
  <c r="M291" i="4"/>
  <c r="X291" i="4"/>
  <c r="G167" i="4"/>
  <c r="F291" i="4"/>
  <c r="U291" i="4"/>
  <c r="V167" i="4"/>
  <c r="X167" i="4"/>
  <c r="R167" i="4"/>
  <c r="AA291" i="4"/>
  <c r="O167" i="4"/>
  <c r="E291" i="4"/>
  <c r="A21" i="4"/>
  <c r="N291" i="4"/>
  <c r="N167" i="4"/>
  <c r="Z291" i="4"/>
  <c r="M167" i="4"/>
  <c r="H291" i="4"/>
  <c r="T167" i="4"/>
  <c r="L291" i="4"/>
  <c r="L167" i="4"/>
  <c r="I167" i="4"/>
  <c r="Z167" i="4"/>
  <c r="G291" i="4"/>
  <c r="AB167" i="4"/>
  <c r="O291" i="4"/>
  <c r="J291" i="4"/>
  <c r="K167" i="4"/>
  <c r="J167" i="4"/>
  <c r="AA167" i="4"/>
  <c r="Y291" i="4"/>
  <c r="T291" i="4"/>
  <c r="I291" i="4"/>
  <c r="P291" i="4"/>
  <c r="R291" i="4"/>
  <c r="U167" i="4"/>
  <c r="Y167" i="4"/>
  <c r="AB291" i="4"/>
  <c r="AA235" i="4"/>
  <c r="AB235" i="4"/>
  <c r="L235" i="4"/>
  <c r="E235" i="4"/>
  <c r="K235" i="4"/>
  <c r="P235" i="4"/>
  <c r="N235" i="4"/>
  <c r="R235" i="4"/>
  <c r="G235" i="4"/>
  <c r="F235" i="4"/>
  <c r="H235" i="4"/>
  <c r="O235" i="4"/>
  <c r="S235" i="4"/>
  <c r="J235" i="4"/>
  <c r="Z235" i="4"/>
  <c r="W235" i="4"/>
  <c r="Q235" i="4"/>
  <c r="M235" i="4"/>
  <c r="Y235" i="4"/>
  <c r="T235" i="4"/>
  <c r="U235" i="4"/>
  <c r="X235" i="4"/>
  <c r="I235" i="4"/>
  <c r="V235" i="4"/>
  <c r="L161" i="4"/>
  <c r="J161" i="4"/>
  <c r="M161" i="4"/>
  <c r="H161" i="4"/>
  <c r="U161" i="4"/>
  <c r="K161" i="4"/>
  <c r="O161" i="4"/>
  <c r="S161" i="4"/>
  <c r="W161" i="4"/>
  <c r="P161" i="4"/>
  <c r="AA161" i="4"/>
  <c r="X161" i="4"/>
  <c r="R161" i="4"/>
  <c r="AB161" i="4"/>
  <c r="I161" i="4"/>
  <c r="Q161" i="4"/>
  <c r="V161" i="4"/>
  <c r="T161" i="4"/>
  <c r="N161" i="4"/>
  <c r="Z161" i="4"/>
  <c r="Y161" i="4"/>
  <c r="F327" i="4"/>
  <c r="E327" i="4"/>
  <c r="G327" i="4"/>
  <c r="R327" i="4"/>
  <c r="U327" i="4"/>
  <c r="W327" i="4"/>
  <c r="I179" i="4"/>
  <c r="Z303" i="4"/>
  <c r="V303" i="4"/>
  <c r="O179" i="4"/>
  <c r="Q179" i="4"/>
  <c r="A33" i="4"/>
  <c r="U303" i="4"/>
  <c r="N327" i="4"/>
  <c r="K327" i="4"/>
  <c r="AB327" i="4"/>
  <c r="R303" i="4"/>
  <c r="R179" i="4"/>
  <c r="O303" i="4"/>
  <c r="AB303" i="4"/>
  <c r="L327" i="4"/>
  <c r="J327" i="4"/>
  <c r="F179" i="4"/>
  <c r="O327" i="4"/>
  <c r="AB179" i="4"/>
  <c r="S327" i="4"/>
  <c r="E303" i="4"/>
  <c r="H303" i="4"/>
  <c r="Y327" i="4"/>
  <c r="P303" i="4"/>
  <c r="M327" i="4"/>
  <c r="I303" i="4"/>
  <c r="AA327" i="4"/>
  <c r="K179" i="4"/>
  <c r="T303" i="4"/>
  <c r="J179" i="4"/>
  <c r="Y179" i="4"/>
  <c r="M303" i="4"/>
  <c r="W303" i="4"/>
  <c r="V179" i="4"/>
  <c r="AA303" i="4"/>
  <c r="S179" i="4"/>
  <c r="L179" i="4"/>
  <c r="Y303" i="4"/>
  <c r="K303" i="4"/>
  <c r="J303" i="4"/>
  <c r="N303" i="4"/>
  <c r="W179" i="4"/>
  <c r="AA179" i="4"/>
  <c r="Q327" i="4"/>
  <c r="X179" i="4"/>
  <c r="S303" i="4"/>
  <c r="E179" i="4"/>
  <c r="F303" i="4"/>
  <c r="X303" i="4"/>
  <c r="G303" i="4"/>
  <c r="X327" i="4"/>
  <c r="L303" i="4"/>
  <c r="G179" i="4"/>
  <c r="V327" i="4"/>
  <c r="U179" i="4"/>
  <c r="Q303" i="4"/>
  <c r="Z327" i="4"/>
  <c r="H179" i="4"/>
  <c r="Z179" i="4"/>
  <c r="P327" i="4"/>
  <c r="I327" i="4"/>
  <c r="M179" i="4"/>
  <c r="H327" i="4"/>
  <c r="N179" i="4"/>
  <c r="P179" i="4"/>
  <c r="T327" i="4"/>
  <c r="T179" i="4"/>
  <c r="G278" i="4"/>
  <c r="AB278" i="4"/>
  <c r="M278" i="4"/>
  <c r="L278" i="4"/>
  <c r="Y278" i="4"/>
  <c r="Q278" i="4"/>
  <c r="Z278" i="4"/>
  <c r="W278" i="4"/>
  <c r="H278" i="4"/>
  <c r="U278" i="4"/>
  <c r="I278" i="4"/>
  <c r="P278" i="4"/>
  <c r="F278" i="4"/>
  <c r="E278" i="4"/>
  <c r="AA278" i="4"/>
  <c r="V278" i="4"/>
  <c r="O278" i="4"/>
  <c r="N278" i="4"/>
  <c r="S278" i="4"/>
  <c r="X278" i="4"/>
  <c r="R278" i="4"/>
  <c r="T278" i="4"/>
  <c r="K278" i="4"/>
  <c r="J278" i="4"/>
  <c r="Q245" i="4"/>
  <c r="S245" i="4"/>
  <c r="V245" i="4"/>
  <c r="O245" i="4"/>
  <c r="X245" i="4"/>
  <c r="W245" i="4"/>
  <c r="AA245" i="4"/>
  <c r="H245" i="4"/>
  <c r="T245" i="4"/>
  <c r="I245" i="4"/>
  <c r="Y245" i="4"/>
  <c r="L245" i="4"/>
  <c r="N245" i="4"/>
  <c r="M245" i="4"/>
  <c r="J245" i="4"/>
  <c r="R245" i="4"/>
  <c r="Z245" i="4"/>
  <c r="F245" i="4"/>
  <c r="AB245" i="4"/>
  <c r="G245" i="4"/>
  <c r="U245" i="4"/>
  <c r="P245" i="4"/>
  <c r="E245" i="4"/>
  <c r="K245" i="4"/>
  <c r="S372" i="4" l="1"/>
  <c r="W372" i="4"/>
  <c r="U372" i="4"/>
  <c r="X372" i="4"/>
  <c r="G372" i="4"/>
  <c r="I372" i="4"/>
  <c r="R372" i="4"/>
  <c r="O372" i="4"/>
  <c r="N372" i="4"/>
  <c r="M372" i="4"/>
  <c r="AB372" i="4"/>
  <c r="V372" i="4"/>
  <c r="K372" i="4"/>
  <c r="L372" i="4"/>
  <c r="Q372" i="4"/>
  <c r="Z372" i="4"/>
  <c r="AA372" i="4"/>
  <c r="P372" i="4"/>
  <c r="F372" i="4"/>
  <c r="H372" i="4"/>
  <c r="E372" i="4"/>
  <c r="T372" i="4"/>
  <c r="J372" i="4"/>
  <c r="Y372" i="4"/>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<sst xmlns="http://schemas.openxmlformats.org/spreadsheetml/2006/main" count="3166" uniqueCount="150">
  <si>
    <t>Data</t>
  </si>
  <si>
    <t>Dzień tygodnia</t>
  </si>
  <si>
    <t>Wpisz numer dnia:</t>
  </si>
  <si>
    <t>sumy</t>
  </si>
  <si>
    <t>PT</t>
  </si>
  <si>
    <t>SB</t>
  </si>
  <si>
    <t>ND</t>
  </si>
  <si>
    <t>PN</t>
  </si>
  <si>
    <t>WT</t>
  </si>
  <si>
    <r>
      <t xml:space="preserve">By zadzialalo sortowanie </t>
    </r>
    <r>
      <rPr>
        <b/>
        <sz val="12"/>
        <color indexed="9"/>
        <rFont val="Calibri"/>
        <family val="2"/>
        <charset val="238"/>
      </rPr>
      <t>WŁĄCZ OBSŁUGĘ MAKR</t>
    </r>
    <r>
      <rPr>
        <sz val="12"/>
        <color indexed="9"/>
        <rFont val="Calibri"/>
        <family val="2"/>
        <charset val="238"/>
      </rPr>
      <t xml:space="preserve"> (przycisk "włącz zawartość" przy uruchamianiu)</t>
    </r>
  </si>
  <si>
    <r>
      <rPr>
        <sz val="14"/>
        <color indexed="9"/>
        <rFont val="Calibri"/>
        <family val="2"/>
        <charset val="238"/>
      </rPr>
      <t>W OpenOffice automatyczne sortowanie</t>
    </r>
    <r>
      <rPr>
        <b/>
        <sz val="14"/>
        <color indexed="9"/>
        <rFont val="Calibri"/>
        <family val="2"/>
        <charset val="238"/>
      </rPr>
      <t xml:space="preserve"> nie zadziała!</t>
    </r>
    <r>
      <rPr>
        <b/>
        <sz val="11"/>
        <color indexed="9"/>
        <rFont val="Calibri"/>
        <family val="2"/>
        <charset val="238"/>
      </rPr>
      <t xml:space="preserve">               </t>
    </r>
    <r>
      <rPr>
        <sz val="11"/>
        <color indexed="9"/>
        <rFont val="Calibri"/>
        <family val="2"/>
        <charset val="238"/>
      </rPr>
      <t xml:space="preserve">Jeśli chcesz ręcznie posortować listę zaznacz tabelkę w czarnej ramce --&gt; Dane --&gt; Sortuj… --&gt; Według </t>
    </r>
    <r>
      <rPr>
        <b/>
        <i/>
        <sz val="11"/>
        <color indexed="9"/>
        <rFont val="Calibri"/>
        <family val="2"/>
        <charset val="238"/>
      </rPr>
      <t>kolumny B</t>
    </r>
    <r>
      <rPr>
        <sz val="11"/>
        <color indexed="9"/>
        <rFont val="Calibri"/>
        <family val="2"/>
        <charset val="238"/>
      </rPr>
      <t xml:space="preserve">, następnie według </t>
    </r>
    <r>
      <rPr>
        <b/>
        <i/>
        <sz val="11"/>
        <color indexed="9"/>
        <rFont val="Calibri"/>
        <family val="2"/>
        <charset val="238"/>
      </rPr>
      <t>kolumcy C</t>
    </r>
    <r>
      <rPr>
        <sz val="11"/>
        <color indexed="9"/>
        <rFont val="Calibri"/>
        <family val="2"/>
        <charset val="238"/>
      </rPr>
      <t xml:space="preserve"> --&gt; Sortuj</t>
    </r>
  </si>
  <si>
    <t xml:space="preserve"> </t>
  </si>
  <si>
    <t>SR</t>
  </si>
  <si>
    <t>DOMINIKA RUTKOWSKA</t>
  </si>
  <si>
    <t>MATEUSZ JAKUBIEL</t>
  </si>
  <si>
    <t>KAROLINA KAMIŃSKA</t>
  </si>
  <si>
    <t>:</t>
  </si>
  <si>
    <t>MAKSYMILIAN SZYPA</t>
  </si>
  <si>
    <t>PIOTR KOSICKI</t>
  </si>
  <si>
    <t>MATEUSZ MOLIŃSKI</t>
  </si>
  <si>
    <t>KORNELIA SOBKOWIAK</t>
  </si>
  <si>
    <t>EMILIA KANTYKA</t>
  </si>
  <si>
    <t xml:space="preserve"> JULIA GŁOWACKA</t>
  </si>
  <si>
    <t>ZUZANNA OBŁĄK</t>
  </si>
  <si>
    <t>AMELIA SOLIŃSKA</t>
  </si>
  <si>
    <t>ANTONI CZOPEK</t>
  </si>
  <si>
    <t>WIKTOR LISTOPAD</t>
  </si>
  <si>
    <t>WIKTORIA DWORAKOWSKA</t>
  </si>
  <si>
    <t>MARTYNA WYCIŚLAK</t>
  </si>
  <si>
    <t>GRZEGORZ WAWOCZNY</t>
  </si>
  <si>
    <t>MAKSYMILIAN GRABOWSKI</t>
  </si>
  <si>
    <t>ALEKSANDRA KIESZKOWSKA</t>
  </si>
  <si>
    <t>KINGA SKURAK</t>
  </si>
  <si>
    <t>WOJCIECH PRABUCKI</t>
  </si>
  <si>
    <t>MACIEJ STEFAŃSKI</t>
  </si>
  <si>
    <t>``</t>
  </si>
  <si>
    <t>OLEKSII DYRIV</t>
  </si>
  <si>
    <t>JULIA ŁĘKAWSKA</t>
  </si>
  <si>
    <t>GRZEGORZ BARTOSZKO</t>
  </si>
  <si>
    <t>MICHAŁ PROTAŚ</t>
  </si>
  <si>
    <t>SZYMON LEJCZAK</t>
  </si>
  <si>
    <t>ALEKSANDRA KALATA</t>
  </si>
  <si>
    <t>DOMINIK LUSZCZEK</t>
  </si>
  <si>
    <t>OLIVIER DRYJA</t>
  </si>
  <si>
    <t>DARIA WRONA</t>
  </si>
  <si>
    <t>MATEUSZ DYNIA</t>
  </si>
  <si>
    <t>OSKAR SZABATOWSKI</t>
  </si>
  <si>
    <t>ILLIA KLYMKO</t>
  </si>
  <si>
    <t>VANESSA JAROSIŃSKA</t>
  </si>
  <si>
    <t>BARTOSZ ŁATA</t>
  </si>
  <si>
    <t>ANASTASIIA DERKACH</t>
  </si>
  <si>
    <t>JULIA ZIĘTARA</t>
  </si>
  <si>
    <t>JOANNA ZDEB</t>
  </si>
  <si>
    <t>MIKHAIL KONDRATENKO</t>
  </si>
  <si>
    <t>DOMINIKA DARŁAK</t>
  </si>
  <si>
    <t>NIKOLA KAZNOWSKA</t>
  </si>
  <si>
    <t>DIANA KLUBKO</t>
  </si>
  <si>
    <t>MACIEJ KOZAKIEWICZ</t>
  </si>
  <si>
    <t>NATALIA WOJTCZAK</t>
  </si>
  <si>
    <t>OLIWIA STODOLNA</t>
  </si>
  <si>
    <t>MAGDALENA GOLDWASSER</t>
  </si>
  <si>
    <t>HANNA FEDYCZKOWSKA</t>
  </si>
  <si>
    <t>EMIL WOJTKOWICZ</t>
  </si>
  <si>
    <t>HUBERT JOJCZYK</t>
  </si>
  <si>
    <t>HANNA BANAK</t>
  </si>
  <si>
    <t>ALEKSANDRA CZYŻ</t>
  </si>
  <si>
    <t>JULIA NOWAK</t>
  </si>
  <si>
    <t>SANDRA PROKOP</t>
  </si>
  <si>
    <t>OLIWIA STACHERA</t>
  </si>
  <si>
    <t>AGATA KOZAK</t>
  </si>
  <si>
    <t>JAKUB MAJ</t>
  </si>
  <si>
    <t>MATEUSZ JOJCZYK</t>
  </si>
  <si>
    <t>RAFAŁ CIACH</t>
  </si>
  <si>
    <t>MIKOŁAJ HRUSZOWIEC</t>
  </si>
  <si>
    <t>JULIA AUGUST</t>
  </si>
  <si>
    <t>WALENTYNA BRZOŹ</t>
  </si>
  <si>
    <t>MILENA NOWICKA</t>
  </si>
  <si>
    <t>FILIP PINKOWSKI</t>
  </si>
  <si>
    <t>KONRAD KONIECZNY</t>
  </si>
  <si>
    <t>OLIWIA SZTAL</t>
  </si>
  <si>
    <t>KINGA WIŚNIEWSKA</t>
  </si>
  <si>
    <t>MATEUSZ LIS</t>
  </si>
  <si>
    <t>NIKOLA ABRAMOWSKA</t>
  </si>
  <si>
    <t>WIKTORIA JACHER</t>
  </si>
  <si>
    <t>ADAM KADŁUBOWSKI</t>
  </si>
  <si>
    <t>CW</t>
  </si>
  <si>
    <t>WIKTOR ŚWIERCZYŃSKI</t>
  </si>
  <si>
    <t>JAKUB PISKORSKI</t>
  </si>
  <si>
    <t>WERONIKA ADAMOWSKA</t>
  </si>
  <si>
    <t>PAWEŁ ŁUKAWSKI</t>
  </si>
  <si>
    <t>KUBA GRABIŃSKI</t>
  </si>
  <si>
    <t>NINA STACHAŃCZYK</t>
  </si>
  <si>
    <t>REMIGIUSZ POPŁAWSKI</t>
  </si>
  <si>
    <t>FILIP KLEPAK</t>
  </si>
  <si>
    <t>KACPER JON</t>
  </si>
  <si>
    <t>ł</t>
  </si>
  <si>
    <t>KACPER DOLBICKI</t>
  </si>
  <si>
    <t>MATEUSZ ZIELIŃSKI</t>
  </si>
  <si>
    <t>MAKSYMILIAN STASIAK</t>
  </si>
  <si>
    <t>ANNA ANTOSZEWSKA</t>
  </si>
  <si>
    <t>ANHELINA SOMCHENKO</t>
  </si>
  <si>
    <t>DAMIAN STANISŁAWSKI</t>
  </si>
  <si>
    <t>MAKSYMILIAN PORMAŃCZUK</t>
  </si>
  <si>
    <t>KATARZYNA ZBINKOWSKA</t>
  </si>
  <si>
    <t>JAKUB WALCZAK</t>
  </si>
  <si>
    <t>KONRAD ŁUKASZEK</t>
  </si>
  <si>
    <t>IVAN KONDRATENKO</t>
  </si>
  <si>
    <t xml:space="preserve">                                                                                                                                                                                                                                                                                                                                                                                                                                                                                                                                                                                                                                                                                                                                                                                                                                                                                                                                                                                                                                                                                                                                                                                                                                                                                                                                                                                                                                                                                                                                                                                                                                                                                                                                                                                                                                                                                                                                                                                                                                                                                                                                                                                                                                                                                                                                                                                                                                                                                                                                                                                                                                                                                                                                                                                                                                                                                                                                                                                                                                                                                                                                                                                                                                                                                                                                                                                                                                                         </t>
  </si>
  <si>
    <t>IGOR DELIMATA</t>
  </si>
  <si>
    <t>VLADYSLAV DEMIANKO</t>
  </si>
  <si>
    <t>OLIWIA CZULIŃSKA</t>
  </si>
  <si>
    <t>W</t>
  </si>
  <si>
    <t>ZUZANNA KOWALSKA</t>
  </si>
  <si>
    <t>WIACZESŁAW LASOTA</t>
  </si>
  <si>
    <t>POLA STRASZKO</t>
  </si>
  <si>
    <t>SZYMON KIBAŁO</t>
  </si>
  <si>
    <t>SAWICKA IZABELA</t>
  </si>
  <si>
    <t>ANTON YATSYK</t>
  </si>
  <si>
    <t>JAKUB TERPIS</t>
  </si>
  <si>
    <t>MIKOŁAJ KĘSZYCKI</t>
  </si>
  <si>
    <t>FILIP ZĄB</t>
  </si>
  <si>
    <t>ANDŻELIKA KANIAK</t>
  </si>
  <si>
    <t>KSAWERY SOKALSKI</t>
  </si>
  <si>
    <t>JULIA OSIŃSKA</t>
  </si>
  <si>
    <t>NATALIA KURIATA</t>
  </si>
  <si>
    <t>ALESSANDRO BIENIECKI</t>
  </si>
  <si>
    <t>MARTYNA BAGIŃSKA</t>
  </si>
  <si>
    <t>MAJA PAJĄCZKOWSKA</t>
  </si>
  <si>
    <t>FILIP LENART</t>
  </si>
  <si>
    <t>BALINOWSKA ALEKSANDRA LZN</t>
  </si>
  <si>
    <t>PETRYNIK MARTA LZN</t>
  </si>
  <si>
    <t>ROMANOWSKA PAULINA LZN</t>
  </si>
  <si>
    <t xml:space="preserve">STRZELECKA WIKTORIA LZN </t>
  </si>
  <si>
    <t>ZINOVIEVA ANNA LZN</t>
  </si>
  <si>
    <t xml:space="preserve">                                                </t>
  </si>
  <si>
    <t>KONRAD ŚWIEBOCKI PRAKTYKA</t>
  </si>
  <si>
    <t>EMIL MALCZAK</t>
  </si>
  <si>
    <t>SARA GOZDZEK</t>
  </si>
  <si>
    <t>NATALIA KUŚMIEREK RUDY ZSL</t>
  </si>
  <si>
    <t>ZUZANNA MISDZIOŁ</t>
  </si>
  <si>
    <t>w</t>
  </si>
  <si>
    <t>DAWID MICHAŁOWSKI PRAKTYKA</t>
  </si>
  <si>
    <t>MATEUSZ MROCZYŃSKI ZSL</t>
  </si>
  <si>
    <t>SOFIIA MALCHANIUK ZSL</t>
  </si>
  <si>
    <t>MICHELLE MARTYNIAK ZSL</t>
  </si>
  <si>
    <t>SARA FIGAJ ZSL</t>
  </si>
  <si>
    <t>MAGDALENA KARDAŚ ZSL</t>
  </si>
  <si>
    <t>NATALIA KUŚMIEREK - RUDY</t>
  </si>
  <si>
    <t>ALEXANDER SZYTKO  PRAKTYKA</t>
  </si>
  <si>
    <t xml:space="preserve">MAKSYMILIAN GRABOWSKI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</si>
</sst>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h]:mm:ss;@"/>
    <numFmt numFmtId="165" formatCode="d\-mmm\-yy"/>
    <numFmt numFmtId="166" formatCode="h:mm;@"/>
    <numFmt numFmtId="167" formatCode="hh:mm:ss\ AM/PM"/>
  </numFmts>
  <fonts count="31">
    <font>
      <sz val="11"/>
      <color indexed="63"/>
      <name val="Calibri"/>
      <family val="2"/>
      <charset val="238"/>
    </font>
    <font>
      <sz val="10"/>
      <name val="Arial"/>
      <family val="2"/>
      <charset val="238"/>
    </font>
    <font>
      <sz val="11"/>
      <color indexed="8"/>
      <name val="Calibri"/>
      <family val="2"/>
      <charset val="204"/>
    </font>
    <font>
      <sz val="10"/>
      <name val="Arial"/>
      <family val="2"/>
      <charset val="238"/>
    </font>
    <font>
      <sz val="9"/>
      <name val="Arial CE"/>
      <family val="2"/>
      <charset val="238"/>
    </font>
    <font>
      <sz val="11"/>
      <name val="Calibri"/>
      <family val="2"/>
      <charset val="238"/>
    </font>
    <font>
      <sz val="14"/>
      <color indexed="9"/>
      <name val="Calibri"/>
      <family val="2"/>
      <charset val="238"/>
    </font>
    <font>
      <b/>
      <sz val="14"/>
      <color indexed="9"/>
      <name val="Calibri"/>
      <family val="2"/>
      <charset val="238"/>
    </font>
    <font>
      <sz val="18"/>
      <color indexed="9"/>
      <name val="Calibri"/>
      <family val="2"/>
      <charset val="238"/>
    </font>
    <font>
      <sz val="20"/>
      <color indexed="9"/>
      <name val="Calibri"/>
      <family val="2"/>
      <charset val="238"/>
    </font>
    <font>
      <sz val="8"/>
      <color indexed="55"/>
      <name val="Calibri"/>
      <family val="2"/>
      <charset val="238"/>
    </font>
    <font>
      <sz val="11"/>
      <color indexed="63"/>
      <name val="Calibri"/>
      <family val="2"/>
      <charset val="238"/>
    </font>
    <font>
      <sz val="11"/>
      <color indexed="9"/>
      <name val="Calibri"/>
      <family val="2"/>
      <charset val="238"/>
    </font>
    <font>
      <b/>
      <sz val="11"/>
      <color indexed="9"/>
      <name val="Calibri"/>
      <family val="2"/>
      <charset val="238"/>
    </font>
    <font>
      <b/>
      <sz val="12"/>
      <color indexed="9"/>
      <name val="Calibri"/>
      <family val="2"/>
      <charset val="238"/>
    </font>
    <font>
      <sz val="12"/>
      <color indexed="9"/>
      <name val="Calibri"/>
      <family val="2"/>
      <charset val="238"/>
    </font>
    <font>
      <b/>
      <i/>
      <sz val="11"/>
      <color indexed="9"/>
      <name val="Calibri"/>
      <family val="2"/>
      <charset val="238"/>
    </font>
    <font>
      <sz val="10"/>
      <color indexed="63"/>
      <name val="Consolas"/>
      <family val="3"/>
      <charset val="238"/>
    </font>
    <font>
      <sz val="11"/>
      <color indexed="53"/>
      <name val="Calibri"/>
      <family val="2"/>
      <charset val="238"/>
    </font>
    <font>
      <b/>
      <u/>
      <sz val="11"/>
      <name val="Calibri"/>
      <family val="2"/>
      <charset val="238"/>
    </font>
    <font>
      <sz val="8"/>
      <name val="Arial"/>
      <family val="2"/>
      <charset val="238"/>
    </font>
    <font>
      <sz val="10"/>
      <name val="Arial"/>
      <family val="2"/>
    </font>
    <font>
      <b/>
      <sz val="12"/>
      <name val="Arial CE"/>
      <charset val="238"/>
    </font>
    <font>
      <b/>
      <sz val="10"/>
      <name val="Arial CE"/>
      <charset val="238"/>
    </font>
    <font>
      <b/>
      <sz val="12"/>
      <color theme="1"/>
      <name val="Arial CE"/>
      <charset val="238"/>
    </font>
    <font>
      <b/>
      <sz val="10"/>
      <name val="Arial CE"/>
      <charset val="204"/>
    </font>
    <font>
      <b/>
      <sz val="11"/>
      <name val="Arial CE"/>
      <charset val="238"/>
    </font>
    <font>
      <b/>
      <sz val="10"/>
      <color theme="1"/>
      <name val="Arial CE"/>
      <charset val="204"/>
    </font>
    <font>
      <sz val="11"/>
      <color theme="1"/>
      <name val="Calibri"/>
      <family val="2"/>
      <charset val="238"/>
    </font>
    <font>
      <sz val="11"/>
      <color theme="0"/>
      <name val="Calibri"/>
      <family val="2"/>
      <charset val="238"/>
    </font>
    <font>
      <b/>
      <sz val="11"/>
      <name val="Calibri"/>
      <family val="2"/>
      <charset val="238"/>
    </font>
  </fonts>
  <fills count="27">
    <fill>
      <patternFill patternType="none"/>
    </fill>
    <fill>
      <patternFill patternType="gray125"/>
    </fill>
    <fill>
      <patternFill patternType="solid">
        <fgColor indexed="50"/>
        <bgColor indexed="31"/>
      </patternFill>
    </fill>
    <fill>
      <patternFill patternType="solid">
        <fgColor indexed="31"/>
        <bgColor indexed="22"/>
      </patternFill>
    </fill>
    <fill>
      <patternFill patternType="solid">
        <fgColor indexed="63"/>
        <bgColor indexed="59"/>
      </patternFill>
    </fill>
    <fill>
      <patternFill patternType="solid">
        <fgColor indexed="49"/>
        <bgColor indexed="40"/>
      </patternFill>
    </fill>
    <fill>
      <patternFill patternType="solid">
        <fgColor indexed="9"/>
        <bgColor indexed="64"/>
      </patternFill>
    </fill>
    <fill>
      <patternFill patternType="solid">
        <fgColor indexed="9"/>
        <bgColor indexed="26"/>
      </patternFill>
    </fill>
    <fill>
      <patternFill patternType="solid">
        <fgColor indexed="22"/>
        <bgColor indexed="22"/>
      </patternFill>
    </fill>
    <fill>
      <patternFill patternType="solid">
        <fgColor indexed="22"/>
        <bgColor indexed="31"/>
      </patternFill>
    </fill>
    <fill>
      <patternFill patternType="solid">
        <fgColor indexed="22"/>
        <bgColor indexed="64"/>
      </patternFill>
    </fill>
    <fill>
      <patternFill patternType="solid">
        <fgColor indexed="24"/>
        <bgColor indexed="59"/>
      </patternFill>
    </fill>
    <fill>
      <patternFill patternType="solid">
        <fgColor theme="0"/>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0" tint="-0.249977111117893"/>
        <bgColor indexed="22"/>
      </patternFill>
    </fill>
    <fill>
      <patternFill patternType="solid">
        <fgColor rgb="FF00B0F0"/>
        <bgColor indexed="64"/>
      </patternFill>
    </fill>
    <fill>
      <patternFill patternType="solid">
        <fgColor theme="0"/>
        <bgColor indexed="31"/>
      </patternFill>
    </fill>
    <fill>
      <patternFill patternType="solid">
        <fgColor rgb="FFFF0000"/>
        <bgColor indexed="64"/>
      </patternFill>
    </fill>
    <fill>
      <patternFill patternType="solid">
        <fgColor rgb="FFFFC000"/>
        <bgColor indexed="64"/>
      </patternFill>
    </fill>
    <fill>
      <patternFill patternType="solid">
        <fgColor theme="0" tint="-0.249977111117893"/>
        <bgColor indexed="64"/>
      </patternFill>
    </fill>
    <fill>
      <patternFill patternType="solid">
        <fgColor theme="0"/>
        <bgColor indexed="26"/>
      </patternFill>
    </fill>
    <fill>
      <patternFill patternType="solid">
        <fgColor theme="6"/>
        <bgColor indexed="64"/>
      </patternFill>
    </fill>
    <fill>
      <patternFill patternType="solid">
        <fgColor theme="8" tint="-0.249977111117893"/>
        <bgColor indexed="64"/>
      </patternFill>
    </fill>
    <fill>
      <patternFill patternType="solid">
        <fgColor rgb="FF00B050"/>
        <bgColor indexed="64"/>
      </patternFill>
    </fill>
    <fill>
      <patternFill patternType="solid">
        <fgColor theme="4" tint="0.39997558519241921"/>
        <bgColor indexed="64"/>
      </patternFill>
    </fill>
    <fill>
      <patternFill patternType="solid">
        <fgColor rgb="FF0070C0"/>
        <bgColor indexed="64"/>
      </patternFill>
    </fill>
  </fills>
  <borders count="92">
    <border>
      <left/>
      <right/>
      <top/>
      <bottom/>
      <diagonal/>
    </border>
    <border>
      <left style="medium">
        <color indexed="8"/>
      </left>
      <right style="medium">
        <color indexed="8"/>
      </right>
      <top style="medium">
        <color indexed="8"/>
      </top>
      <bottom style="medium">
        <color indexed="8"/>
      </bottom>
      <diagonal/>
    </border>
    <border>
      <left style="medium">
        <color indexed="8"/>
      </left>
      <right/>
      <top style="medium">
        <color indexed="8"/>
      </top>
      <bottom/>
      <diagonal/>
    </border>
    <border>
      <left/>
      <right/>
      <top style="medium">
        <color indexed="8"/>
      </top>
      <bottom/>
      <diagonal/>
    </border>
    <border>
      <left/>
      <right style="medium">
        <color indexed="8"/>
      </right>
      <top style="medium">
        <color indexed="8"/>
      </top>
      <bottom/>
      <diagonal/>
    </border>
    <border>
      <left style="medium">
        <color indexed="8"/>
      </left>
      <right/>
      <top style="medium">
        <color indexed="8"/>
      </top>
      <bottom style="medium">
        <color indexed="8"/>
      </bottom>
      <diagonal/>
    </border>
    <border>
      <left/>
      <right/>
      <top style="medium">
        <color indexed="8"/>
      </top>
      <bottom style="medium">
        <color indexed="8"/>
      </bottom>
      <diagonal/>
    </border>
    <border>
      <left/>
      <right style="medium">
        <color indexed="8"/>
      </right>
      <top style="medium">
        <color indexed="8"/>
      </top>
      <bottom style="medium">
        <color indexed="8"/>
      </bottom>
      <diagonal/>
    </border>
    <border>
      <left/>
      <right style="medium">
        <color indexed="8"/>
      </right>
      <top/>
      <bottom/>
      <diagonal/>
    </border>
    <border>
      <left style="thin">
        <color indexed="8"/>
      </left>
      <right style="thin">
        <color indexed="8"/>
      </right>
      <top style="thin">
        <color indexed="8"/>
      </top>
      <bottom style="thin">
        <color indexed="8"/>
      </bottom>
      <diagonal/>
    </border>
    <border>
      <left style="hair">
        <color indexed="8"/>
      </left>
      <right style="hair">
        <color indexed="8"/>
      </right>
      <top style="hair">
        <color indexed="8"/>
      </top>
      <bottom style="hair">
        <color indexed="8"/>
      </bottom>
      <diagonal/>
    </border>
    <border>
      <left style="medium">
        <color indexed="8"/>
      </left>
      <right/>
      <top/>
      <bottom style="medium">
        <color indexed="8"/>
      </bottom>
      <diagonal/>
    </border>
    <border>
      <left/>
      <right/>
      <top/>
      <bottom style="medium">
        <color indexed="8"/>
      </bottom>
      <diagonal/>
    </border>
    <border>
      <left/>
      <right style="medium">
        <color indexed="8"/>
      </right>
      <top/>
      <bottom style="medium">
        <color indexed="8"/>
      </bottom>
      <diagonal/>
    </border>
    <border>
      <left style="medium">
        <color indexed="8"/>
      </left>
      <right style="medium">
        <color indexed="8"/>
      </right>
      <top/>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medium">
        <color indexed="64"/>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top style="medium">
        <color indexed="8"/>
      </top>
      <bottom style="medium">
        <color indexed="8"/>
      </bottom>
      <diagonal/>
    </border>
    <border>
      <left/>
      <right style="medium">
        <color indexed="64"/>
      </right>
      <top style="medium">
        <color indexed="8"/>
      </top>
      <bottom style="medium">
        <color indexed="8"/>
      </bottom>
      <diagonal/>
    </border>
    <border>
      <left style="medium">
        <color indexed="64"/>
      </left>
      <right style="medium">
        <color indexed="64"/>
      </right>
      <top style="thin">
        <color indexed="64"/>
      </top>
      <bottom style="medium">
        <color indexed="64"/>
      </bottom>
      <diagonal/>
    </border>
    <border>
      <left/>
      <right style="medium">
        <color indexed="64"/>
      </right>
      <top style="medium">
        <color indexed="8"/>
      </top>
      <bottom/>
      <diagonal/>
    </border>
    <border>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8"/>
      </left>
      <right/>
      <top/>
      <bottom style="medium">
        <color indexed="64"/>
      </bottom>
      <diagonal/>
    </border>
    <border>
      <left style="medium">
        <color indexed="64"/>
      </left>
      <right style="thin">
        <color indexed="64"/>
      </right>
      <top style="thin">
        <color indexed="64"/>
      </top>
      <bottom/>
      <diagonal/>
    </border>
    <border>
      <left style="hair">
        <color indexed="8"/>
      </left>
      <right style="hair">
        <color indexed="8"/>
      </right>
      <top style="hair">
        <color indexed="8"/>
      </top>
      <bottom/>
      <diagonal/>
    </border>
    <border>
      <left style="hair">
        <color indexed="8"/>
      </left>
      <right style="hair">
        <color indexed="8"/>
      </right>
      <top/>
      <bottom style="hair">
        <color indexed="8"/>
      </bottom>
      <diagonal/>
    </border>
    <border>
      <left style="medium">
        <color indexed="64"/>
      </left>
      <right/>
      <top style="thin">
        <color indexed="64"/>
      </top>
      <bottom style="thin">
        <color indexed="64"/>
      </bottom>
      <diagonal/>
    </border>
    <border>
      <left style="medium">
        <color indexed="8"/>
      </left>
      <right style="medium">
        <color indexed="8"/>
      </right>
      <top style="medium">
        <color indexed="8"/>
      </top>
      <bottom/>
      <diagonal/>
    </border>
    <border>
      <left style="medium">
        <color indexed="8"/>
      </left>
      <right style="medium">
        <color indexed="8"/>
      </right>
      <top/>
      <bottom style="medium">
        <color indexed="8"/>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8"/>
      </left>
      <right/>
      <top/>
      <bottom/>
      <diagonal/>
    </border>
    <border>
      <left style="medium">
        <color indexed="64"/>
      </left>
      <right/>
      <top style="medium">
        <color indexed="64"/>
      </top>
      <bottom style="medium">
        <color indexed="8"/>
      </bottom>
      <diagonal/>
    </border>
    <border>
      <left/>
      <right/>
      <top style="medium">
        <color indexed="64"/>
      </top>
      <bottom style="medium">
        <color indexed="8"/>
      </bottom>
      <diagonal/>
    </border>
    <border>
      <left/>
      <right style="medium">
        <color indexed="64"/>
      </right>
      <top style="medium">
        <color indexed="64"/>
      </top>
      <bottom style="medium">
        <color indexed="8"/>
      </bottom>
      <diagonal/>
    </border>
    <border>
      <left style="medium">
        <color indexed="8"/>
      </left>
      <right/>
      <top style="medium">
        <color indexed="8"/>
      </top>
      <bottom style="medium">
        <color indexed="64"/>
      </bottom>
      <diagonal/>
    </border>
    <border>
      <left/>
      <right/>
      <top style="medium">
        <color indexed="8"/>
      </top>
      <bottom style="medium">
        <color indexed="64"/>
      </bottom>
      <diagonal/>
    </border>
    <border>
      <left/>
      <right style="medium">
        <color indexed="8"/>
      </right>
      <top style="medium">
        <color indexed="8"/>
      </top>
      <bottom style="medium">
        <color indexed="64"/>
      </bottom>
      <diagonal/>
    </border>
    <border>
      <left/>
      <right style="medium">
        <color indexed="8"/>
      </right>
      <top style="medium">
        <color indexed="64"/>
      </top>
      <bottom style="medium">
        <color indexed="64"/>
      </bottom>
      <diagonal/>
    </border>
    <border>
      <left/>
      <right/>
      <top style="medium">
        <color indexed="64"/>
      </top>
      <bottom/>
      <diagonal/>
    </border>
    <border>
      <left/>
      <right style="medium">
        <color indexed="64"/>
      </right>
      <top style="medium">
        <color indexed="8"/>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style="medium">
        <color indexed="64"/>
      </left>
      <right style="medium">
        <color indexed="64"/>
      </right>
      <top/>
      <bottom style="medium">
        <color indexed="64"/>
      </bottom>
      <diagonal/>
    </border>
    <border>
      <left/>
      <right style="thin">
        <color indexed="64"/>
      </right>
      <top style="thin">
        <color indexed="64"/>
      </top>
      <bottom/>
      <diagonal/>
    </border>
    <border>
      <left style="medium">
        <color indexed="64"/>
      </left>
      <right/>
      <top/>
      <bottom/>
      <diagonal/>
    </border>
    <border>
      <left style="medium">
        <color indexed="64"/>
      </left>
      <right style="medium">
        <color indexed="64"/>
      </right>
      <top style="medium">
        <color indexed="64"/>
      </top>
      <bottom style="medium">
        <color indexed="8"/>
      </bottom>
      <diagonal/>
    </border>
    <border>
      <left style="medium">
        <color indexed="64"/>
      </left>
      <right style="medium">
        <color indexed="64"/>
      </right>
      <top style="medium">
        <color indexed="8"/>
      </top>
      <bottom style="medium">
        <color indexed="8"/>
      </bottom>
      <diagonal/>
    </border>
    <border>
      <left style="medium">
        <color indexed="64"/>
      </left>
      <right style="medium">
        <color indexed="64"/>
      </right>
      <top style="medium">
        <color indexed="8"/>
      </top>
      <bottom style="medium">
        <color indexed="64"/>
      </bottom>
      <diagonal/>
    </border>
    <border>
      <left style="medium">
        <color indexed="64"/>
      </left>
      <right style="medium">
        <color indexed="64"/>
      </right>
      <top/>
      <bottom style="medium">
        <color indexed="8"/>
      </bottom>
      <diagonal/>
    </border>
    <border>
      <left/>
      <right style="medium">
        <color indexed="64"/>
      </right>
      <top style="thin">
        <color indexed="64"/>
      </top>
      <bottom/>
      <diagonal/>
    </border>
    <border>
      <left/>
      <right/>
      <top style="thin">
        <color indexed="64"/>
      </top>
      <bottom/>
      <diagonal/>
    </border>
    <border>
      <left style="medium">
        <color indexed="64"/>
      </left>
      <right/>
      <top style="medium">
        <color indexed="8"/>
      </top>
      <bottom style="medium">
        <color indexed="64"/>
      </bottom>
      <diagonal/>
    </border>
    <border>
      <left style="thin">
        <color indexed="64"/>
      </left>
      <right/>
      <top style="thin">
        <color indexed="64"/>
      </top>
      <bottom style="thin">
        <color indexed="64"/>
      </bottom>
      <diagonal/>
    </border>
    <border>
      <left/>
      <right style="thin">
        <color indexed="8"/>
      </right>
      <top/>
      <bottom style="medium">
        <color indexed="64"/>
      </bottom>
      <diagonal/>
    </border>
    <border>
      <left style="thin">
        <color indexed="64"/>
      </left>
      <right/>
      <top style="thin">
        <color indexed="64"/>
      </top>
      <bottom style="medium">
        <color indexed="64"/>
      </bottom>
      <diagonal/>
    </border>
    <border>
      <left style="medium">
        <color indexed="64"/>
      </left>
      <right/>
      <top/>
      <bottom style="medium">
        <color indexed="64"/>
      </bottom>
      <diagonal/>
    </border>
    <border>
      <left style="medium">
        <color indexed="64"/>
      </left>
      <right style="medium">
        <color indexed="64"/>
      </right>
      <top style="thin">
        <color indexed="64"/>
      </top>
      <bottom/>
      <diagonal/>
    </border>
    <border>
      <left style="medium">
        <color indexed="64"/>
      </left>
      <right style="hair">
        <color indexed="8"/>
      </right>
      <top style="medium">
        <color indexed="64"/>
      </top>
      <bottom style="hair">
        <color indexed="8"/>
      </bottom>
      <diagonal/>
    </border>
    <border>
      <left style="hair">
        <color indexed="8"/>
      </left>
      <right style="hair">
        <color indexed="8"/>
      </right>
      <top style="medium">
        <color indexed="64"/>
      </top>
      <bottom style="hair">
        <color indexed="8"/>
      </bottom>
      <diagonal/>
    </border>
    <border>
      <left style="hair">
        <color indexed="8"/>
      </left>
      <right style="medium">
        <color indexed="64"/>
      </right>
      <top style="medium">
        <color indexed="64"/>
      </top>
      <bottom style="hair">
        <color indexed="8"/>
      </bottom>
      <diagonal/>
    </border>
    <border>
      <left style="medium">
        <color indexed="64"/>
      </left>
      <right style="hair">
        <color indexed="8"/>
      </right>
      <top/>
      <bottom style="hair">
        <color indexed="8"/>
      </bottom>
      <diagonal/>
    </border>
    <border>
      <left style="hair">
        <color indexed="8"/>
      </left>
      <right style="medium">
        <color indexed="64"/>
      </right>
      <top/>
      <bottom style="hair">
        <color indexed="8"/>
      </bottom>
      <diagonal/>
    </border>
    <border>
      <left style="medium">
        <color indexed="64"/>
      </left>
      <right style="hair">
        <color indexed="8"/>
      </right>
      <top style="hair">
        <color indexed="8"/>
      </top>
      <bottom style="hair">
        <color indexed="8"/>
      </bottom>
      <diagonal/>
    </border>
    <border>
      <left style="hair">
        <color indexed="8"/>
      </left>
      <right style="medium">
        <color indexed="64"/>
      </right>
      <top style="hair">
        <color indexed="8"/>
      </top>
      <bottom style="hair">
        <color indexed="8"/>
      </bottom>
      <diagonal/>
    </border>
    <border>
      <left style="medium">
        <color indexed="64"/>
      </left>
      <right style="hair">
        <color indexed="8"/>
      </right>
      <top style="hair">
        <color indexed="8"/>
      </top>
      <bottom/>
      <diagonal/>
    </border>
    <border>
      <left style="hair">
        <color indexed="8"/>
      </left>
      <right style="medium">
        <color indexed="64"/>
      </right>
      <top style="hair">
        <color indexed="8"/>
      </top>
      <bottom/>
      <diagonal/>
    </border>
    <border>
      <left style="medium">
        <color indexed="64"/>
      </left>
      <right style="hair">
        <color indexed="8"/>
      </right>
      <top style="hair">
        <color indexed="8"/>
      </top>
      <bottom style="medium">
        <color indexed="64"/>
      </bottom>
      <diagonal/>
    </border>
    <border>
      <left style="hair">
        <color indexed="8"/>
      </left>
      <right style="hair">
        <color indexed="8"/>
      </right>
      <top style="hair">
        <color indexed="8"/>
      </top>
      <bottom style="medium">
        <color indexed="64"/>
      </bottom>
      <diagonal/>
    </border>
    <border>
      <left style="hair">
        <color indexed="8"/>
      </left>
      <right style="medium">
        <color indexed="64"/>
      </right>
      <top style="hair">
        <color indexed="8"/>
      </top>
      <bottom style="medium">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8"/>
      </right>
      <top/>
      <bottom style="medium">
        <color indexed="64"/>
      </bottom>
      <diagonal/>
    </border>
    <border>
      <left style="thin">
        <color indexed="8"/>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8"/>
      </bottom>
      <diagonal/>
    </border>
    <border>
      <left style="medium">
        <color indexed="64"/>
      </left>
      <right style="medium">
        <color indexed="64"/>
      </right>
      <top style="thin">
        <color indexed="64"/>
      </top>
      <bottom style="medium">
        <color indexed="8"/>
      </bottom>
      <diagonal/>
    </border>
    <border>
      <left style="thin">
        <color indexed="64"/>
      </left>
      <right/>
      <top style="thin">
        <color indexed="64"/>
      </top>
      <bottom/>
      <diagonal/>
    </border>
  </borders>
  <cellStyleXfs count="9">
    <xf numFmtId="0" fontId="0" fillId="0" borderId="0"/>
    <xf numFmtId="0" fontId="2" fillId="0" borderId="0"/>
    <xf numFmtId="0" fontId="3" fillId="0" borderId="0"/>
    <xf numFmtId="0" fontId="21" fillId="0" borderId="0"/>
    <xf numFmtId="0" fontId="1" fillId="0" borderId="0"/>
    <xf numFmtId="0" fontId="3" fillId="0" borderId="0"/>
    <xf numFmtId="0" fontId="3" fillId="0" borderId="0"/>
    <xf numFmtId="0" fontId="11" fillId="0" borderId="0"/>
    <xf numFmtId="0" fontId="3" fillId="0" borderId="0"/>
  </cellStyleXfs>
  <cellXfs count="350">
    <xf numFmtId="0" fontId="0" fillId="0" borderId="0" xfId="0"/>
    <xf numFmtId="0" fontId="4" fillId="2" borderId="1" xfId="0" applyFont="1" applyFill="1" applyBorder="1" applyAlignment="1">
      <alignment horizontal="center" vertical="center" textRotation="90"/>
    </xf>
    <xf numFmtId="0" fontId="0" fillId="3" borderId="2" xfId="0" applyFill="1" applyBorder="1" applyAlignment="1">
      <alignment horizontal="center"/>
    </xf>
    <xf numFmtId="0" fontId="0" fillId="3" borderId="3" xfId="0" applyFill="1" applyBorder="1" applyAlignment="1">
      <alignment horizontal="center"/>
    </xf>
    <xf numFmtId="0" fontId="0" fillId="3" borderId="4" xfId="0" applyFill="1" applyBorder="1" applyAlignment="1">
      <alignment horizontal="center"/>
    </xf>
    <xf numFmtId="0" fontId="0" fillId="3" borderId="5" xfId="0" applyFill="1" applyBorder="1" applyAlignment="1">
      <alignment horizontal="center"/>
    </xf>
    <xf numFmtId="0" fontId="0" fillId="3" borderId="6" xfId="0" applyFill="1" applyBorder="1" applyAlignment="1">
      <alignment horizontal="center"/>
    </xf>
    <xf numFmtId="0" fontId="0" fillId="3" borderId="7" xfId="0" applyFill="1" applyBorder="1" applyAlignment="1">
      <alignment horizontal="center"/>
    </xf>
    <xf numFmtId="0" fontId="4" fillId="2" borderId="8" xfId="0" applyFont="1" applyFill="1" applyBorder="1" applyAlignment="1">
      <alignment horizontal="center" vertical="center" textRotation="90"/>
    </xf>
    <xf numFmtId="0" fontId="0" fillId="3" borderId="5" xfId="0" applyFill="1" applyBorder="1" applyAlignment="1">
      <alignment horizontal="center" vertical="center"/>
    </xf>
    <xf numFmtId="0" fontId="8" fillId="4" borderId="9" xfId="0" applyFont="1" applyFill="1" applyBorder="1"/>
    <xf numFmtId="0" fontId="9" fillId="5" borderId="9" xfId="0" applyFont="1" applyFill="1" applyBorder="1" applyAlignment="1">
      <alignment horizontal="center" vertical="center"/>
    </xf>
    <xf numFmtId="0" fontId="10" fillId="0" borderId="0" xfId="0" applyFont="1"/>
    <xf numFmtId="167" fontId="0" fillId="0" borderId="0" xfId="0" applyNumberFormat="1"/>
    <xf numFmtId="0" fontId="17" fillId="0" borderId="0" xfId="0" applyFont="1" applyAlignment="1">
      <alignment horizontal="left" vertical="center" indent="1"/>
    </xf>
    <xf numFmtId="0" fontId="18" fillId="0" borderId="0" xfId="0" applyFont="1"/>
    <xf numFmtId="0" fontId="0" fillId="3" borderId="5" xfId="0" applyFill="1" applyBorder="1"/>
    <xf numFmtId="0" fontId="0" fillId="3" borderId="6" xfId="0" applyFill="1" applyBorder="1"/>
    <xf numFmtId="0" fontId="0" fillId="3" borderId="7" xfId="0" applyFill="1" applyBorder="1"/>
    <xf numFmtId="164" fontId="0" fillId="0" borderId="0" xfId="0" applyNumberFormat="1"/>
    <xf numFmtId="0" fontId="0" fillId="8" borderId="6" xfId="0" applyFill="1" applyBorder="1" applyAlignment="1">
      <alignment horizontal="center"/>
    </xf>
    <xf numFmtId="0" fontId="0" fillId="8" borderId="7" xfId="0" applyFill="1" applyBorder="1" applyAlignment="1">
      <alignment horizontal="center"/>
    </xf>
    <xf numFmtId="0" fontId="0" fillId="8" borderId="5" xfId="0" applyFill="1" applyBorder="1" applyAlignment="1">
      <alignment horizontal="center" vertical="center"/>
    </xf>
    <xf numFmtId="0" fontId="17" fillId="0" borderId="0" xfId="0" applyFont="1" applyAlignment="1">
      <alignment horizontal="right" vertical="center" indent="1"/>
    </xf>
    <xf numFmtId="0" fontId="12" fillId="0" borderId="0" xfId="0" applyFont="1"/>
    <xf numFmtId="0" fontId="0" fillId="3" borderId="11" xfId="0" applyFill="1" applyBorder="1" applyAlignment="1">
      <alignment horizontal="center"/>
    </xf>
    <xf numFmtId="0" fontId="0" fillId="3" borderId="12" xfId="0" applyFill="1" applyBorder="1" applyAlignment="1">
      <alignment horizontal="center"/>
    </xf>
    <xf numFmtId="0" fontId="0" fillId="3" borderId="13" xfId="0" applyFill="1" applyBorder="1" applyAlignment="1">
      <alignment horizontal="center"/>
    </xf>
    <xf numFmtId="0" fontId="4" fillId="0" borderId="14" xfId="0" applyFont="1" applyBorder="1" applyAlignment="1">
      <alignment horizontal="center" vertical="center" textRotation="90"/>
    </xf>
    <xf numFmtId="0" fontId="0" fillId="0" borderId="2" xfId="0" applyBorder="1" applyAlignment="1">
      <alignment horizontal="center" vertical="center"/>
    </xf>
    <xf numFmtId="0" fontId="0" fillId="0" borderId="3" xfId="0" applyBorder="1" applyAlignment="1">
      <alignment horizontal="center"/>
    </xf>
    <xf numFmtId="0" fontId="0" fillId="0" borderId="4" xfId="0" applyBorder="1" applyAlignment="1">
      <alignment horizontal="center"/>
    </xf>
    <xf numFmtId="0" fontId="0" fillId="0" borderId="2" xfId="0" applyBorder="1" applyAlignment="1">
      <alignment horizontal="center"/>
    </xf>
    <xf numFmtId="0" fontId="0" fillId="12" borderId="0" xfId="0" applyFill="1"/>
    <xf numFmtId="0" fontId="4" fillId="2" borderId="5" xfId="0" applyFont="1" applyFill="1" applyBorder="1" applyAlignment="1">
      <alignment horizontal="center" vertical="center" textRotation="90"/>
    </xf>
    <xf numFmtId="20" fontId="20" fillId="12" borderId="15" xfId="0" applyNumberFormat="1" applyFont="1" applyFill="1" applyBorder="1" applyAlignment="1" applyProtection="1">
      <alignment horizontal="center" vertical="center"/>
      <protection locked="0"/>
    </xf>
    <xf numFmtId="20" fontId="20" fillId="12" borderId="15" xfId="0" applyNumberFormat="1" applyFont="1" applyFill="1" applyBorder="1" applyAlignment="1">
      <alignment horizontal="center" vertical="center"/>
    </xf>
    <xf numFmtId="0" fontId="0" fillId="3" borderId="22" xfId="0" applyFill="1" applyBorder="1" applyAlignment="1">
      <alignment horizontal="center"/>
    </xf>
    <xf numFmtId="0" fontId="0" fillId="3" borderId="23" xfId="0" applyFill="1" applyBorder="1" applyAlignment="1">
      <alignment horizontal="center"/>
    </xf>
    <xf numFmtId="165" fontId="20" fillId="12" borderId="24" xfId="0" applyNumberFormat="1" applyFont="1" applyFill="1" applyBorder="1" applyAlignment="1">
      <alignment horizontal="center"/>
    </xf>
    <xf numFmtId="0" fontId="0" fillId="13" borderId="0" xfId="0" applyFill="1"/>
    <xf numFmtId="20" fontId="20" fillId="12" borderId="26" xfId="0" applyNumberFormat="1" applyFont="1" applyFill="1" applyBorder="1" applyAlignment="1">
      <alignment horizontal="center" vertical="center"/>
    </xf>
    <xf numFmtId="0" fontId="0" fillId="14" borderId="0" xfId="0" applyFill="1"/>
    <xf numFmtId="0" fontId="0" fillId="15" borderId="5" xfId="0" applyFill="1" applyBorder="1" applyAlignment="1">
      <alignment horizontal="center" vertical="center"/>
    </xf>
    <xf numFmtId="0" fontId="4" fillId="2" borderId="2" xfId="0" applyFont="1" applyFill="1" applyBorder="1" applyAlignment="1">
      <alignment horizontal="center" vertical="center" textRotation="90"/>
    </xf>
    <xf numFmtId="0" fontId="4" fillId="2" borderId="33" xfId="0" applyFont="1" applyFill="1" applyBorder="1" applyAlignment="1">
      <alignment horizontal="center" vertical="center" textRotation="90"/>
    </xf>
    <xf numFmtId="166" fontId="0" fillId="0" borderId="0" xfId="0" applyNumberFormat="1"/>
    <xf numFmtId="20" fontId="20" fillId="12" borderId="18" xfId="0" applyNumberFormat="1" applyFont="1" applyFill="1" applyBorder="1" applyAlignment="1">
      <alignment horizontal="center" vertical="center"/>
    </xf>
    <xf numFmtId="166" fontId="5" fillId="7" borderId="10" xfId="0" applyNumberFormat="1" applyFont="1" applyFill="1" applyBorder="1" applyAlignment="1">
      <alignment horizontal="center" vertical="center"/>
    </xf>
    <xf numFmtId="166" fontId="5" fillId="6" borderId="10" xfId="0" applyNumberFormat="1" applyFont="1" applyFill="1" applyBorder="1" applyAlignment="1">
      <alignment horizontal="center" vertical="center"/>
    </xf>
    <xf numFmtId="20" fontId="20" fillId="12" borderId="17" xfId="0" applyNumberFormat="1" applyFont="1" applyFill="1" applyBorder="1" applyAlignment="1">
      <alignment horizontal="center"/>
    </xf>
    <xf numFmtId="20" fontId="20" fillId="12" borderId="18" xfId="0" applyNumberFormat="1" applyFont="1" applyFill="1" applyBorder="1" applyAlignment="1" applyProtection="1">
      <alignment horizontal="center" vertical="center"/>
      <protection locked="0"/>
    </xf>
    <xf numFmtId="0" fontId="4" fillId="2" borderId="48" xfId="0" applyFont="1" applyFill="1" applyBorder="1" applyAlignment="1">
      <alignment horizontal="center" vertical="center" textRotation="90"/>
    </xf>
    <xf numFmtId="0" fontId="4" fillId="2" borderId="50" xfId="0" applyFont="1" applyFill="1" applyBorder="1" applyAlignment="1">
      <alignment horizontal="center" vertical="center" textRotation="90"/>
    </xf>
    <xf numFmtId="164" fontId="0" fillId="12" borderId="0" xfId="0" applyNumberFormat="1" applyFill="1"/>
    <xf numFmtId="0" fontId="24" fillId="20" borderId="11" xfId="0" applyFont="1" applyFill="1" applyBorder="1" applyAlignment="1">
      <alignment vertical="center"/>
    </xf>
    <xf numFmtId="0" fontId="24" fillId="20" borderId="12" xfId="0" applyFont="1" applyFill="1" applyBorder="1" applyAlignment="1">
      <alignment vertical="center"/>
    </xf>
    <xf numFmtId="0" fontId="24" fillId="20" borderId="13" xfId="0" applyFont="1" applyFill="1" applyBorder="1" applyAlignment="1">
      <alignment vertical="center"/>
    </xf>
    <xf numFmtId="0" fontId="0" fillId="15" borderId="5" xfId="0" applyFill="1" applyBorder="1" applyAlignment="1">
      <alignment horizontal="center"/>
    </xf>
    <xf numFmtId="0" fontId="0" fillId="15" borderId="6" xfId="0" applyFill="1" applyBorder="1" applyAlignment="1">
      <alignment horizontal="center"/>
    </xf>
    <xf numFmtId="0" fontId="0" fillId="15" borderId="7" xfId="0" applyFill="1" applyBorder="1" applyAlignment="1">
      <alignment horizontal="center"/>
    </xf>
    <xf numFmtId="20" fontId="0" fillId="0" borderId="0" xfId="0" applyNumberFormat="1"/>
    <xf numFmtId="20" fontId="20" fillId="12" borderId="21" xfId="0" applyNumberFormat="1" applyFont="1" applyFill="1" applyBorder="1" applyAlignment="1">
      <alignment horizontal="center"/>
    </xf>
    <xf numFmtId="165" fontId="20" fillId="12" borderId="52" xfId="0" applyNumberFormat="1" applyFont="1" applyFill="1" applyBorder="1" applyAlignment="1">
      <alignment horizontal="center"/>
    </xf>
    <xf numFmtId="20" fontId="5" fillId="12" borderId="28" xfId="0" applyNumberFormat="1" applyFont="1" applyFill="1" applyBorder="1" applyAlignment="1">
      <alignment horizontal="center" vertical="center"/>
    </xf>
    <xf numFmtId="166" fontId="0" fillId="12" borderId="52" xfId="0" applyNumberFormat="1" applyFill="1" applyBorder="1" applyAlignment="1">
      <alignment horizontal="center"/>
    </xf>
    <xf numFmtId="20" fontId="5" fillId="12" borderId="63" xfId="0" applyNumberFormat="1" applyFont="1" applyFill="1" applyBorder="1" applyAlignment="1">
      <alignment horizontal="center" vertical="center"/>
    </xf>
    <xf numFmtId="16" fontId="20" fillId="12" borderId="52" xfId="0" applyNumberFormat="1" applyFont="1" applyFill="1" applyBorder="1" applyAlignment="1">
      <alignment horizontal="center"/>
    </xf>
    <xf numFmtId="16" fontId="20" fillId="12" borderId="65" xfId="0" applyNumberFormat="1" applyFont="1" applyFill="1" applyBorder="1" applyAlignment="1">
      <alignment horizontal="center"/>
    </xf>
    <xf numFmtId="166" fontId="5" fillId="6" borderId="72" xfId="0" applyNumberFormat="1" applyFont="1" applyFill="1" applyBorder="1" applyAlignment="1">
      <alignment horizontal="center" vertical="center"/>
    </xf>
    <xf numFmtId="166" fontId="5" fillId="7" borderId="72" xfId="0" applyNumberFormat="1" applyFont="1" applyFill="1" applyBorder="1" applyAlignment="1">
      <alignment horizontal="center" vertical="center"/>
    </xf>
    <xf numFmtId="0" fontId="19" fillId="7" borderId="73" xfId="0" applyFont="1" applyFill="1" applyBorder="1" applyAlignment="1">
      <alignment horizontal="center" vertical="center"/>
    </xf>
    <xf numFmtId="20" fontId="20" fillId="12" borderId="17" xfId="0" applyNumberFormat="1" applyFont="1" applyFill="1" applyBorder="1" applyAlignment="1">
      <alignment horizontal="center" vertical="center"/>
    </xf>
    <xf numFmtId="20" fontId="20" fillId="12" borderId="51" xfId="0" applyNumberFormat="1" applyFont="1" applyFill="1" applyBorder="1" applyAlignment="1">
      <alignment horizontal="center"/>
    </xf>
    <xf numFmtId="166" fontId="0" fillId="12" borderId="81" xfId="0" applyNumberFormat="1" applyFill="1" applyBorder="1" applyAlignment="1">
      <alignment horizontal="center"/>
    </xf>
    <xf numFmtId="20" fontId="5" fillId="12" borderId="85" xfId="0" applyNumberFormat="1" applyFont="1" applyFill="1" applyBorder="1" applyAlignment="1">
      <alignment horizontal="center" vertical="center"/>
    </xf>
    <xf numFmtId="20" fontId="5" fillId="12" borderId="86" xfId="0" applyNumberFormat="1" applyFont="1" applyFill="1" applyBorder="1" applyAlignment="1">
      <alignment horizontal="center" vertical="center"/>
    </xf>
    <xf numFmtId="20" fontId="20" fillId="12" borderId="26" xfId="0" applyNumberFormat="1" applyFont="1" applyFill="1" applyBorder="1" applyAlignment="1" applyProtection="1">
      <alignment horizontal="center" vertical="center"/>
      <protection locked="0"/>
    </xf>
    <xf numFmtId="20" fontId="20" fillId="12" borderId="51" xfId="0" applyNumberFormat="1" applyFont="1" applyFill="1" applyBorder="1" applyAlignment="1" applyProtection="1">
      <alignment horizontal="center" vertical="center"/>
      <protection locked="0"/>
    </xf>
    <xf numFmtId="20" fontId="20" fillId="12" borderId="62" xfId="0" applyNumberFormat="1" applyFont="1" applyFill="1" applyBorder="1" applyAlignment="1">
      <alignment horizontal="center" vertical="center"/>
    </xf>
    <xf numFmtId="20" fontId="20" fillId="12" borderId="50" xfId="0" applyNumberFormat="1" applyFont="1" applyFill="1" applyBorder="1" applyAlignment="1">
      <alignment horizontal="center"/>
    </xf>
    <xf numFmtId="20" fontId="20" fillId="12" borderId="24" xfId="0" applyNumberFormat="1" applyFont="1" applyFill="1" applyBorder="1" applyAlignment="1">
      <alignment horizontal="center"/>
    </xf>
    <xf numFmtId="20" fontId="20" fillId="12" borderId="27" xfId="0" applyNumberFormat="1" applyFont="1" applyFill="1" applyBorder="1" applyAlignment="1">
      <alignment horizontal="center" vertical="center"/>
    </xf>
    <xf numFmtId="20" fontId="20" fillId="12" borderId="64" xfId="0" applyNumberFormat="1" applyFont="1" applyFill="1" applyBorder="1" applyAlignment="1">
      <alignment horizontal="center" vertical="center"/>
    </xf>
    <xf numFmtId="20" fontId="20" fillId="12" borderId="80" xfId="0" applyNumberFormat="1" applyFont="1" applyFill="1" applyBorder="1" applyAlignment="1">
      <alignment horizontal="center"/>
    </xf>
    <xf numFmtId="14" fontId="20" fillId="12" borderId="88" xfId="0" applyNumberFormat="1" applyFont="1" applyFill="1" applyBorder="1" applyAlignment="1">
      <alignment horizontal="center"/>
    </xf>
    <xf numFmtId="0" fontId="20" fillId="13" borderId="32" xfId="0" applyFont="1" applyFill="1" applyBorder="1" applyAlignment="1">
      <alignment horizontal="center"/>
    </xf>
    <xf numFmtId="165" fontId="20" fillId="13" borderId="21" xfId="0" applyNumberFormat="1" applyFont="1" applyFill="1" applyBorder="1" applyAlignment="1">
      <alignment horizontal="center"/>
    </xf>
    <xf numFmtId="20" fontId="20" fillId="13" borderId="53" xfId="0" applyNumberFormat="1" applyFont="1" applyFill="1" applyBorder="1" applyAlignment="1" applyProtection="1">
      <alignment horizontal="center" vertical="center"/>
      <protection locked="0"/>
    </xf>
    <xf numFmtId="20" fontId="20" fillId="13" borderId="59" xfId="0" applyNumberFormat="1" applyFont="1" applyFill="1" applyBorder="1" applyAlignment="1" applyProtection="1">
      <alignment horizontal="center" vertical="center"/>
      <protection locked="0"/>
    </xf>
    <xf numFmtId="20" fontId="20" fillId="13" borderId="21" xfId="0" applyNumberFormat="1" applyFont="1" applyFill="1" applyBorder="1" applyAlignment="1">
      <alignment horizontal="center"/>
    </xf>
    <xf numFmtId="20" fontId="20" fillId="13" borderId="83" xfId="0" applyNumberFormat="1" applyFont="1" applyFill="1" applyBorder="1" applyAlignment="1">
      <alignment horizontal="center"/>
    </xf>
    <xf numFmtId="20" fontId="20" fillId="13" borderId="17" xfId="0" applyNumberFormat="1" applyFont="1" applyFill="1" applyBorder="1" applyAlignment="1">
      <alignment horizontal="center"/>
    </xf>
    <xf numFmtId="20" fontId="20" fillId="13" borderId="51" xfId="0" applyNumberFormat="1" applyFont="1" applyFill="1" applyBorder="1" applyAlignment="1">
      <alignment horizontal="center"/>
    </xf>
    <xf numFmtId="0" fontId="5" fillId="7" borderId="73" xfId="0" applyFont="1" applyFill="1" applyBorder="1" applyAlignment="1">
      <alignment horizontal="center" vertical="center"/>
    </xf>
    <xf numFmtId="0" fontId="19" fillId="6" borderId="73" xfId="0" applyFont="1" applyFill="1" applyBorder="1" applyAlignment="1">
      <alignment horizontal="center" vertical="center"/>
    </xf>
    <xf numFmtId="0" fontId="5" fillId="6" borderId="73" xfId="0" applyFont="1" applyFill="1" applyBorder="1" applyAlignment="1">
      <alignment horizontal="center" vertical="center"/>
    </xf>
    <xf numFmtId="166" fontId="5" fillId="21" borderId="72" xfId="0" applyNumberFormat="1" applyFont="1" applyFill="1" applyBorder="1" applyAlignment="1">
      <alignment horizontal="center" vertical="center"/>
    </xf>
    <xf numFmtId="0" fontId="19" fillId="7" borderId="73" xfId="0" applyFont="1" applyFill="1" applyBorder="1" applyAlignment="1">
      <alignment horizontal="center" vertical="center" wrapText="1"/>
    </xf>
    <xf numFmtId="166" fontId="5" fillId="21" borderId="76" xfId="0" applyNumberFormat="1" applyFont="1" applyFill="1" applyBorder="1" applyAlignment="1">
      <alignment horizontal="center" vertical="center"/>
    </xf>
    <xf numFmtId="166" fontId="5" fillId="21" borderId="77" xfId="0" applyNumberFormat="1" applyFont="1" applyFill="1" applyBorder="1" applyAlignment="1">
      <alignment horizontal="center" vertical="center"/>
    </xf>
    <xf numFmtId="0" fontId="0" fillId="22" borderId="0" xfId="0" applyFill="1"/>
    <xf numFmtId="0" fontId="5" fillId="12" borderId="78" xfId="0" applyFont="1" applyFill="1" applyBorder="1" applyAlignment="1">
      <alignment horizontal="center" vertical="center"/>
    </xf>
    <xf numFmtId="0" fontId="28" fillId="0" borderId="0" xfId="0" applyFont="1"/>
    <xf numFmtId="20" fontId="29" fillId="0" borderId="0" xfId="0" applyNumberFormat="1" applyFont="1"/>
    <xf numFmtId="0" fontId="29" fillId="0" borderId="0" xfId="0" applyFont="1"/>
    <xf numFmtId="20" fontId="20" fillId="12" borderId="66" xfId="0" applyNumberFormat="1" applyFont="1" applyFill="1" applyBorder="1" applyAlignment="1">
      <alignment horizontal="center"/>
    </xf>
    <xf numFmtId="20" fontId="20" fillId="12" borderId="89" xfId="0" applyNumberFormat="1" applyFont="1" applyFill="1" applyBorder="1" applyAlignment="1" applyProtection="1">
      <alignment horizontal="center" vertical="center"/>
      <protection locked="0"/>
    </xf>
    <xf numFmtId="20" fontId="20" fillId="12" borderId="90" xfId="0" applyNumberFormat="1" applyFont="1" applyFill="1" applyBorder="1" applyAlignment="1">
      <alignment horizontal="center"/>
    </xf>
    <xf numFmtId="166" fontId="0" fillId="0" borderId="10" xfId="0" applyNumberFormat="1" applyBorder="1" applyAlignment="1">
      <alignment horizontal="center" vertical="center"/>
    </xf>
    <xf numFmtId="20" fontId="20" fillId="12" borderId="53" xfId="0" applyNumberFormat="1" applyFont="1" applyFill="1" applyBorder="1" applyAlignment="1">
      <alignment horizontal="center" vertical="center"/>
    </xf>
    <xf numFmtId="20" fontId="20" fillId="12" borderId="91" xfId="0" applyNumberFormat="1" applyFont="1" applyFill="1" applyBorder="1" applyAlignment="1">
      <alignment horizontal="center" vertical="center"/>
    </xf>
    <xf numFmtId="0" fontId="20" fillId="0" borderId="87" xfId="0" applyFont="1" applyBorder="1" applyAlignment="1">
      <alignment horizontal="center"/>
    </xf>
    <xf numFmtId="165" fontId="20" fillId="0" borderId="21" xfId="0" applyNumberFormat="1" applyFont="1" applyBorder="1" applyAlignment="1">
      <alignment horizontal="center"/>
    </xf>
    <xf numFmtId="20" fontId="20" fillId="0" borderId="26" xfId="0" applyNumberFormat="1" applyFont="1" applyBorder="1" applyAlignment="1" applyProtection="1">
      <alignment horizontal="center" vertical="center"/>
      <protection locked="0"/>
    </xf>
    <xf numFmtId="20" fontId="20" fillId="0" borderId="51" xfId="0" applyNumberFormat="1" applyFont="1" applyBorder="1" applyAlignment="1" applyProtection="1">
      <alignment horizontal="center" vertical="center"/>
      <protection locked="0"/>
    </xf>
    <xf numFmtId="20" fontId="20" fillId="0" borderId="20" xfId="0" applyNumberFormat="1" applyFont="1" applyBorder="1" applyAlignment="1">
      <alignment horizontal="center"/>
    </xf>
    <xf numFmtId="20" fontId="20" fillId="0" borderId="84" xfId="0" applyNumberFormat="1" applyFont="1" applyBorder="1" applyAlignment="1">
      <alignment horizontal="center"/>
    </xf>
    <xf numFmtId="0" fontId="20" fillId="0" borderId="32" xfId="0" applyFont="1" applyBorder="1" applyAlignment="1">
      <alignment horizontal="center"/>
    </xf>
    <xf numFmtId="20" fontId="20" fillId="0" borderId="53" xfId="0" applyNumberFormat="1" applyFont="1" applyBorder="1" applyAlignment="1" applyProtection="1">
      <alignment horizontal="center" vertical="center"/>
      <protection locked="0"/>
    </xf>
    <xf numFmtId="20" fontId="20" fillId="0" borderId="59" xfId="0" applyNumberFormat="1" applyFont="1" applyBorder="1" applyAlignment="1" applyProtection="1">
      <alignment horizontal="center" vertical="center"/>
      <protection locked="0"/>
    </xf>
    <xf numFmtId="20" fontId="20" fillId="0" borderId="21" xfId="0" applyNumberFormat="1" applyFont="1" applyBorder="1" applyAlignment="1">
      <alignment horizontal="center"/>
    </xf>
    <xf numFmtId="20" fontId="20" fillId="0" borderId="83" xfId="0" applyNumberFormat="1" applyFont="1" applyBorder="1" applyAlignment="1">
      <alignment horizontal="center"/>
    </xf>
    <xf numFmtId="20" fontId="20" fillId="0" borderId="66" xfId="0" applyNumberFormat="1" applyFont="1" applyBorder="1" applyAlignment="1">
      <alignment horizontal="center"/>
    </xf>
    <xf numFmtId="20" fontId="20" fillId="0" borderId="29" xfId="0" applyNumberFormat="1" applyFont="1" applyBorder="1" applyAlignment="1" applyProtection="1">
      <alignment horizontal="center" vertical="center"/>
      <protection locked="0"/>
    </xf>
    <xf numFmtId="20" fontId="20" fillId="0" borderId="60" xfId="0" applyNumberFormat="1" applyFont="1" applyBorder="1" applyAlignment="1">
      <alignment horizontal="center"/>
    </xf>
    <xf numFmtId="20" fontId="20" fillId="0" borderId="79" xfId="0" applyNumberFormat="1" applyFont="1" applyBorder="1" applyAlignment="1">
      <alignment horizontal="center"/>
    </xf>
    <xf numFmtId="20" fontId="20" fillId="0" borderId="16" xfId="0" applyNumberFormat="1" applyFont="1" applyBorder="1" applyAlignment="1">
      <alignment horizontal="center"/>
    </xf>
    <xf numFmtId="20" fontId="20" fillId="0" borderId="17" xfId="0" applyNumberFormat="1" applyFont="1" applyBorder="1" applyAlignment="1">
      <alignment horizontal="center"/>
    </xf>
    <xf numFmtId="20" fontId="20" fillId="0" borderId="51" xfId="0" applyNumberFormat="1" applyFont="1" applyBorder="1" applyAlignment="1">
      <alignment horizontal="center"/>
    </xf>
    <xf numFmtId="20" fontId="20" fillId="0" borderId="19" xfId="0" applyNumberFormat="1" applyFont="1" applyBorder="1" applyAlignment="1" applyProtection="1">
      <alignment horizontal="center" vertical="center"/>
      <protection locked="0"/>
    </xf>
    <xf numFmtId="20" fontId="20" fillId="0" borderId="49" xfId="0" applyNumberFormat="1" applyFont="1" applyBorder="1" applyAlignment="1" applyProtection="1">
      <alignment horizontal="center" vertical="center"/>
      <protection locked="0"/>
    </xf>
    <xf numFmtId="20" fontId="20" fillId="24" borderId="53" xfId="0" applyNumberFormat="1" applyFont="1" applyFill="1" applyBorder="1" applyAlignment="1" applyProtection="1">
      <alignment horizontal="center" vertical="center"/>
      <protection locked="0"/>
    </xf>
    <xf numFmtId="20" fontId="20" fillId="24" borderId="59" xfId="0" applyNumberFormat="1" applyFont="1" applyFill="1" applyBorder="1" applyAlignment="1" applyProtection="1">
      <alignment horizontal="center" vertical="center"/>
      <protection locked="0"/>
    </xf>
    <xf numFmtId="20" fontId="20" fillId="24" borderId="21" xfId="0" applyNumberFormat="1" applyFont="1" applyFill="1" applyBorder="1" applyAlignment="1">
      <alignment horizontal="center"/>
    </xf>
    <xf numFmtId="20" fontId="20" fillId="16" borderId="26" xfId="0" applyNumberFormat="1" applyFont="1" applyFill="1" applyBorder="1" applyAlignment="1" applyProtection="1">
      <alignment horizontal="center" vertical="center"/>
      <protection locked="0"/>
    </xf>
    <xf numFmtId="20" fontId="20" fillId="16" borderId="51" xfId="0" applyNumberFormat="1" applyFont="1" applyFill="1" applyBorder="1" applyAlignment="1" applyProtection="1">
      <alignment horizontal="center" vertical="center"/>
      <protection locked="0"/>
    </xf>
    <xf numFmtId="20" fontId="20" fillId="16" borderId="20" xfId="0" applyNumberFormat="1" applyFont="1" applyFill="1" applyBorder="1" applyAlignment="1">
      <alignment horizontal="center"/>
    </xf>
    <xf numFmtId="20" fontId="20" fillId="16" borderId="16" xfId="0" applyNumberFormat="1" applyFont="1" applyFill="1" applyBorder="1" applyAlignment="1">
      <alignment horizontal="center"/>
    </xf>
    <xf numFmtId="20" fontId="20" fillId="16" borderId="53" xfId="0" applyNumberFormat="1" applyFont="1" applyFill="1" applyBorder="1" applyAlignment="1" applyProtection="1">
      <alignment horizontal="center" vertical="center"/>
      <protection locked="0"/>
    </xf>
    <xf numFmtId="20" fontId="20" fillId="16" borderId="59" xfId="0" applyNumberFormat="1" applyFont="1" applyFill="1" applyBorder="1" applyAlignment="1" applyProtection="1">
      <alignment horizontal="center" vertical="center"/>
      <protection locked="0"/>
    </xf>
    <xf numFmtId="20" fontId="20" fillId="16" borderId="21" xfId="0" applyNumberFormat="1" applyFont="1" applyFill="1" applyBorder="1" applyAlignment="1">
      <alignment horizontal="center"/>
    </xf>
    <xf numFmtId="20" fontId="20" fillId="16" borderId="17" xfId="0" applyNumberFormat="1" applyFont="1" applyFill="1" applyBorder="1" applyAlignment="1">
      <alignment horizontal="center"/>
    </xf>
    <xf numFmtId="20" fontId="20" fillId="12" borderId="53" xfId="0" applyNumberFormat="1" applyFont="1" applyFill="1" applyBorder="1" applyAlignment="1" applyProtection="1">
      <alignment horizontal="center" vertical="center"/>
      <protection locked="0"/>
    </xf>
    <xf numFmtId="20" fontId="20" fillId="12" borderId="59" xfId="0" applyNumberFormat="1" applyFont="1" applyFill="1" applyBorder="1" applyAlignment="1" applyProtection="1">
      <alignment horizontal="center" vertical="center"/>
      <protection locked="0"/>
    </xf>
    <xf numFmtId="20" fontId="20" fillId="16" borderId="83" xfId="0" applyNumberFormat="1" applyFont="1" applyFill="1" applyBorder="1" applyAlignment="1">
      <alignment horizontal="center"/>
    </xf>
    <xf numFmtId="20" fontId="20" fillId="16" borderId="51" xfId="0" applyNumberFormat="1" applyFont="1" applyFill="1" applyBorder="1" applyAlignment="1">
      <alignment horizontal="center"/>
    </xf>
    <xf numFmtId="20" fontId="20" fillId="13" borderId="29" xfId="0" applyNumberFormat="1" applyFont="1" applyFill="1" applyBorder="1" applyAlignment="1" applyProtection="1">
      <alignment horizontal="center" vertical="center"/>
      <protection locked="0"/>
    </xf>
    <xf numFmtId="20" fontId="20" fillId="24" borderId="17" xfId="0" applyNumberFormat="1" applyFont="1" applyFill="1" applyBorder="1" applyAlignment="1">
      <alignment horizontal="center"/>
    </xf>
    <xf numFmtId="166" fontId="5" fillId="7" borderId="74" xfId="0" applyNumberFormat="1" applyFont="1" applyFill="1" applyBorder="1" applyAlignment="1">
      <alignment horizontal="center" vertical="center"/>
    </xf>
    <xf numFmtId="166" fontId="5" fillId="7" borderId="30" xfId="0" applyNumberFormat="1" applyFont="1" applyFill="1" applyBorder="1" applyAlignment="1">
      <alignment horizontal="center" vertical="center"/>
    </xf>
    <xf numFmtId="166" fontId="5" fillId="7" borderId="31" xfId="0" applyNumberFormat="1" applyFont="1" applyFill="1" applyBorder="1" applyAlignment="1">
      <alignment horizontal="center" vertical="center"/>
    </xf>
    <xf numFmtId="166" fontId="5" fillId="7" borderId="67" xfId="0" applyNumberFormat="1" applyFont="1" applyFill="1" applyBorder="1" applyAlignment="1">
      <alignment horizontal="center" vertical="center"/>
    </xf>
    <xf numFmtId="166" fontId="5" fillId="7" borderId="70" xfId="0" applyNumberFormat="1" applyFont="1" applyFill="1" applyBorder="1" applyAlignment="1">
      <alignment horizontal="center" vertical="center"/>
    </xf>
    <xf numFmtId="166" fontId="5" fillId="7" borderId="68" xfId="0" applyNumberFormat="1" applyFont="1" applyFill="1" applyBorder="1" applyAlignment="1">
      <alignment horizontal="center" vertical="center"/>
    </xf>
    <xf numFmtId="166" fontId="5" fillId="7" borderId="0" xfId="0" applyNumberFormat="1" applyFont="1" applyFill="1" applyAlignment="1">
      <alignment horizontal="center" vertical="center"/>
    </xf>
    <xf numFmtId="0" fontId="19" fillId="7" borderId="69" xfId="0" applyFont="1" applyFill="1" applyBorder="1" applyAlignment="1">
      <alignment horizontal="center" vertical="center"/>
    </xf>
    <xf numFmtId="0" fontId="19" fillId="6" borderId="71" xfId="0" applyFont="1" applyFill="1" applyBorder="1" applyAlignment="1">
      <alignment horizontal="center" vertical="center"/>
    </xf>
    <xf numFmtId="0" fontId="19" fillId="6" borderId="75" xfId="0" applyFont="1" applyFill="1" applyBorder="1" applyAlignment="1">
      <alignment horizontal="center" vertical="center"/>
    </xf>
    <xf numFmtId="20" fontId="23" fillId="0" borderId="59" xfId="0" applyNumberFormat="1" applyFont="1" applyBorder="1" applyAlignment="1" applyProtection="1">
      <alignment horizontal="center" vertical="center"/>
      <protection locked="0"/>
    </xf>
    <xf numFmtId="20" fontId="20" fillId="16" borderId="29" xfId="0" applyNumberFormat="1" applyFont="1" applyFill="1" applyBorder="1" applyAlignment="1" applyProtection="1">
      <alignment horizontal="center" vertical="center"/>
      <protection locked="0"/>
    </xf>
    <xf numFmtId="20" fontId="20" fillId="16" borderId="66" xfId="0" applyNumberFormat="1" applyFont="1" applyFill="1" applyBorder="1" applyAlignment="1">
      <alignment horizontal="center"/>
    </xf>
    <xf numFmtId="164" fontId="0" fillId="3" borderId="35" xfId="0" applyNumberFormat="1" applyFill="1" applyBorder="1" applyAlignment="1">
      <alignment horizontal="center"/>
    </xf>
    <xf numFmtId="164" fontId="0" fillId="3" borderId="36" xfId="0" applyNumberFormat="1" applyFill="1" applyBorder="1" applyAlignment="1">
      <alignment horizontal="center"/>
    </xf>
    <xf numFmtId="164" fontId="0" fillId="3" borderId="37" xfId="0" applyNumberFormat="1" applyFill="1" applyBorder="1" applyAlignment="1">
      <alignment horizontal="center"/>
    </xf>
    <xf numFmtId="164" fontId="0" fillId="3" borderId="6" xfId="0" applyNumberFormat="1" applyFill="1" applyBorder="1" applyAlignment="1">
      <alignment horizontal="center"/>
    </xf>
    <xf numFmtId="164" fontId="0" fillId="3" borderId="7" xfId="0" applyNumberFormat="1" applyFill="1" applyBorder="1" applyAlignment="1">
      <alignment horizontal="center"/>
    </xf>
    <xf numFmtId="164" fontId="0" fillId="3" borderId="5" xfId="0" applyNumberFormat="1" applyFill="1" applyBorder="1" applyAlignment="1">
      <alignment horizontal="center"/>
    </xf>
    <xf numFmtId="0" fontId="4" fillId="2" borderId="1" xfId="0" applyFont="1" applyFill="1" applyBorder="1" applyAlignment="1">
      <alignment horizontal="center" vertical="center" textRotation="90"/>
    </xf>
    <xf numFmtId="0" fontId="4" fillId="9" borderId="5" xfId="0" applyFont="1" applyFill="1" applyBorder="1" applyAlignment="1" applyProtection="1">
      <alignment horizontal="center" vertical="center"/>
      <protection locked="0"/>
    </xf>
    <xf numFmtId="0" fontId="4" fillId="9" borderId="6" xfId="0" applyFont="1" applyFill="1" applyBorder="1" applyAlignment="1" applyProtection="1">
      <alignment horizontal="center" vertical="center"/>
      <protection locked="0"/>
    </xf>
    <xf numFmtId="0" fontId="4" fillId="9" borderId="7" xfId="0" applyFont="1" applyFill="1" applyBorder="1" applyAlignment="1" applyProtection="1">
      <alignment horizontal="center" vertical="center"/>
      <protection locked="0"/>
    </xf>
    <xf numFmtId="0" fontId="4" fillId="2" borderId="14" xfId="0" applyFont="1" applyFill="1" applyBorder="1" applyAlignment="1">
      <alignment horizontal="center" vertical="center" textRotation="90"/>
    </xf>
    <xf numFmtId="0" fontId="4" fillId="2" borderId="34" xfId="0" applyFont="1" applyFill="1" applyBorder="1" applyAlignment="1">
      <alignment horizontal="center" vertical="center" textRotation="90"/>
    </xf>
    <xf numFmtId="0" fontId="4" fillId="2" borderId="33" xfId="0" applyFont="1" applyFill="1" applyBorder="1" applyAlignment="1">
      <alignment horizontal="center" vertical="center" textRotation="90"/>
    </xf>
    <xf numFmtId="0" fontId="25" fillId="12" borderId="2" xfId="0" applyFont="1" applyFill="1" applyBorder="1" applyAlignment="1">
      <alignment horizontal="center" vertical="center"/>
    </xf>
    <xf numFmtId="0" fontId="25" fillId="12" borderId="3" xfId="0" applyFont="1" applyFill="1" applyBorder="1" applyAlignment="1">
      <alignment horizontal="center" vertical="center"/>
    </xf>
    <xf numFmtId="0" fontId="25" fillId="12" borderId="4" xfId="0" applyFont="1" applyFill="1" applyBorder="1" applyAlignment="1">
      <alignment horizontal="center" vertical="center"/>
    </xf>
    <xf numFmtId="0" fontId="25" fillId="12" borderId="11" xfId="0" applyFont="1" applyFill="1" applyBorder="1" applyAlignment="1">
      <alignment horizontal="center" vertical="center"/>
    </xf>
    <xf numFmtId="0" fontId="25" fillId="12" borderId="12" xfId="0" applyFont="1" applyFill="1" applyBorder="1" applyAlignment="1">
      <alignment horizontal="center" vertical="center"/>
    </xf>
    <xf numFmtId="0" fontId="25" fillId="12" borderId="13" xfId="0" applyFont="1" applyFill="1" applyBorder="1" applyAlignment="1">
      <alignment horizontal="center" vertical="center"/>
    </xf>
    <xf numFmtId="0" fontId="23" fillId="12" borderId="2" xfId="0" applyFont="1" applyFill="1" applyBorder="1" applyAlignment="1">
      <alignment horizontal="center" vertical="center"/>
    </xf>
    <xf numFmtId="0" fontId="23" fillId="12" borderId="3" xfId="0" applyFont="1" applyFill="1" applyBorder="1" applyAlignment="1">
      <alignment horizontal="center" vertical="center"/>
    </xf>
    <xf numFmtId="0" fontId="23" fillId="12" borderId="4" xfId="0" applyFont="1" applyFill="1" applyBorder="1" applyAlignment="1">
      <alignment horizontal="center" vertical="center"/>
    </xf>
    <xf numFmtId="0" fontId="23" fillId="12" borderId="11" xfId="0" applyFont="1" applyFill="1" applyBorder="1" applyAlignment="1">
      <alignment horizontal="center" vertical="center"/>
    </xf>
    <xf numFmtId="0" fontId="23" fillId="12" borderId="12" xfId="0" applyFont="1" applyFill="1" applyBorder="1" applyAlignment="1">
      <alignment horizontal="center" vertical="center"/>
    </xf>
    <xf numFmtId="0" fontId="23" fillId="12" borderId="13" xfId="0" applyFont="1" applyFill="1" applyBorder="1" applyAlignment="1">
      <alignment horizontal="center" vertical="center"/>
    </xf>
    <xf numFmtId="0" fontId="25" fillId="0" borderId="2" xfId="0" applyFont="1" applyBorder="1" applyAlignment="1">
      <alignment horizontal="center" vertical="center"/>
    </xf>
    <xf numFmtId="0" fontId="25" fillId="0" borderId="3" xfId="0" applyFont="1" applyBorder="1" applyAlignment="1">
      <alignment horizontal="center" vertical="center"/>
    </xf>
    <xf numFmtId="0" fontId="25" fillId="0" borderId="4" xfId="0" applyFont="1" applyBorder="1" applyAlignment="1">
      <alignment horizontal="center" vertical="center"/>
    </xf>
    <xf numFmtId="0" fontId="25" fillId="0" borderId="11" xfId="0" applyFont="1" applyBorder="1" applyAlignment="1">
      <alignment horizontal="center" vertical="center"/>
    </xf>
    <xf numFmtId="0" fontId="25" fillId="0" borderId="12" xfId="0" applyFont="1" applyBorder="1" applyAlignment="1">
      <alignment horizontal="center" vertical="center"/>
    </xf>
    <xf numFmtId="0" fontId="25" fillId="0" borderId="13" xfId="0" applyFont="1" applyBorder="1" applyAlignment="1">
      <alignment horizontal="center" vertical="center"/>
    </xf>
    <xf numFmtId="164" fontId="0" fillId="3" borderId="61" xfId="0" applyNumberFormat="1" applyFill="1" applyBorder="1" applyAlignment="1">
      <alignment horizontal="center"/>
    </xf>
    <xf numFmtId="164" fontId="0" fillId="3" borderId="43" xfId="0" applyNumberFormat="1" applyFill="1" applyBorder="1" applyAlignment="1">
      <alignment horizontal="center"/>
    </xf>
    <xf numFmtId="164" fontId="0" fillId="3" borderId="47" xfId="0" applyNumberFormat="1" applyFill="1" applyBorder="1" applyAlignment="1">
      <alignment horizontal="center"/>
    </xf>
    <xf numFmtId="0" fontId="25" fillId="23" borderId="2" xfId="0" applyFont="1" applyFill="1" applyBorder="1" applyAlignment="1">
      <alignment horizontal="center" vertical="center"/>
    </xf>
    <xf numFmtId="0" fontId="25" fillId="23" borderId="3" xfId="0" applyFont="1" applyFill="1" applyBorder="1" applyAlignment="1">
      <alignment horizontal="center" vertical="center"/>
    </xf>
    <xf numFmtId="0" fontId="25" fillId="23" borderId="4" xfId="0" applyFont="1" applyFill="1" applyBorder="1" applyAlignment="1">
      <alignment horizontal="center" vertical="center"/>
    </xf>
    <xf numFmtId="0" fontId="25" fillId="23" borderId="11" xfId="0" applyFont="1" applyFill="1" applyBorder="1" applyAlignment="1">
      <alignment horizontal="center" vertical="center"/>
    </xf>
    <xf numFmtId="0" fontId="25" fillId="23" borderId="12" xfId="0" applyFont="1" applyFill="1" applyBorder="1" applyAlignment="1">
      <alignment horizontal="center" vertical="center"/>
    </xf>
    <xf numFmtId="0" fontId="25" fillId="23" borderId="13" xfId="0" applyFont="1" applyFill="1" applyBorder="1" applyAlignment="1">
      <alignment horizontal="center" vertical="center"/>
    </xf>
    <xf numFmtId="0" fontId="23" fillId="23" borderId="2" xfId="0" applyFont="1" applyFill="1" applyBorder="1" applyAlignment="1">
      <alignment horizontal="center" vertical="center"/>
    </xf>
    <xf numFmtId="0" fontId="23" fillId="23" borderId="3" xfId="0" applyFont="1" applyFill="1" applyBorder="1" applyAlignment="1">
      <alignment horizontal="center" vertical="center"/>
    </xf>
    <xf numFmtId="0" fontId="23" fillId="23" borderId="4" xfId="0" applyFont="1" applyFill="1" applyBorder="1" applyAlignment="1">
      <alignment horizontal="center" vertical="center"/>
    </xf>
    <xf numFmtId="0" fontId="23" fillId="23" borderId="11" xfId="0" applyFont="1" applyFill="1" applyBorder="1" applyAlignment="1">
      <alignment horizontal="center" vertical="center"/>
    </xf>
    <xf numFmtId="0" fontId="23" fillId="23" borderId="12" xfId="0" applyFont="1" applyFill="1" applyBorder="1" applyAlignment="1">
      <alignment horizontal="center" vertical="center"/>
    </xf>
    <xf numFmtId="0" fontId="23" fillId="23" borderId="13" xfId="0" applyFont="1" applyFill="1" applyBorder="1" applyAlignment="1">
      <alignment horizontal="center" vertical="center"/>
    </xf>
    <xf numFmtId="0" fontId="4" fillId="2" borderId="5" xfId="0" applyFont="1" applyFill="1" applyBorder="1" applyAlignment="1">
      <alignment horizontal="center" vertical="center" textRotation="90"/>
    </xf>
    <xf numFmtId="164" fontId="0" fillId="19" borderId="54" xfId="0" applyNumberFormat="1" applyFill="1" applyBorder="1" applyAlignment="1">
      <alignment horizontal="right"/>
    </xf>
    <xf numFmtId="0" fontId="22" fillId="16" borderId="2" xfId="0" applyFont="1" applyFill="1" applyBorder="1" applyAlignment="1">
      <alignment horizontal="center" vertical="center"/>
    </xf>
    <xf numFmtId="0" fontId="22" fillId="16" borderId="3" xfId="0" applyFont="1" applyFill="1" applyBorder="1" applyAlignment="1">
      <alignment horizontal="center" vertical="center"/>
    </xf>
    <xf numFmtId="0" fontId="22" fillId="16" borderId="4" xfId="0" applyFont="1" applyFill="1" applyBorder="1" applyAlignment="1">
      <alignment horizontal="center" vertical="center"/>
    </xf>
    <xf numFmtId="0" fontId="22" fillId="16" borderId="11" xfId="0" applyFont="1" applyFill="1" applyBorder="1" applyAlignment="1">
      <alignment horizontal="center" vertical="center"/>
    </xf>
    <xf numFmtId="0" fontId="22" fillId="16" borderId="12" xfId="0" applyFont="1" applyFill="1" applyBorder="1" applyAlignment="1">
      <alignment horizontal="center" vertical="center"/>
    </xf>
    <xf numFmtId="0" fontId="22" fillId="16" borderId="13" xfId="0" applyFont="1" applyFill="1" applyBorder="1" applyAlignment="1">
      <alignment horizontal="center" vertical="center"/>
    </xf>
    <xf numFmtId="164" fontId="0" fillId="3" borderId="42" xfId="0" applyNumberFormat="1" applyFill="1" applyBorder="1" applyAlignment="1">
      <alignment horizontal="center"/>
    </xf>
    <xf numFmtId="164" fontId="0" fillId="3" borderId="44" xfId="0" applyNumberFormat="1" applyFill="1" applyBorder="1" applyAlignment="1">
      <alignment horizontal="center"/>
    </xf>
    <xf numFmtId="0" fontId="25" fillId="18" borderId="2" xfId="0" applyFont="1" applyFill="1" applyBorder="1" applyAlignment="1">
      <alignment horizontal="center" vertical="center"/>
    </xf>
    <xf numFmtId="0" fontId="25" fillId="18" borderId="3" xfId="0" applyFont="1" applyFill="1" applyBorder="1" applyAlignment="1">
      <alignment horizontal="center" vertical="center"/>
    </xf>
    <xf numFmtId="0" fontId="25" fillId="18" borderId="4" xfId="0" applyFont="1" applyFill="1" applyBorder="1" applyAlignment="1">
      <alignment horizontal="center" vertical="center"/>
    </xf>
    <xf numFmtId="0" fontId="25" fillId="18" borderId="11" xfId="0" applyFont="1" applyFill="1" applyBorder="1" applyAlignment="1">
      <alignment horizontal="center" vertical="center"/>
    </xf>
    <xf numFmtId="0" fontId="25" fillId="18" borderId="12" xfId="0" applyFont="1" applyFill="1" applyBorder="1" applyAlignment="1">
      <alignment horizontal="center" vertical="center"/>
    </xf>
    <xf numFmtId="0" fontId="25" fillId="18" borderId="13" xfId="0" applyFont="1" applyFill="1" applyBorder="1" applyAlignment="1">
      <alignment horizontal="center" vertical="center"/>
    </xf>
    <xf numFmtId="0" fontId="0" fillId="3" borderId="6" xfId="0" applyFill="1" applyBorder="1" applyAlignment="1">
      <alignment horizontal="center"/>
    </xf>
    <xf numFmtId="0" fontId="0" fillId="3" borderId="7" xfId="0" applyFill="1" applyBorder="1" applyAlignment="1">
      <alignment horizontal="center"/>
    </xf>
    <xf numFmtId="164" fontId="0" fillId="3" borderId="2" xfId="0" applyNumberFormat="1" applyFill="1" applyBorder="1" applyAlignment="1">
      <alignment horizontal="center"/>
    </xf>
    <xf numFmtId="164" fontId="0" fillId="3" borderId="3" xfId="0" applyNumberFormat="1" applyFill="1" applyBorder="1" applyAlignment="1">
      <alignment horizontal="center"/>
    </xf>
    <xf numFmtId="164" fontId="0" fillId="3" borderId="25" xfId="0" applyNumberFormat="1" applyFill="1" applyBorder="1" applyAlignment="1">
      <alignment horizontal="center"/>
    </xf>
    <xf numFmtId="0" fontId="0" fillId="3" borderId="5" xfId="0" applyFill="1" applyBorder="1" applyAlignment="1">
      <alignment horizontal="center"/>
    </xf>
    <xf numFmtId="164" fontId="0" fillId="3" borderId="4" xfId="0" applyNumberFormat="1" applyFill="1" applyBorder="1" applyAlignment="1">
      <alignment horizontal="center"/>
    </xf>
    <xf numFmtId="0" fontId="0" fillId="10" borderId="2" xfId="0" applyFill="1" applyBorder="1" applyAlignment="1">
      <alignment horizontal="center"/>
    </xf>
    <xf numFmtId="0" fontId="0" fillId="10" borderId="3" xfId="0" applyFill="1" applyBorder="1" applyAlignment="1">
      <alignment horizontal="center"/>
    </xf>
    <xf numFmtId="0" fontId="0" fillId="10" borderId="4" xfId="0" applyFill="1" applyBorder="1" applyAlignment="1">
      <alignment horizontal="center"/>
    </xf>
    <xf numFmtId="0" fontId="23" fillId="18" borderId="2" xfId="0" applyFont="1" applyFill="1" applyBorder="1" applyAlignment="1">
      <alignment horizontal="center" vertical="center"/>
    </xf>
    <xf numFmtId="0" fontId="23" fillId="18" borderId="3" xfId="0" applyFont="1" applyFill="1" applyBorder="1" applyAlignment="1">
      <alignment horizontal="center" vertical="center"/>
    </xf>
    <xf numFmtId="0" fontId="23" fillId="18" borderId="4" xfId="0" applyFont="1" applyFill="1" applyBorder="1" applyAlignment="1">
      <alignment horizontal="center" vertical="center"/>
    </xf>
    <xf numFmtId="0" fontId="23" fillId="18" borderId="11" xfId="0" applyFont="1" applyFill="1" applyBorder="1" applyAlignment="1">
      <alignment horizontal="center" vertical="center"/>
    </xf>
    <xf numFmtId="0" fontId="23" fillId="18" borderId="12" xfId="0" applyFont="1" applyFill="1" applyBorder="1" applyAlignment="1">
      <alignment horizontal="center" vertical="center"/>
    </xf>
    <xf numFmtId="0" fontId="23" fillId="18" borderId="13" xfId="0" applyFont="1" applyFill="1" applyBorder="1" applyAlignment="1">
      <alignment horizontal="center" vertical="center"/>
    </xf>
    <xf numFmtId="0" fontId="0" fillId="15" borderId="5" xfId="0" applyFill="1" applyBorder="1" applyAlignment="1">
      <alignment horizontal="center" vertical="center"/>
    </xf>
    <xf numFmtId="0" fontId="0" fillId="3" borderId="6" xfId="0" applyFill="1" applyBorder="1" applyAlignment="1">
      <alignment horizontal="center" vertical="center"/>
    </xf>
    <xf numFmtId="0" fontId="0" fillId="3" borderId="7" xfId="0" applyFill="1" applyBorder="1" applyAlignment="1">
      <alignment horizontal="center" vertical="center"/>
    </xf>
    <xf numFmtId="0" fontId="23" fillId="19" borderId="3" xfId="0" applyFont="1" applyFill="1" applyBorder="1" applyAlignment="1">
      <alignment horizontal="center" vertical="center"/>
    </xf>
    <xf numFmtId="0" fontId="23" fillId="19" borderId="4" xfId="0" applyFont="1" applyFill="1" applyBorder="1" applyAlignment="1">
      <alignment horizontal="center" vertical="center"/>
    </xf>
    <xf numFmtId="0" fontId="23" fillId="19" borderId="12" xfId="0" applyFont="1" applyFill="1" applyBorder="1" applyAlignment="1">
      <alignment horizontal="center" vertical="center"/>
    </xf>
    <xf numFmtId="0" fontId="23" fillId="19" borderId="13" xfId="0" applyFont="1" applyFill="1" applyBorder="1" applyAlignment="1">
      <alignment horizontal="center" vertical="center"/>
    </xf>
    <xf numFmtId="0" fontId="4" fillId="9" borderId="35" xfId="0" applyFont="1" applyFill="1" applyBorder="1" applyAlignment="1" applyProtection="1">
      <alignment horizontal="center" vertical="center"/>
      <protection locked="0"/>
    </xf>
    <xf numFmtId="0" fontId="4" fillId="9" borderId="36" xfId="0" applyFont="1" applyFill="1" applyBorder="1" applyAlignment="1" applyProtection="1">
      <alignment horizontal="center" vertical="center"/>
      <protection locked="0"/>
    </xf>
    <xf numFmtId="0" fontId="4" fillId="9" borderId="37" xfId="0" applyFont="1" applyFill="1" applyBorder="1" applyAlignment="1" applyProtection="1">
      <alignment horizontal="center" vertical="center"/>
      <protection locked="0"/>
    </xf>
    <xf numFmtId="164" fontId="0" fillId="3" borderId="45" xfId="0" applyNumberFormat="1" applyFill="1" applyBorder="1" applyAlignment="1">
      <alignment horizontal="center"/>
    </xf>
    <xf numFmtId="0" fontId="25" fillId="18" borderId="8" xfId="0" applyFont="1" applyFill="1" applyBorder="1" applyAlignment="1">
      <alignment horizontal="center" vertical="center"/>
    </xf>
    <xf numFmtId="0" fontId="25" fillId="18" borderId="38" xfId="0" applyFont="1" applyFill="1" applyBorder="1" applyAlignment="1">
      <alignment horizontal="center" vertical="center"/>
    </xf>
    <xf numFmtId="0" fontId="25" fillId="18" borderId="0" xfId="0" applyFont="1" applyFill="1" applyAlignment="1">
      <alignment horizontal="center" vertical="center"/>
    </xf>
    <xf numFmtId="0" fontId="4" fillId="9" borderId="34" xfId="0" applyFont="1" applyFill="1" applyBorder="1" applyAlignment="1" applyProtection="1">
      <alignment horizontal="center" vertical="center"/>
      <protection locked="0"/>
    </xf>
    <xf numFmtId="0" fontId="23" fillId="18" borderId="38" xfId="0" applyFont="1" applyFill="1" applyBorder="1" applyAlignment="1">
      <alignment horizontal="center" vertical="center"/>
    </xf>
    <xf numFmtId="0" fontId="23" fillId="18" borderId="0" xfId="0" applyFont="1" applyFill="1" applyAlignment="1">
      <alignment horizontal="center" vertical="center"/>
    </xf>
    <xf numFmtId="0" fontId="23" fillId="18" borderId="8" xfId="0" applyFont="1" applyFill="1" applyBorder="1" applyAlignment="1">
      <alignment horizontal="center" vertical="center"/>
    </xf>
    <xf numFmtId="0" fontId="0" fillId="10" borderId="38" xfId="0" applyFill="1" applyBorder="1" applyAlignment="1">
      <alignment horizontal="center"/>
    </xf>
    <xf numFmtId="0" fontId="0" fillId="10" borderId="0" xfId="0" applyFill="1" applyAlignment="1">
      <alignment horizontal="center"/>
    </xf>
    <xf numFmtId="0" fontId="0" fillId="10" borderId="8" xfId="0" applyFill="1" applyBorder="1" applyAlignment="1">
      <alignment horizontal="center"/>
    </xf>
    <xf numFmtId="0" fontId="26" fillId="16" borderId="2" xfId="0" applyFont="1" applyFill="1" applyBorder="1" applyAlignment="1">
      <alignment horizontal="center" vertical="center"/>
    </xf>
    <xf numFmtId="0" fontId="26" fillId="16" borderId="3" xfId="0" applyFont="1" applyFill="1" applyBorder="1" applyAlignment="1">
      <alignment horizontal="center" vertical="center"/>
    </xf>
    <xf numFmtId="0" fontId="26" fillId="16" borderId="4" xfId="0" applyFont="1" applyFill="1" applyBorder="1" applyAlignment="1">
      <alignment horizontal="center" vertical="center"/>
    </xf>
    <xf numFmtId="0" fontId="26" fillId="16" borderId="11" xfId="0" applyFont="1" applyFill="1" applyBorder="1" applyAlignment="1">
      <alignment horizontal="center" vertical="center"/>
    </xf>
    <xf numFmtId="0" fontId="26" fillId="16" borderId="12" xfId="0" applyFont="1" applyFill="1" applyBorder="1" applyAlignment="1">
      <alignment horizontal="center" vertical="center"/>
    </xf>
    <xf numFmtId="0" fontId="26" fillId="16" borderId="13" xfId="0" applyFont="1" applyFill="1" applyBorder="1" applyAlignment="1">
      <alignment horizontal="center" vertical="center"/>
    </xf>
    <xf numFmtId="0" fontId="23" fillId="20" borderId="11" xfId="0" applyFont="1" applyFill="1" applyBorder="1" applyAlignment="1">
      <alignment horizontal="center" vertical="center"/>
    </xf>
    <xf numFmtId="0" fontId="23" fillId="20" borderId="12" xfId="0" applyFont="1" applyFill="1" applyBorder="1" applyAlignment="1">
      <alignment horizontal="center" vertical="center"/>
    </xf>
    <xf numFmtId="0" fontId="23" fillId="20" borderId="13" xfId="0" applyFont="1" applyFill="1" applyBorder="1" applyAlignment="1">
      <alignment horizontal="center" vertical="center"/>
    </xf>
    <xf numFmtId="0" fontId="4" fillId="2" borderId="55" xfId="0" applyFont="1" applyFill="1" applyBorder="1" applyAlignment="1">
      <alignment horizontal="center" vertical="center" textRotation="90"/>
    </xf>
    <xf numFmtId="0" fontId="4" fillId="2" borderId="56" xfId="0" applyFont="1" applyFill="1" applyBorder="1" applyAlignment="1">
      <alignment horizontal="center" vertical="center" textRotation="90"/>
    </xf>
    <xf numFmtId="0" fontId="4" fillId="2" borderId="57" xfId="0" applyFont="1" applyFill="1" applyBorder="1" applyAlignment="1">
      <alignment horizontal="center" vertical="center" textRotation="90"/>
    </xf>
    <xf numFmtId="0" fontId="25" fillId="19" borderId="2" xfId="0" applyFont="1" applyFill="1" applyBorder="1" applyAlignment="1">
      <alignment horizontal="center" vertical="center"/>
    </xf>
    <xf numFmtId="0" fontId="25" fillId="19" borderId="3" xfId="0" applyFont="1" applyFill="1" applyBorder="1" applyAlignment="1">
      <alignment horizontal="center" vertical="center"/>
    </xf>
    <xf numFmtId="0" fontId="25" fillId="19" borderId="4" xfId="0" applyFont="1" applyFill="1" applyBorder="1" applyAlignment="1">
      <alignment horizontal="center" vertical="center"/>
    </xf>
    <xf numFmtId="0" fontId="25" fillId="19" borderId="11" xfId="0" applyFont="1" applyFill="1" applyBorder="1" applyAlignment="1">
      <alignment horizontal="center" vertical="center"/>
    </xf>
    <xf numFmtId="0" fontId="25" fillId="19" borderId="12" xfId="0" applyFont="1" applyFill="1" applyBorder="1" applyAlignment="1">
      <alignment horizontal="center" vertical="center"/>
    </xf>
    <xf numFmtId="0" fontId="25" fillId="19" borderId="13" xfId="0" applyFont="1" applyFill="1" applyBorder="1" applyAlignment="1">
      <alignment horizontal="center" vertical="center"/>
    </xf>
    <xf numFmtId="0" fontId="4" fillId="2" borderId="2" xfId="0" applyFont="1" applyFill="1" applyBorder="1" applyAlignment="1">
      <alignment horizontal="center" vertical="center" textRotation="90"/>
    </xf>
    <xf numFmtId="0" fontId="24" fillId="16" borderId="2" xfId="0" applyFont="1" applyFill="1" applyBorder="1" applyAlignment="1">
      <alignment horizontal="center" vertical="center"/>
    </xf>
    <xf numFmtId="0" fontId="24" fillId="16" borderId="3" xfId="0" applyFont="1" applyFill="1" applyBorder="1" applyAlignment="1">
      <alignment horizontal="center" vertical="center"/>
    </xf>
    <xf numFmtId="0" fontId="24" fillId="16" borderId="4" xfId="0" applyFont="1" applyFill="1" applyBorder="1" applyAlignment="1">
      <alignment horizontal="center" vertical="center"/>
    </xf>
    <xf numFmtId="0" fontId="24" fillId="16" borderId="11" xfId="0" applyFont="1" applyFill="1" applyBorder="1" applyAlignment="1">
      <alignment horizontal="center" vertical="center"/>
    </xf>
    <xf numFmtId="0" fontId="24" fillId="16" borderId="12" xfId="0" applyFont="1" applyFill="1" applyBorder="1" applyAlignment="1">
      <alignment horizontal="center" vertical="center"/>
    </xf>
    <xf numFmtId="0" fontId="24" fillId="16" borderId="13" xfId="0" applyFont="1" applyFill="1" applyBorder="1" applyAlignment="1">
      <alignment horizontal="center" vertical="center"/>
    </xf>
    <xf numFmtId="0" fontId="23" fillId="19" borderId="2" xfId="0" applyFont="1" applyFill="1" applyBorder="1" applyAlignment="1">
      <alignment horizontal="center" vertical="center"/>
    </xf>
    <xf numFmtId="0" fontId="23" fillId="19" borderId="11" xfId="0" applyFont="1" applyFill="1" applyBorder="1" applyAlignment="1">
      <alignment horizontal="center" vertical="center"/>
    </xf>
    <xf numFmtId="0" fontId="22" fillId="16" borderId="38" xfId="0" applyFont="1" applyFill="1" applyBorder="1" applyAlignment="1">
      <alignment horizontal="center" vertical="center"/>
    </xf>
    <xf numFmtId="0" fontId="22" fillId="16" borderId="0" xfId="0" applyFont="1" applyFill="1" applyAlignment="1">
      <alignment horizontal="center" vertical="center"/>
    </xf>
    <xf numFmtId="0" fontId="22" fillId="16" borderId="8" xfId="0" applyFont="1" applyFill="1" applyBorder="1" applyAlignment="1">
      <alignment horizontal="center" vertical="center"/>
    </xf>
    <xf numFmtId="20" fontId="30" fillId="19" borderId="48" xfId="0" applyNumberFormat="1" applyFont="1" applyFill="1" applyBorder="1" applyAlignment="1">
      <alignment horizontal="center" vertical="center"/>
    </xf>
    <xf numFmtId="20" fontId="30" fillId="19" borderId="46" xfId="0" applyNumberFormat="1" applyFont="1" applyFill="1" applyBorder="1" applyAlignment="1">
      <alignment horizontal="center" vertical="center"/>
    </xf>
    <xf numFmtId="20" fontId="30" fillId="19" borderId="49" xfId="0" applyNumberFormat="1" applyFont="1" applyFill="1" applyBorder="1" applyAlignment="1">
      <alignment horizontal="center" vertical="center"/>
    </xf>
    <xf numFmtId="20" fontId="30" fillId="19" borderId="65" xfId="0" applyNumberFormat="1" applyFont="1" applyFill="1" applyBorder="1" applyAlignment="1">
      <alignment horizontal="center" vertical="center"/>
    </xf>
    <xf numFmtId="20" fontId="30" fillId="19" borderId="81" xfId="0" applyNumberFormat="1" applyFont="1" applyFill="1" applyBorder="1" applyAlignment="1">
      <alignment horizontal="center" vertical="center"/>
    </xf>
    <xf numFmtId="20" fontId="30" fillId="19" borderId="82" xfId="0" applyNumberFormat="1" applyFont="1" applyFill="1" applyBorder="1" applyAlignment="1">
      <alignment horizontal="center" vertical="center"/>
    </xf>
    <xf numFmtId="0" fontId="27" fillId="0" borderId="2" xfId="0" applyFont="1" applyBorder="1" applyAlignment="1">
      <alignment horizontal="center" vertical="center"/>
    </xf>
    <xf numFmtId="0" fontId="27" fillId="0" borderId="3" xfId="0" applyFont="1" applyBorder="1" applyAlignment="1">
      <alignment horizontal="center" vertical="center"/>
    </xf>
    <xf numFmtId="0" fontId="27" fillId="0" borderId="4" xfId="0" applyFont="1" applyBorder="1" applyAlignment="1">
      <alignment horizontal="center" vertical="center"/>
    </xf>
    <xf numFmtId="0" fontId="27" fillId="0" borderId="11" xfId="0" applyFont="1" applyBorder="1" applyAlignment="1">
      <alignment horizontal="center" vertical="center"/>
    </xf>
    <xf numFmtId="0" fontId="27" fillId="0" borderId="12" xfId="0" applyFont="1" applyBorder="1" applyAlignment="1">
      <alignment horizontal="center" vertical="center"/>
    </xf>
    <xf numFmtId="0" fontId="27" fillId="0" borderId="13" xfId="0" applyFont="1" applyBorder="1" applyAlignment="1">
      <alignment horizontal="center" vertical="center"/>
    </xf>
    <xf numFmtId="0" fontId="27" fillId="18" borderId="3" xfId="0" applyFont="1" applyFill="1" applyBorder="1" applyAlignment="1">
      <alignment horizontal="center" vertical="center"/>
    </xf>
    <xf numFmtId="0" fontId="27" fillId="18" borderId="4" xfId="0" applyFont="1" applyFill="1" applyBorder="1" applyAlignment="1">
      <alignment horizontal="center" vertical="center"/>
    </xf>
    <xf numFmtId="0" fontId="27" fillId="18" borderId="12" xfId="0" applyFont="1" applyFill="1" applyBorder="1" applyAlignment="1">
      <alignment horizontal="center" vertical="center"/>
    </xf>
    <xf numFmtId="0" fontId="27" fillId="18" borderId="13" xfId="0" applyFont="1" applyFill="1" applyBorder="1" applyAlignment="1">
      <alignment horizontal="center" vertical="center"/>
    </xf>
    <xf numFmtId="0" fontId="0" fillId="3" borderId="2" xfId="0" applyFill="1" applyBorder="1" applyAlignment="1">
      <alignment horizontal="center"/>
    </xf>
    <xf numFmtId="0" fontId="0" fillId="3" borderId="3" xfId="0" applyFill="1" applyBorder="1" applyAlignment="1">
      <alignment horizontal="center"/>
    </xf>
    <xf numFmtId="0" fontId="0" fillId="3" borderId="4" xfId="0" applyFill="1" applyBorder="1" applyAlignment="1">
      <alignment horizontal="center"/>
    </xf>
    <xf numFmtId="0" fontId="0" fillId="3" borderId="12" xfId="0" applyFill="1" applyBorder="1" applyAlignment="1">
      <alignment horizontal="center"/>
    </xf>
    <xf numFmtId="0" fontId="0" fillId="3" borderId="13" xfId="0" applyFill="1" applyBorder="1" applyAlignment="1">
      <alignment horizontal="center"/>
    </xf>
    <xf numFmtId="0" fontId="4" fillId="17" borderId="5" xfId="0" applyFont="1" applyFill="1" applyBorder="1" applyAlignment="1" applyProtection="1">
      <alignment horizontal="center" vertical="center"/>
      <protection locked="0"/>
    </xf>
    <xf numFmtId="0" fontId="4" fillId="17" borderId="6" xfId="0" applyFont="1" applyFill="1" applyBorder="1" applyAlignment="1" applyProtection="1">
      <alignment horizontal="center" vertical="center"/>
      <protection locked="0"/>
    </xf>
    <xf numFmtId="0" fontId="4" fillId="17" borderId="7" xfId="0" applyFont="1" applyFill="1" applyBorder="1" applyAlignment="1" applyProtection="1">
      <alignment horizontal="center" vertical="center"/>
      <protection locked="0"/>
    </xf>
    <xf numFmtId="0" fontId="25" fillId="12" borderId="48" xfId="0" applyFont="1" applyFill="1" applyBorder="1" applyAlignment="1">
      <alignment horizontal="center" vertical="center"/>
    </xf>
    <xf numFmtId="0" fontId="25" fillId="12" borderId="46" xfId="0" applyFont="1" applyFill="1" applyBorder="1" applyAlignment="1">
      <alignment horizontal="center" vertical="center"/>
    </xf>
    <xf numFmtId="0" fontId="25" fillId="12" borderId="49" xfId="0" applyFont="1" applyFill="1" applyBorder="1" applyAlignment="1">
      <alignment horizontal="center" vertical="center"/>
    </xf>
    <xf numFmtId="0" fontId="25" fillId="12" borderId="65" xfId="0" applyFont="1" applyFill="1" applyBorder="1" applyAlignment="1">
      <alignment horizontal="center" vertical="center"/>
    </xf>
    <xf numFmtId="0" fontId="25" fillId="12" borderId="81" xfId="0" applyFont="1" applyFill="1" applyBorder="1" applyAlignment="1">
      <alignment horizontal="center" vertical="center"/>
    </xf>
    <xf numFmtId="0" fontId="25" fillId="12" borderId="82" xfId="0" applyFont="1" applyFill="1" applyBorder="1" applyAlignment="1">
      <alignment horizontal="center" vertical="center"/>
    </xf>
    <xf numFmtId="0" fontId="4" fillId="9" borderId="39" xfId="0" applyFont="1" applyFill="1" applyBorder="1" applyAlignment="1" applyProtection="1">
      <alignment horizontal="center" vertical="center"/>
      <protection locked="0"/>
    </xf>
    <xf numFmtId="0" fontId="4" fillId="9" borderId="40" xfId="0" applyFont="1" applyFill="1" applyBorder="1" applyAlignment="1" applyProtection="1">
      <alignment horizontal="center" vertical="center"/>
      <protection locked="0"/>
    </xf>
    <xf numFmtId="0" fontId="4" fillId="9" borderId="41" xfId="0" applyFont="1" applyFill="1" applyBorder="1" applyAlignment="1" applyProtection="1">
      <alignment horizontal="center" vertical="center"/>
      <protection locked="0"/>
    </xf>
    <xf numFmtId="164" fontId="0" fillId="3" borderId="48" xfId="0" applyNumberFormat="1" applyFill="1" applyBorder="1" applyAlignment="1">
      <alignment horizontal="center"/>
    </xf>
    <xf numFmtId="164" fontId="0" fillId="3" borderId="46" xfId="0" applyNumberFormat="1" applyFill="1" applyBorder="1" applyAlignment="1">
      <alignment horizontal="center"/>
    </xf>
    <xf numFmtId="164" fontId="0" fillId="3" borderId="49" xfId="0" applyNumberFormat="1" applyFill="1" applyBorder="1" applyAlignment="1">
      <alignment horizontal="center"/>
    </xf>
    <xf numFmtId="0" fontId="4" fillId="2" borderId="58" xfId="0" applyFont="1" applyFill="1" applyBorder="1" applyAlignment="1">
      <alignment horizontal="center" vertical="center" textRotation="90"/>
    </xf>
    <xf numFmtId="0" fontId="4" fillId="2" borderId="52" xfId="0" applyFont="1" applyFill="1" applyBorder="1" applyAlignment="1">
      <alignment horizontal="center" vertical="center" textRotation="90"/>
    </xf>
    <xf numFmtId="0" fontId="4" fillId="2" borderId="11" xfId="0" applyFont="1" applyFill="1" applyBorder="1" applyAlignment="1">
      <alignment horizontal="center" vertical="center" textRotation="90"/>
    </xf>
    <xf numFmtId="0" fontId="23" fillId="26" borderId="2" xfId="0" applyFont="1" applyFill="1" applyBorder="1" applyAlignment="1">
      <alignment horizontal="center" vertical="center"/>
    </xf>
    <xf numFmtId="0" fontId="23" fillId="26" borderId="3" xfId="0" applyFont="1" applyFill="1" applyBorder="1" applyAlignment="1">
      <alignment horizontal="center" vertical="center"/>
    </xf>
    <xf numFmtId="0" fontId="23" fillId="26" borderId="4" xfId="0" applyFont="1" applyFill="1" applyBorder="1" applyAlignment="1">
      <alignment horizontal="center" vertical="center"/>
    </xf>
    <xf numFmtId="0" fontId="23" fillId="26" borderId="11" xfId="0" applyFont="1" applyFill="1" applyBorder="1" applyAlignment="1">
      <alignment horizontal="center" vertical="center"/>
    </xf>
    <xf numFmtId="0" fontId="23" fillId="26" borderId="12" xfId="0" applyFont="1" applyFill="1" applyBorder="1" applyAlignment="1">
      <alignment horizontal="center" vertical="center"/>
    </xf>
    <xf numFmtId="0" fontId="23" fillId="26" borderId="13" xfId="0" applyFont="1" applyFill="1" applyBorder="1" applyAlignment="1">
      <alignment horizontal="center" vertical="center"/>
    </xf>
    <xf numFmtId="0" fontId="25" fillId="25" borderId="2" xfId="0" applyFont="1" applyFill="1" applyBorder="1" applyAlignment="1">
      <alignment horizontal="center" vertical="center"/>
    </xf>
    <xf numFmtId="0" fontId="25" fillId="25" borderId="3" xfId="0" applyFont="1" applyFill="1" applyBorder="1" applyAlignment="1">
      <alignment horizontal="center" vertical="center"/>
    </xf>
    <xf numFmtId="0" fontId="25" fillId="25" borderId="4" xfId="0" applyFont="1" applyFill="1" applyBorder="1" applyAlignment="1">
      <alignment horizontal="center" vertical="center"/>
    </xf>
    <xf numFmtId="0" fontId="25" fillId="25" borderId="11" xfId="0" applyFont="1" applyFill="1" applyBorder="1" applyAlignment="1">
      <alignment horizontal="center" vertical="center"/>
    </xf>
    <xf numFmtId="0" fontId="25" fillId="25" borderId="12" xfId="0" applyFont="1" applyFill="1" applyBorder="1" applyAlignment="1">
      <alignment horizontal="center" vertical="center"/>
    </xf>
    <xf numFmtId="0" fontId="25" fillId="25" borderId="13" xfId="0" applyFont="1" applyFill="1" applyBorder="1" applyAlignment="1">
      <alignment horizontal="center" vertical="center"/>
    </xf>
    <xf numFmtId="0" fontId="25" fillId="26" borderId="2" xfId="0" applyFont="1" applyFill="1" applyBorder="1" applyAlignment="1">
      <alignment horizontal="center" vertical="center"/>
    </xf>
    <xf numFmtId="0" fontId="25" fillId="26" borderId="3" xfId="0" applyFont="1" applyFill="1" applyBorder="1" applyAlignment="1">
      <alignment horizontal="center" vertical="center"/>
    </xf>
    <xf numFmtId="0" fontId="25" fillId="26" borderId="4" xfId="0" applyFont="1" applyFill="1" applyBorder="1" applyAlignment="1">
      <alignment horizontal="center" vertical="center"/>
    </xf>
    <xf numFmtId="0" fontId="25" fillId="26" borderId="11" xfId="0" applyFont="1" applyFill="1" applyBorder="1" applyAlignment="1">
      <alignment horizontal="center" vertical="center"/>
    </xf>
    <xf numFmtId="0" fontId="25" fillId="26" borderId="12" xfId="0" applyFont="1" applyFill="1" applyBorder="1" applyAlignment="1">
      <alignment horizontal="center" vertical="center"/>
    </xf>
    <xf numFmtId="0" fontId="25" fillId="26" borderId="13" xfId="0" applyFont="1" applyFill="1" applyBorder="1" applyAlignment="1">
      <alignment horizontal="center" vertical="center"/>
    </xf>
    <xf numFmtId="0" fontId="15" fillId="4" borderId="0" xfId="0" applyFont="1" applyFill="1" applyAlignment="1">
      <alignment horizontal="center" vertical="center" wrapText="1"/>
    </xf>
    <xf numFmtId="0" fontId="12" fillId="11" borderId="0" xfId="0" applyFont="1" applyFill="1" applyAlignment="1">
      <alignment horizontal="center" vertical="center" wrapText="1"/>
    </xf>
  </cellXfs>
  <cellStyles count="9">
    <cellStyle name="Normal" xfId="0" builtinId="0"/>
    <cellStyle name="Normalny 2" xfId="1" xr:uid="{00000000-0005-0000-0000-000001000000}"/>
    <cellStyle name="Normalny 3" xfId="2" xr:uid="{00000000-0005-0000-0000-000002000000}"/>
    <cellStyle name="Normalny 3 2" xfId="3" xr:uid="{00000000-0005-0000-0000-000003000000}"/>
    <cellStyle name="Normalny 4" xfId="4" xr:uid="{00000000-0005-0000-0000-000004000000}"/>
    <cellStyle name="TableStyleLight1" xfId="5" xr:uid="{00000000-0005-0000-0000-000005000000}"/>
    <cellStyle name="TableStyleLight1 2" xfId="6" xr:uid="{00000000-0005-0000-0000-000006000000}"/>
    <cellStyle name="Обычный 2" xfId="7" xr:uid="{00000000-0005-0000-0000-000007000000}"/>
    <cellStyle name="Обычный 2 2" xfId="8" xr:uid="{00000000-0005-0000-0000-000008000000}"/>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3333"/>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5B9BD5"/>
      <rgbColor rgb="00993366"/>
      <rgbColor rgb="00FFFFCC"/>
      <rgbColor rgb="00CCFFFF"/>
      <rgbColor rgb="00660066"/>
      <rgbColor rgb="00FF8080"/>
      <rgbColor rgb="000066CC"/>
      <rgbColor rgb="00BFBFB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2D05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theme" Target="theme/theme1.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eetMetadata" Target="metadata.xml"/><Relationship Id="rId5" Type="http://schemas.openxmlformats.org/officeDocument/2006/relationships/sharedStrings" Target="sharedStrings.xml"/><Relationship Id="rId4"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2.9543304931187279E-2"/>
          <c:y val="8.6235767291678464E-2"/>
          <c:w val="0.96146456609269959"/>
          <c:h val="0.81739307766385338"/>
        </c:manualLayout>
      </c:layout>
      <c:barChart>
        <c:barDir val="col"/>
        <c:grouping val="clustered"/>
        <c:varyColors val="0"/>
        <c:ser>
          <c:idx val="0"/>
          <c:order val="0"/>
          <c:spPr>
            <a:solidFill>
              <a:schemeClr val="tx2">
                <a:lumMod val="60000"/>
                <a:lumOff val="40000"/>
              </a:schemeClr>
            </a:solidFill>
            <a:ln w="25400">
              <a:solidFill>
                <a:schemeClr val="tx2">
                  <a:lumMod val="60000"/>
                  <a:lumOff val="40000"/>
                </a:schemeClr>
              </a:solidFill>
            </a:ln>
          </c:spPr>
          <c:invertIfNegative val="0"/>
          <c:dLbls>
            <c:spPr>
              <a:noFill/>
              <a:ln w="25400">
                <a:noFill/>
              </a:ln>
            </c:spPr>
            <c:txPr>
              <a:bodyPr wrap="square" lIns="38100" tIns="19050" rIns="38100" bIns="19050" anchor="ctr">
                <a:spAutoFit/>
              </a:bodyPr>
              <a:lstStyle/>
              <a:p>
                <a:pPr>
                  <a:defRPr sz="1000" b="1" i="0" u="none" strike="noStrike" baseline="0">
                    <a:solidFill>
                      <a:srgbClr val="FFFFFF"/>
                    </a:solidFill>
                    <a:latin typeface="Calibri"/>
                    <a:ea typeface="Calibri"/>
                    <a:cs typeface="Calibri"/>
                  </a:defRPr>
                </a:pPr>
                <a:endParaRPr lang="pl-PL"/>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'Statystyki dnia'!$E$150:$AB$150</c:f>
              <c:numCache>
                <c:formatCode>h:mm</c:formatCode>
                <c:ptCount val="24"/>
                <c:pt idx="0">
                  <c:v>4.1666666666666664E-2</c:v>
                </c:pt>
                <c:pt idx="1">
                  <c:v>8.3333333333333329E-2</c:v>
                </c:pt>
                <c:pt idx="2">
                  <c:v>0.125</c:v>
                </c:pt>
                <c:pt idx="3">
                  <c:v>0.16666666666666666</c:v>
                </c:pt>
                <c:pt idx="4">
                  <c:v>0.20833333333333334</c:v>
                </c:pt>
                <c:pt idx="5">
                  <c:v>0.25</c:v>
                </c:pt>
                <c:pt idx="6">
                  <c:v>0.29166666666666669</c:v>
                </c:pt>
                <c:pt idx="7">
                  <c:v>0.33333333333333331</c:v>
                </c:pt>
                <c:pt idx="8">
                  <c:v>0.375</c:v>
                </c:pt>
                <c:pt idx="9">
                  <c:v>0.41666666666666669</c:v>
                </c:pt>
                <c:pt idx="10">
                  <c:v>0.45833333333333331</c:v>
                </c:pt>
                <c:pt idx="11">
                  <c:v>0.5</c:v>
                </c:pt>
                <c:pt idx="12">
                  <c:v>0.54166666666666663</c:v>
                </c:pt>
                <c:pt idx="13">
                  <c:v>0.58333333333333337</c:v>
                </c:pt>
                <c:pt idx="14">
                  <c:v>0.625</c:v>
                </c:pt>
                <c:pt idx="15">
                  <c:v>0.66666666666666663</c:v>
                </c:pt>
                <c:pt idx="16">
                  <c:v>0.70833333333333337</c:v>
                </c:pt>
                <c:pt idx="17">
                  <c:v>0.75</c:v>
                </c:pt>
                <c:pt idx="18">
                  <c:v>0.79166666666666663</c:v>
                </c:pt>
                <c:pt idx="19">
                  <c:v>0.83333333333333337</c:v>
                </c:pt>
                <c:pt idx="20">
                  <c:v>0.875</c:v>
                </c:pt>
                <c:pt idx="21">
                  <c:v>0.91666666666666663</c:v>
                </c:pt>
                <c:pt idx="22">
                  <c:v>0.95833333333333337</c:v>
                </c:pt>
                <c:pt idx="23">
                  <c:v>1</c:v>
                </c:pt>
              </c:numCache>
            </c:numRef>
          </c:cat>
          <c:val>
            <c:numRef>
              <c:f>'Statystyki dnia'!$E$372:$AB$372</c:f>
              <c:numCache>
                <c:formatCode>General</c:formatCode>
                <c:ptCount val="24"/>
                <c:pt idx="0">
                  <c:v>0</c:v>
                </c:pt>
                <c:pt idx="1">
                  <c:v>0</c:v>
                </c:pt>
                <c:pt idx="2">
                  <c:v>8</c:v>
                </c:pt>
                <c:pt idx="3">
                  <c:v>19</c:v>
                </c:pt>
                <c:pt idx="4">
                  <c:v>19</c:v>
                </c:pt>
                <c:pt idx="5">
                  <c:v>19</c:v>
                </c:pt>
                <c:pt idx="6">
                  <c:v>19</c:v>
                </c:pt>
                <c:pt idx="7">
                  <c:v>20</c:v>
                </c:pt>
                <c:pt idx="8">
                  <c:v>21</c:v>
                </c:pt>
                <c:pt idx="9">
                  <c:v>21</c:v>
                </c:pt>
                <c:pt idx="10">
                  <c:v>31</c:v>
                </c:pt>
                <c:pt idx="11">
                  <c:v>31</c:v>
                </c:pt>
                <c:pt idx="12">
                  <c:v>24</c:v>
                </c:pt>
                <c:pt idx="13">
                  <c:v>28</c:v>
                </c:pt>
                <c:pt idx="14">
                  <c:v>28</c:v>
                </c:pt>
                <c:pt idx="15">
                  <c:v>15</c:v>
                </c:pt>
                <c:pt idx="16">
                  <c:v>15</c:v>
                </c:pt>
                <c:pt idx="17">
                  <c:v>17</c:v>
                </c:pt>
                <c:pt idx="18">
                  <c:v>17</c:v>
                </c:pt>
                <c:pt idx="19">
                  <c:v>17</c:v>
                </c:pt>
                <c:pt idx="20">
                  <c:v>17</c:v>
                </c:pt>
                <c:pt idx="21">
                  <c:v>17</c:v>
                </c:pt>
                <c:pt idx="22">
                  <c:v>7</c:v>
                </c:pt>
                <c:pt idx="23">
                  <c:v>7</c:v>
                </c:pt>
              </c:numCache>
            </c:numRef>
          </c:val>
          <c:extLst>
            <c:ext xmlns:c16="http://schemas.microsoft.com/office/drawing/2014/chart" uri="{C3380CC4-5D6E-409C-BE32-E72D297353CC}">
              <c16:uniqueId val="{00000000-3C94-49E2-B5B0-E155A47F23A0}"/>
            </c:ext>
          </c:extLst>
        </c:ser>
        <c:dLbls>
          <c:showLegendKey val="0"/>
          <c:showVal val="0"/>
          <c:showCatName val="0"/>
          <c:showSerName val="0"/>
          <c:showPercent val="0"/>
          <c:showBubbleSize val="0"/>
        </c:dLbls>
        <c:gapWidth val="150"/>
        <c:axId val="275338560"/>
        <c:axId val="1"/>
      </c:barChart>
      <c:catAx>
        <c:axId val="275338560"/>
        <c:scaling>
          <c:orientation val="minMax"/>
        </c:scaling>
        <c:delete val="0"/>
        <c:axPos val="b"/>
        <c:numFmt formatCode="h:mm" sourceLinked="1"/>
        <c:majorTickMark val="out"/>
        <c:minorTickMark val="none"/>
        <c:tickLblPos val="nextTo"/>
        <c:spPr>
          <a:ln w="3175">
            <a:solidFill>
              <a:srgbClr val="808080"/>
            </a:solidFill>
            <a:prstDash val="solid"/>
          </a:ln>
        </c:spPr>
        <c:txPr>
          <a:bodyPr rot="0" vert="horz"/>
          <a:lstStyle/>
          <a:p>
            <a:pPr>
              <a:defRPr sz="1000" b="0" i="0" u="none" strike="noStrike" baseline="0">
                <a:solidFill>
                  <a:srgbClr val="000000"/>
                </a:solidFill>
                <a:latin typeface="Calibri"/>
                <a:ea typeface="Calibri"/>
                <a:cs typeface="Calibri"/>
              </a:defRPr>
            </a:pPr>
            <a:endParaRPr lang="pl-PL"/>
          </a:p>
        </c:txPr>
        <c:crossAx val="1"/>
        <c:crossesAt val="0"/>
        <c:auto val="1"/>
        <c:lblAlgn val="ctr"/>
        <c:lblOffset val="100"/>
        <c:tickLblSkip val="1"/>
        <c:tickMarkSkip val="1"/>
        <c:noMultiLvlLbl val="0"/>
      </c:catAx>
      <c:valAx>
        <c:axId val="1"/>
        <c:scaling>
          <c:orientation val="minMax"/>
        </c:scaling>
        <c:delete val="0"/>
        <c:axPos val="l"/>
        <c:majorGridlines>
          <c:spPr>
            <a:ln w="3175">
              <a:solidFill>
                <a:srgbClr val="808080"/>
              </a:solidFill>
              <a:prstDash val="solid"/>
            </a:ln>
          </c:spPr>
        </c:majorGridlines>
        <c:numFmt formatCode="General" sourceLinked="1"/>
        <c:majorTickMark val="out"/>
        <c:minorTickMark val="none"/>
        <c:tickLblPos val="nextTo"/>
        <c:spPr>
          <a:ln w="3175">
            <a:solidFill>
              <a:srgbClr val="808080"/>
            </a:solidFill>
            <a:prstDash val="solid"/>
          </a:ln>
        </c:spPr>
        <c:txPr>
          <a:bodyPr rot="0" vert="horz"/>
          <a:lstStyle/>
          <a:p>
            <a:pPr>
              <a:defRPr sz="1000" b="0" i="0" u="none" strike="noStrike" baseline="0">
                <a:solidFill>
                  <a:srgbClr val="000000"/>
                </a:solidFill>
                <a:latin typeface="Calibri"/>
                <a:ea typeface="Calibri"/>
                <a:cs typeface="Calibri"/>
              </a:defRPr>
            </a:pPr>
            <a:endParaRPr lang="pl-PL"/>
          </a:p>
        </c:txPr>
        <c:crossAx val="275338560"/>
        <c:crossesAt val="1"/>
        <c:crossBetween val="between"/>
        <c:majorUnit val="1"/>
      </c:valAx>
      <c:spPr>
        <a:noFill/>
        <a:ln w="25400">
          <a:noFill/>
        </a:ln>
      </c:spPr>
    </c:plotArea>
    <c:plotVisOnly val="1"/>
    <c:dispBlanksAs val="gap"/>
    <c:showDLblsOverMax val="0"/>
  </c:chart>
  <c:spPr>
    <a:solidFill>
      <a:srgbClr val="FFFFFF"/>
    </a:solidFill>
    <a:ln w="3175">
      <a:solidFill>
        <a:srgbClr val="808080"/>
      </a:solidFill>
      <a:prstDash val="solid"/>
    </a:ln>
  </c:spPr>
  <c:txPr>
    <a:bodyPr/>
    <a:lstStyle/>
    <a:p>
      <a:pPr>
        <a:defRPr sz="1100" b="0" i="0" u="none" strike="noStrike" baseline="0">
          <a:solidFill>
            <a:srgbClr val="000000"/>
          </a:solidFill>
          <a:latin typeface="Calibri"/>
          <a:ea typeface="Calibri"/>
          <a:cs typeface="Calibri"/>
        </a:defRPr>
      </a:pPr>
      <a:endParaRPr lang="pl-PL"/>
    </a:p>
  </c:txPr>
  <c:printSettings>
    <c:headerFooter alignWithMargins="0"/>
    <c:pageMargins b="1" l="0.75" r="0.75" t="1" header="0.51180555555555551" footer="0.51180555555555551"/>
    <c:pageSetup firstPageNumber="0"/>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5</xdr:col>
      <xdr:colOff>443592</xdr:colOff>
      <xdr:row>2</xdr:row>
      <xdr:rowOff>287109</xdr:rowOff>
    </xdr:from>
    <xdr:to>
      <xdr:col>24</xdr:col>
      <xdr:colOff>326572</xdr:colOff>
      <xdr:row>25</xdr:row>
      <xdr:rowOff>27214</xdr:rowOff>
    </xdr:to>
    <xdr:graphicFrame macro="">
      <xdr:nvGraphicFramePr>
        <xdr:cNvPr id="11546227" name="Wykres 1">
          <a:extLst>
            <a:ext uri="{FF2B5EF4-FFF2-40B4-BE49-F238E27FC236}">
              <a16:creationId xmlns:a16="http://schemas.microsoft.com/office/drawing/2014/main" id="{2CC2354F-9BB2-0857-7A8C-E8ED59B011F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Motyw pakietu Office">
  <a:themeElements>
    <a:clrScheme name="Pakiet 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Pakiet 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Pakiet 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Arkusz1">
    <tabColor indexed="22"/>
    <pageSetUpPr fitToPage="1"/>
  </sheetPr>
  <dimension ref="A1:DQ65539"/>
  <sheetViews>
    <sheetView tabSelected="1" zoomScale="70" zoomScaleNormal="70" zoomScaleSheetLayoutView="50" zoomScalePageLayoutView="70" workbookViewId="0">
      <selection activeCell="L16" sqref="L16"/>
    </sheetView>
  </sheetViews>
  <sheetFormatPr defaultRowHeight="15" customHeight="1"/>
  <cols>
    <col min="1" max="1" width="3.6640625" customWidth="1"/>
    <col min="5" max="5" width="9.44140625" customWidth="1"/>
    <col min="6" max="6" width="10.88671875" customWidth="1"/>
    <col min="7" max="7" width="10.6640625" bestFit="1" customWidth="1"/>
    <col min="8" max="8" width="9.5546875" customWidth="1"/>
    <col min="9" max="9" width="10.33203125" customWidth="1"/>
    <col min="10" max="10" width="9.44140625" bestFit="1" customWidth="1"/>
    <col min="11" max="11" width="13.109375" bestFit="1" customWidth="1"/>
    <col min="12" max="12" width="10.6640625" customWidth="1"/>
    <col min="13" max="13" width="9.33203125" bestFit="1" customWidth="1"/>
    <col min="15" max="15" width="11.5546875" customWidth="1"/>
    <col min="21" max="21" width="10.5546875" customWidth="1"/>
    <col min="24" max="24" width="10.88671875" customWidth="1"/>
    <col min="27" max="27" width="12.44140625" customWidth="1"/>
    <col min="30" max="30" width="11.33203125" customWidth="1"/>
    <col min="33" max="33" width="9.33203125" customWidth="1"/>
    <col min="36" max="36" width="10.33203125" customWidth="1"/>
    <col min="41" max="41" width="8.6640625" customWidth="1"/>
    <col min="42" max="42" width="28.44140625" customWidth="1"/>
  </cols>
  <sheetData>
    <row r="1" spans="1:42" thickBot="1">
      <c r="B1" s="33"/>
      <c r="D1" s="51"/>
      <c r="E1" s="36"/>
      <c r="V1" s="47"/>
      <c r="W1" s="36"/>
      <c r="X1" s="33"/>
      <c r="Y1" s="47"/>
      <c r="Z1" s="36"/>
    </row>
    <row r="2" spans="1:42" ht="15.75" customHeight="1" thickBot="1">
      <c r="B2" s="168" t="s">
        <v>0</v>
      </c>
      <c r="C2" s="168" t="s">
        <v>1</v>
      </c>
      <c r="D2" s="210" t="s">
        <v>15</v>
      </c>
      <c r="E2" s="211"/>
      <c r="F2" s="212"/>
      <c r="G2" s="210" t="s">
        <v>13</v>
      </c>
      <c r="H2" s="211"/>
      <c r="I2" s="212"/>
      <c r="J2" s="210" t="s">
        <v>22</v>
      </c>
      <c r="K2" s="211"/>
      <c r="L2" s="212"/>
      <c r="M2" s="280" t="s">
        <v>14</v>
      </c>
      <c r="N2" s="281"/>
      <c r="O2" s="282"/>
      <c r="P2" s="210" t="s">
        <v>19</v>
      </c>
      <c r="Q2" s="211"/>
      <c r="R2" s="212"/>
      <c r="S2" s="261" t="s">
        <v>27</v>
      </c>
      <c r="T2" s="262"/>
      <c r="U2" s="263"/>
      <c r="V2" s="210" t="s">
        <v>24</v>
      </c>
      <c r="W2" s="211"/>
      <c r="X2" s="212"/>
      <c r="Y2" s="210" t="s">
        <v>26</v>
      </c>
      <c r="Z2" s="211"/>
      <c r="AA2" s="212"/>
      <c r="AB2" s="210" t="s">
        <v>21</v>
      </c>
      <c r="AC2" s="211"/>
      <c r="AD2" s="212"/>
      <c r="AE2" s="210" t="s">
        <v>20</v>
      </c>
      <c r="AF2" s="211"/>
      <c r="AG2" s="212"/>
      <c r="AH2" s="273" t="s">
        <v>41</v>
      </c>
      <c r="AI2" s="274"/>
      <c r="AJ2" s="275"/>
      <c r="AK2" s="286" t="s">
        <v>44</v>
      </c>
      <c r="AL2" s="243"/>
      <c r="AM2" s="244"/>
      <c r="AN2" s="208" t="s">
        <v>0</v>
      </c>
      <c r="AO2" s="270" t="s">
        <v>1</v>
      </c>
    </row>
    <row r="3" spans="1:42" ht="15.75" customHeight="1" thickBot="1">
      <c r="B3" s="168"/>
      <c r="C3" s="168"/>
      <c r="D3" s="213"/>
      <c r="E3" s="214"/>
      <c r="F3" s="215"/>
      <c r="G3" s="213"/>
      <c r="H3" s="214"/>
      <c r="I3" s="215"/>
      <c r="J3" s="213"/>
      <c r="K3" s="214"/>
      <c r="L3" s="215"/>
      <c r="M3" s="283"/>
      <c r="N3" s="284"/>
      <c r="O3" s="285"/>
      <c r="P3" s="213"/>
      <c r="Q3" s="214"/>
      <c r="R3" s="215"/>
      <c r="S3" s="264"/>
      <c r="T3" s="265"/>
      <c r="U3" s="266"/>
      <c r="V3" s="213"/>
      <c r="W3" s="214"/>
      <c r="X3" s="215"/>
      <c r="Y3" s="213"/>
      <c r="Z3" s="214"/>
      <c r="AA3" s="215"/>
      <c r="AB3" s="213"/>
      <c r="AC3" s="214"/>
      <c r="AD3" s="215"/>
      <c r="AE3" s="213"/>
      <c r="AF3" s="214"/>
      <c r="AG3" s="215"/>
      <c r="AH3" s="276"/>
      <c r="AI3" s="277"/>
      <c r="AJ3" s="278"/>
      <c r="AK3" s="287"/>
      <c r="AL3" s="245"/>
      <c r="AM3" s="246"/>
      <c r="AN3" s="208"/>
      <c r="AO3" s="271"/>
      <c r="AP3" s="19"/>
    </row>
    <row r="4" spans="1:42" thickBot="1">
      <c r="B4" s="168"/>
      <c r="C4" s="168"/>
      <c r="D4" s="169">
        <v>1</v>
      </c>
      <c r="E4" s="170"/>
      <c r="F4" s="171"/>
      <c r="G4" s="169">
        <v>2</v>
      </c>
      <c r="H4" s="170"/>
      <c r="I4" s="171"/>
      <c r="J4" s="169">
        <v>3</v>
      </c>
      <c r="K4" s="170"/>
      <c r="L4" s="171"/>
      <c r="M4" s="169">
        <v>4</v>
      </c>
      <c r="N4" s="170"/>
      <c r="O4" s="171"/>
      <c r="P4" s="169">
        <v>5</v>
      </c>
      <c r="Q4" s="170"/>
      <c r="R4" s="171"/>
      <c r="S4" s="169">
        <v>6</v>
      </c>
      <c r="T4" s="170"/>
      <c r="U4" s="171"/>
      <c r="V4" s="169">
        <v>7</v>
      </c>
      <c r="W4" s="170"/>
      <c r="X4" s="171"/>
      <c r="Y4" s="169">
        <v>8</v>
      </c>
      <c r="Z4" s="170"/>
      <c r="AA4" s="171"/>
      <c r="AB4" s="169">
        <v>9</v>
      </c>
      <c r="AC4" s="170"/>
      <c r="AD4" s="171"/>
      <c r="AE4" s="169">
        <v>10</v>
      </c>
      <c r="AF4" s="170"/>
      <c r="AG4" s="171"/>
      <c r="AH4" s="169">
        <v>11</v>
      </c>
      <c r="AI4" s="170"/>
      <c r="AJ4" s="171"/>
      <c r="AK4" s="169">
        <v>12</v>
      </c>
      <c r="AL4" s="170"/>
      <c r="AM4" s="171"/>
      <c r="AN4" s="208"/>
      <c r="AO4" s="271"/>
    </row>
    <row r="5" spans="1:42" thickBot="1">
      <c r="B5" s="174"/>
      <c r="C5" s="174"/>
      <c r="D5" s="2"/>
      <c r="E5" s="3"/>
      <c r="F5" s="4"/>
      <c r="G5" s="2"/>
      <c r="H5" s="3"/>
      <c r="I5" s="4"/>
      <c r="J5" s="231"/>
      <c r="K5" s="232"/>
      <c r="L5" s="233"/>
      <c r="M5" s="2"/>
      <c r="N5" s="3"/>
      <c r="O5" s="4"/>
      <c r="P5" s="2"/>
      <c r="Q5" s="3"/>
      <c r="R5" s="4"/>
      <c r="S5" s="2"/>
      <c r="T5" s="3"/>
      <c r="U5" s="4"/>
      <c r="V5" s="2"/>
      <c r="W5" s="3"/>
      <c r="X5" s="4"/>
      <c r="Y5" s="2"/>
      <c r="Z5" s="3"/>
      <c r="AA5" s="4"/>
      <c r="AB5" s="16"/>
      <c r="AC5" s="17"/>
      <c r="AD5" s="18"/>
      <c r="AE5" s="2"/>
      <c r="AF5" s="3"/>
      <c r="AG5" s="4"/>
      <c r="AH5" s="5"/>
      <c r="AI5" s="6"/>
      <c r="AJ5" s="7"/>
      <c r="AK5" s="5"/>
      <c r="AL5" s="6"/>
      <c r="AM5" s="7"/>
      <c r="AN5" s="279"/>
      <c r="AO5" s="272"/>
    </row>
    <row r="6" spans="1:42" thickBot="1">
      <c r="B6" s="52"/>
      <c r="C6" s="53"/>
      <c r="D6" s="162">
        <f>SUM(F7:F38)</f>
        <v>10.375</v>
      </c>
      <c r="E6" s="163"/>
      <c r="F6" s="164"/>
      <c r="G6" s="162">
        <f t="shared" ref="G6" si="0">SUM(I7:I38)</f>
        <v>9</v>
      </c>
      <c r="H6" s="163"/>
      <c r="I6" s="164"/>
      <c r="J6" s="162">
        <f t="shared" ref="J6" si="1">SUM(L7:L38)</f>
        <v>10.5</v>
      </c>
      <c r="K6" s="163"/>
      <c r="L6" s="164"/>
      <c r="M6" s="162">
        <f t="shared" ref="M6" si="2">SUM(O7:O38)</f>
        <v>6.833333333333333</v>
      </c>
      <c r="N6" s="163"/>
      <c r="O6" s="164"/>
      <c r="P6" s="162">
        <f t="shared" ref="P6" si="3">SUM(R7:R38)</f>
        <v>9.5</v>
      </c>
      <c r="Q6" s="163"/>
      <c r="R6" s="164"/>
      <c r="S6" s="162">
        <f t="shared" ref="S6" si="4">SUM(U7:U38)</f>
        <v>9.5</v>
      </c>
      <c r="T6" s="163"/>
      <c r="U6" s="164"/>
      <c r="V6" s="162">
        <f t="shared" ref="V6" si="5">SUM(X7:X38)</f>
        <v>7.895833333333333</v>
      </c>
      <c r="W6" s="163"/>
      <c r="X6" s="164"/>
      <c r="Y6" s="162">
        <f t="shared" ref="Y6" si="6">SUM(AA7:AA38)</f>
        <v>10.479166666666668</v>
      </c>
      <c r="Z6" s="163"/>
      <c r="AA6" s="164"/>
      <c r="AB6" s="162">
        <f t="shared" ref="AB6" si="7">SUM(AD7:AD38)</f>
        <v>7.4166666666666661</v>
      </c>
      <c r="AC6" s="163"/>
      <c r="AD6" s="164"/>
      <c r="AE6" s="162">
        <f t="shared" ref="AE6" si="8">SUM(AG7:AG38)</f>
        <v>7.4583333333333339</v>
      </c>
      <c r="AF6" s="163"/>
      <c r="AG6" s="164"/>
      <c r="AH6" s="162">
        <f t="shared" ref="AH6" si="9">SUM(AJ7:AJ38)</f>
        <v>8.875</v>
      </c>
      <c r="AI6" s="163"/>
      <c r="AJ6" s="164"/>
      <c r="AK6" s="162">
        <f t="shared" ref="AK6" si="10">SUM(AM7:AM38)</f>
        <v>5.375</v>
      </c>
      <c r="AL6" s="163"/>
      <c r="AM6" s="164"/>
      <c r="AN6" s="52"/>
      <c r="AO6" s="53"/>
      <c r="AP6" s="19">
        <f>SUM(D6:AO6)</f>
        <v>103.20833333333334</v>
      </c>
    </row>
    <row r="7" spans="1:42" ht="14.4">
      <c r="B7" s="112">
        <v>1</v>
      </c>
      <c r="C7" s="113" t="s">
        <v>8</v>
      </c>
      <c r="D7" s="114" t="s">
        <v>111</v>
      </c>
      <c r="E7" s="115"/>
      <c r="F7" s="116">
        <f t="shared" ref="F7:F26" si="11">(IF(D7="u",0.333333333,IF(D7="W",0,IF(D7="C",F7,IF(D7="op",F7,(E7-D7))))))</f>
        <v>0</v>
      </c>
      <c r="G7" s="135">
        <v>0.14583333333333334</v>
      </c>
      <c r="H7" s="136">
        <v>0.64583333333333337</v>
      </c>
      <c r="I7" s="137">
        <f t="shared" ref="I7:I26" si="12">(IF(G7="u",0.333333333,IF(G7="W",0,IF(G7="C",I7,IF(G7="op",I7,(H7-G7))))))</f>
        <v>0.5</v>
      </c>
      <c r="J7" s="114">
        <v>0.625</v>
      </c>
      <c r="K7" s="115">
        <v>1.125</v>
      </c>
      <c r="L7" s="116">
        <f t="shared" ref="L7:L26" si="13">(IF(J7="u",0.333333333,IF(J7="W",0,IF(J7="C",L7,IF(J7="op",L7,(K7-J7))))))</f>
        <v>0.5</v>
      </c>
      <c r="M7" s="114" t="s">
        <v>111</v>
      </c>
      <c r="N7" s="115"/>
      <c r="O7" s="116">
        <f t="shared" ref="O7:O26" si="14">(IF(M7="u",0.333333333,IF(M7="W",0,IF(M7="C",O7,IF(M7="op",O7,(N7-M7))))))</f>
        <v>0</v>
      </c>
      <c r="P7" s="114" t="s">
        <v>111</v>
      </c>
      <c r="Q7" s="115"/>
      <c r="R7" s="116">
        <f t="shared" ref="R7:R26" si="15">(IF(P7="u",0.333333333,IF(P7="W",0,IF(P7="C",R7,IF(P7="op",R7,(Q7-P7))))))</f>
        <v>0</v>
      </c>
      <c r="S7" s="114">
        <v>0.625</v>
      </c>
      <c r="T7" s="115">
        <v>1.125</v>
      </c>
      <c r="U7" s="116">
        <f t="shared" ref="U7:U26" si="16">(IF(S7="u",0.333333333,IF(S7="W",0,IF(S7="C",U7,IF(S7="op",U7,(T7-S7))))))</f>
        <v>0.5</v>
      </c>
      <c r="V7" s="135">
        <v>0.29166666666666669</v>
      </c>
      <c r="W7" s="136">
        <v>0.79166666666666663</v>
      </c>
      <c r="X7" s="137">
        <f t="shared" ref="X7:X26" si="17">(IF(V7="u",0.333333333,IF(V7="W",0,IF(V7="C",X7,IF(V7="op",X7,(W7-V7))))))</f>
        <v>0.49999999999999994</v>
      </c>
      <c r="Y7" s="114">
        <v>0.16666666666666666</v>
      </c>
      <c r="Z7" s="115">
        <v>0.66666666666666663</v>
      </c>
      <c r="AA7" s="116">
        <f t="shared" ref="AA7:AA26" si="18">(IF(Y7="u",0.333333333,IF(Y7="W",0,IF(Y7="C",AA7,IF(Y7="op",AA7,(Z7-Y7))))))</f>
        <v>0.5</v>
      </c>
      <c r="AB7" s="114">
        <v>0.5</v>
      </c>
      <c r="AC7" s="115">
        <v>0.91666666666666663</v>
      </c>
      <c r="AD7" s="116">
        <f t="shared" ref="AD7:AD26" si="19">(IF(AB7="u",0.333333333,IF(AB7="W",0,IF(AB7="C",AD7,IF(AB7="op",AD7,(AC7-AB7))))))</f>
        <v>0.41666666666666663</v>
      </c>
      <c r="AE7" s="114">
        <v>0.16666666666666666</v>
      </c>
      <c r="AF7" s="115">
        <v>0.66666666666666663</v>
      </c>
      <c r="AG7" s="116">
        <f t="shared" ref="AG7:AG26" si="20">(IF(AE7="u",0.333333333,IF(AE7="W",0,IF(AE7="C",AG7,IF(AE7="op",AG7,(AF7-AE7))))))</f>
        <v>0.5</v>
      </c>
      <c r="AH7" s="114">
        <v>0.375</v>
      </c>
      <c r="AI7" s="115">
        <v>0.91666666666666663</v>
      </c>
      <c r="AJ7" s="116">
        <f t="shared" ref="AJ7:AJ26" si="21">(IF(AH7="u",0.333333333,IF(AH7="W",0,IF(AH7="C",AJ7,IF(AH7="op",AJ7,(AI7-AH7))))))</f>
        <v>0.54166666666666663</v>
      </c>
      <c r="AK7" s="114" t="s">
        <v>111</v>
      </c>
      <c r="AL7" s="115"/>
      <c r="AM7" s="117">
        <f t="shared" ref="AM7:AM37" si="22">(IF(AK7="u",0.333333333,IF(AK7="W",0,IF(AK7="C",AM7,IF(AK7="op",AM7,(AL7-AK7))))))</f>
        <v>0</v>
      </c>
      <c r="AN7" s="112">
        <v>1</v>
      </c>
      <c r="AO7" s="113" t="s">
        <v>8</v>
      </c>
    </row>
    <row r="8" spans="1:42" ht="14.4">
      <c r="B8" s="118">
        <v>2</v>
      </c>
      <c r="C8" s="113" t="s">
        <v>12</v>
      </c>
      <c r="D8" s="143">
        <v>0.16666666666666666</v>
      </c>
      <c r="E8" s="144">
        <v>0.66666666666666663</v>
      </c>
      <c r="F8" s="62">
        <f t="shared" si="11"/>
        <v>0.5</v>
      </c>
      <c r="G8" s="119">
        <v>0.14583333333333334</v>
      </c>
      <c r="H8" s="120">
        <v>0.64583333333333337</v>
      </c>
      <c r="I8" s="121">
        <f t="shared" si="12"/>
        <v>0.5</v>
      </c>
      <c r="J8" s="119">
        <v>0.625</v>
      </c>
      <c r="K8" s="120">
        <v>1.125</v>
      </c>
      <c r="L8" s="121">
        <f t="shared" si="13"/>
        <v>0.5</v>
      </c>
      <c r="M8" s="119" t="s">
        <v>111</v>
      </c>
      <c r="N8" s="120"/>
      <c r="O8" s="121">
        <f t="shared" si="14"/>
        <v>0</v>
      </c>
      <c r="P8" s="119">
        <v>0.41666666666666669</v>
      </c>
      <c r="Q8" s="120">
        <v>0.91666666666666663</v>
      </c>
      <c r="R8" s="121">
        <f t="shared" si="15"/>
        <v>0.49999999999999994</v>
      </c>
      <c r="S8" s="119">
        <v>0.625</v>
      </c>
      <c r="T8" s="120">
        <v>1.125</v>
      </c>
      <c r="U8" s="121">
        <f t="shared" si="16"/>
        <v>0.5</v>
      </c>
      <c r="V8" s="139">
        <v>0.33333333333333331</v>
      </c>
      <c r="W8" s="140">
        <v>0.83333333333333337</v>
      </c>
      <c r="X8" s="141">
        <f t="shared" si="17"/>
        <v>0.5</v>
      </c>
      <c r="Y8" s="119">
        <v>0.16666666666666666</v>
      </c>
      <c r="Z8" s="120">
        <v>0.72916666666666663</v>
      </c>
      <c r="AA8" s="121">
        <f t="shared" si="18"/>
        <v>0.5625</v>
      </c>
      <c r="AB8" s="119"/>
      <c r="AC8" s="120"/>
      <c r="AD8" s="121">
        <f t="shared" si="19"/>
        <v>0</v>
      </c>
      <c r="AE8" s="119">
        <v>0.16666666666666666</v>
      </c>
      <c r="AF8" s="120">
        <v>0.66666666666666663</v>
      </c>
      <c r="AG8" s="121">
        <f t="shared" si="20"/>
        <v>0.5</v>
      </c>
      <c r="AH8" s="119">
        <v>0.41666666666666669</v>
      </c>
      <c r="AI8" s="120">
        <v>0.91666666666666663</v>
      </c>
      <c r="AJ8" s="121">
        <f t="shared" si="21"/>
        <v>0.49999999999999994</v>
      </c>
      <c r="AK8" s="119" t="s">
        <v>111</v>
      </c>
      <c r="AL8" s="120"/>
      <c r="AM8" s="122">
        <f t="shared" si="22"/>
        <v>0</v>
      </c>
      <c r="AN8" s="118">
        <v>2</v>
      </c>
      <c r="AO8" s="113" t="s">
        <v>12</v>
      </c>
    </row>
    <row r="9" spans="1:42" thickBot="1">
      <c r="B9" s="118">
        <v>3</v>
      </c>
      <c r="C9" s="113" t="s">
        <v>85</v>
      </c>
      <c r="D9" s="139">
        <v>0.29166666666666669</v>
      </c>
      <c r="E9" s="140">
        <v>0.79166666666666663</v>
      </c>
      <c r="F9" s="141">
        <f t="shared" si="11"/>
        <v>0.49999999999999994</v>
      </c>
      <c r="G9" s="119">
        <v>0.14583333333333334</v>
      </c>
      <c r="H9" s="120">
        <v>0.64583333333333337</v>
      </c>
      <c r="I9" s="121">
        <f t="shared" si="12"/>
        <v>0.5</v>
      </c>
      <c r="J9" s="139">
        <v>0.625</v>
      </c>
      <c r="K9" s="140">
        <v>1.125</v>
      </c>
      <c r="L9" s="141">
        <f t="shared" si="13"/>
        <v>0.5</v>
      </c>
      <c r="M9" s="119" t="s">
        <v>111</v>
      </c>
      <c r="N9" s="120"/>
      <c r="O9" s="121">
        <f>(IF(M9="u",0.333333333,IF(M9="W",0,IF(M9="C",O9,IF(M9="op",O9,(N9-M9))))))</f>
        <v>0</v>
      </c>
      <c r="P9" s="119"/>
      <c r="Q9" s="120"/>
      <c r="R9" s="121">
        <f t="shared" si="15"/>
        <v>0</v>
      </c>
      <c r="S9" s="119">
        <v>0.66666666666666663</v>
      </c>
      <c r="T9" s="120">
        <v>1.1666666666666667</v>
      </c>
      <c r="U9" s="121">
        <f t="shared" si="16"/>
        <v>0.50000000000000011</v>
      </c>
      <c r="V9" s="119">
        <v>0.16666666666666666</v>
      </c>
      <c r="W9" s="120">
        <v>0.66666666666666663</v>
      </c>
      <c r="X9" s="121">
        <f t="shared" si="17"/>
        <v>0.5</v>
      </c>
      <c r="Y9" s="119">
        <v>0.16666666666666666</v>
      </c>
      <c r="Z9" s="120">
        <v>0.66666666666666663</v>
      </c>
      <c r="AA9" s="121">
        <f t="shared" si="18"/>
        <v>0.5</v>
      </c>
      <c r="AB9" s="119">
        <v>0.14583333333333334</v>
      </c>
      <c r="AC9" s="120">
        <v>0.64583333333333337</v>
      </c>
      <c r="AD9" s="121">
        <f t="shared" si="19"/>
        <v>0.5</v>
      </c>
      <c r="AE9" s="119"/>
      <c r="AF9" s="120"/>
      <c r="AG9" s="121">
        <f t="shared" si="20"/>
        <v>0</v>
      </c>
      <c r="AH9" s="119" t="s">
        <v>111</v>
      </c>
      <c r="AI9" s="120"/>
      <c r="AJ9" s="121">
        <f t="shared" si="21"/>
        <v>0</v>
      </c>
      <c r="AK9" s="119" t="s">
        <v>111</v>
      </c>
      <c r="AL9" s="120"/>
      <c r="AM9" s="122">
        <f t="shared" si="22"/>
        <v>0</v>
      </c>
      <c r="AN9" s="118">
        <v>3</v>
      </c>
      <c r="AO9" s="113" t="s">
        <v>85</v>
      </c>
    </row>
    <row r="10" spans="1:42" ht="14.4">
      <c r="B10" s="118">
        <v>4</v>
      </c>
      <c r="C10" s="113" t="s">
        <v>4</v>
      </c>
      <c r="D10" s="139">
        <v>0.29166666666666669</v>
      </c>
      <c r="E10" s="140">
        <v>0.79166666666666663</v>
      </c>
      <c r="F10" s="141">
        <f>(IF(D10="u",0.333333333,IF(D10="W",0,IF(D10="C",F10,IF(D10="op",F10,(E10-D10))))))</f>
        <v>0.49999999999999994</v>
      </c>
      <c r="G10" s="119" t="s">
        <v>111</v>
      </c>
      <c r="H10" s="120"/>
      <c r="I10" s="121">
        <f t="shared" si="12"/>
        <v>0</v>
      </c>
      <c r="J10" s="139">
        <v>0.625</v>
      </c>
      <c r="K10" s="140">
        <v>1.125</v>
      </c>
      <c r="L10" s="141">
        <f t="shared" si="13"/>
        <v>0.5</v>
      </c>
      <c r="M10" s="119" t="s">
        <v>111</v>
      </c>
      <c r="N10" s="120"/>
      <c r="O10" s="116">
        <f t="shared" ref="O10" si="23">(IF(M10="u",0.333333333,IF(M10="W",0,IF(M10="C",O10,IF(M10="op",O10,(N10-M10))))))</f>
        <v>0</v>
      </c>
      <c r="P10" s="119" t="s">
        <v>111</v>
      </c>
      <c r="Q10" s="120"/>
      <c r="R10" s="121">
        <f>(IF(P10="u",0.333333333,IF(P10="W",0,IF(P10="C",R10,IF(P10="op",R10,(Q10-P10))))))</f>
        <v>0</v>
      </c>
      <c r="S10" s="119" t="s">
        <v>111</v>
      </c>
      <c r="T10" s="120"/>
      <c r="U10" s="121">
        <f t="shared" si="16"/>
        <v>0</v>
      </c>
      <c r="V10" s="119" t="s">
        <v>111</v>
      </c>
      <c r="W10" s="120"/>
      <c r="X10" s="121">
        <f t="shared" si="17"/>
        <v>0</v>
      </c>
      <c r="Y10" s="119" t="s">
        <v>111</v>
      </c>
      <c r="Z10" s="120"/>
      <c r="AA10" s="121">
        <f t="shared" si="18"/>
        <v>0</v>
      </c>
      <c r="AB10" s="139">
        <v>0.14583333333333334</v>
      </c>
      <c r="AC10" s="140">
        <v>0.64583333333333337</v>
      </c>
      <c r="AD10" s="141">
        <f t="shared" si="19"/>
        <v>0.5</v>
      </c>
      <c r="AE10" s="119">
        <v>0.14583333333333334</v>
      </c>
      <c r="AF10" s="120">
        <v>0.64583333333333337</v>
      </c>
      <c r="AG10" s="121">
        <f t="shared" si="20"/>
        <v>0.5</v>
      </c>
      <c r="AH10" s="119">
        <v>0.33333333333333331</v>
      </c>
      <c r="AI10" s="120">
        <v>0.83333333333333337</v>
      </c>
      <c r="AJ10" s="121">
        <f t="shared" si="21"/>
        <v>0.5</v>
      </c>
      <c r="AK10" s="119" t="s">
        <v>111</v>
      </c>
      <c r="AL10" s="120"/>
      <c r="AM10" s="122">
        <f t="shared" si="22"/>
        <v>0</v>
      </c>
      <c r="AN10" s="118">
        <v>4</v>
      </c>
      <c r="AO10" s="113" t="s">
        <v>4</v>
      </c>
      <c r="AP10" s="19"/>
    </row>
    <row r="11" spans="1:42" ht="14.4">
      <c r="B11" s="86">
        <v>5</v>
      </c>
      <c r="C11" s="87" t="s">
        <v>5</v>
      </c>
      <c r="D11" s="88" t="s">
        <v>111</v>
      </c>
      <c r="E11" s="89"/>
      <c r="F11" s="90">
        <f t="shared" si="11"/>
        <v>0</v>
      </c>
      <c r="G11" s="88">
        <v>0.16666666666666666</v>
      </c>
      <c r="H11" s="89">
        <v>0.66666666666666663</v>
      </c>
      <c r="I11" s="90">
        <f t="shared" si="12"/>
        <v>0.5</v>
      </c>
      <c r="J11" s="88" t="s">
        <v>111</v>
      </c>
      <c r="K11" s="89"/>
      <c r="L11" s="90">
        <f t="shared" si="13"/>
        <v>0</v>
      </c>
      <c r="M11" s="88" t="s">
        <v>111</v>
      </c>
      <c r="N11" s="89"/>
      <c r="O11" s="90">
        <f t="shared" si="14"/>
        <v>0</v>
      </c>
      <c r="P11" s="88" t="s">
        <v>111</v>
      </c>
      <c r="Q11" s="89"/>
      <c r="R11" s="90">
        <f t="shared" si="15"/>
        <v>0</v>
      </c>
      <c r="S11" s="88" t="s">
        <v>111</v>
      </c>
      <c r="T11" s="89"/>
      <c r="U11" s="90">
        <f t="shared" si="16"/>
        <v>0</v>
      </c>
      <c r="V11" s="88">
        <v>0.14583333333333334</v>
      </c>
      <c r="W11" s="89">
        <v>0.64583333333333337</v>
      </c>
      <c r="X11" s="90">
        <f t="shared" si="17"/>
        <v>0.5</v>
      </c>
      <c r="Y11" s="88" t="s">
        <v>111</v>
      </c>
      <c r="Z11" s="89"/>
      <c r="AA11" s="90">
        <f t="shared" si="18"/>
        <v>0</v>
      </c>
      <c r="AB11" s="88" t="s">
        <v>111</v>
      </c>
      <c r="AC11" s="89"/>
      <c r="AD11" s="90">
        <f t="shared" si="19"/>
        <v>0</v>
      </c>
      <c r="AE11" s="139">
        <v>0.29166666666666669</v>
      </c>
      <c r="AF11" s="140">
        <v>0.79166666666666663</v>
      </c>
      <c r="AG11" s="141">
        <f t="shared" si="20"/>
        <v>0.49999999999999994</v>
      </c>
      <c r="AH11" s="139">
        <v>0.625</v>
      </c>
      <c r="AI11" s="140">
        <v>1.125</v>
      </c>
      <c r="AJ11" s="141">
        <f t="shared" si="21"/>
        <v>0.5</v>
      </c>
      <c r="AK11" s="139">
        <v>0.14583333333333334</v>
      </c>
      <c r="AL11" s="140">
        <v>0.64583333333333337</v>
      </c>
      <c r="AM11" s="145">
        <f t="shared" si="22"/>
        <v>0.5</v>
      </c>
      <c r="AN11" s="86">
        <v>5</v>
      </c>
      <c r="AO11" s="87" t="s">
        <v>5</v>
      </c>
    </row>
    <row r="12" spans="1:42" ht="14.4">
      <c r="B12" s="86">
        <v>6</v>
      </c>
      <c r="C12" s="87" t="s">
        <v>6</v>
      </c>
      <c r="D12" s="88" t="s">
        <v>111</v>
      </c>
      <c r="E12" s="89"/>
      <c r="F12" s="90">
        <f t="shared" si="11"/>
        <v>0</v>
      </c>
      <c r="G12" s="88" t="s">
        <v>111</v>
      </c>
      <c r="H12" s="89"/>
      <c r="I12" s="90">
        <f t="shared" si="12"/>
        <v>0</v>
      </c>
      <c r="J12" s="139">
        <v>0.625</v>
      </c>
      <c r="K12" s="140">
        <v>1.125</v>
      </c>
      <c r="L12" s="141">
        <f t="shared" si="13"/>
        <v>0.5</v>
      </c>
      <c r="M12" s="88" t="s">
        <v>111</v>
      </c>
      <c r="N12" s="89"/>
      <c r="O12" s="90">
        <f t="shared" si="14"/>
        <v>0</v>
      </c>
      <c r="P12" s="88" t="s">
        <v>111</v>
      </c>
      <c r="Q12" s="89"/>
      <c r="R12" s="90">
        <f t="shared" si="15"/>
        <v>0</v>
      </c>
      <c r="S12" s="88" t="s">
        <v>111</v>
      </c>
      <c r="T12" s="89"/>
      <c r="U12" s="90">
        <f t="shared" si="16"/>
        <v>0</v>
      </c>
      <c r="V12" s="139">
        <v>0.33333333333333331</v>
      </c>
      <c r="W12" s="140">
        <v>0.83333333333333337</v>
      </c>
      <c r="X12" s="141">
        <f t="shared" si="17"/>
        <v>0.5</v>
      </c>
      <c r="Y12" s="88" t="s">
        <v>111</v>
      </c>
      <c r="Z12" s="89"/>
      <c r="AA12" s="90">
        <f t="shared" si="18"/>
        <v>0</v>
      </c>
      <c r="AB12" s="88" t="s">
        <v>111</v>
      </c>
      <c r="AC12" s="89"/>
      <c r="AD12" s="90">
        <f t="shared" si="19"/>
        <v>0</v>
      </c>
      <c r="AE12" s="88" t="s">
        <v>111</v>
      </c>
      <c r="AF12" s="89"/>
      <c r="AG12" s="90">
        <f t="shared" si="20"/>
        <v>0</v>
      </c>
      <c r="AH12" s="88"/>
      <c r="AI12" s="89"/>
      <c r="AJ12" s="90">
        <f t="shared" si="21"/>
        <v>0</v>
      </c>
      <c r="AK12" s="139">
        <v>0.14583333333333334</v>
      </c>
      <c r="AL12" s="140">
        <v>0.64583333333333337</v>
      </c>
      <c r="AM12" s="145">
        <f t="shared" si="22"/>
        <v>0.5</v>
      </c>
      <c r="AN12" s="86">
        <v>6</v>
      </c>
      <c r="AO12" s="87" t="s">
        <v>6</v>
      </c>
    </row>
    <row r="13" spans="1:42" ht="14.25" customHeight="1">
      <c r="B13" s="118">
        <v>7</v>
      </c>
      <c r="C13" s="113" t="s">
        <v>7</v>
      </c>
      <c r="D13" s="139">
        <v>0.625</v>
      </c>
      <c r="E13" s="140">
        <v>1.125</v>
      </c>
      <c r="F13" s="141">
        <f t="shared" si="11"/>
        <v>0.5</v>
      </c>
      <c r="G13" s="119">
        <v>0.14583333333333334</v>
      </c>
      <c r="H13" s="120">
        <v>0.64583333333333337</v>
      </c>
      <c r="I13" s="121">
        <f t="shared" si="12"/>
        <v>0.5</v>
      </c>
      <c r="J13" s="119"/>
      <c r="K13" s="120"/>
      <c r="L13" s="121">
        <f t="shared" si="13"/>
        <v>0</v>
      </c>
      <c r="M13" s="119" t="s">
        <v>111</v>
      </c>
      <c r="N13" s="120"/>
      <c r="O13" s="121">
        <f t="shared" si="14"/>
        <v>0</v>
      </c>
      <c r="P13" s="119"/>
      <c r="Q13" s="120"/>
      <c r="R13" s="121">
        <f t="shared" si="15"/>
        <v>0</v>
      </c>
      <c r="S13" s="119">
        <v>0.625</v>
      </c>
      <c r="T13" s="120">
        <v>1.125</v>
      </c>
      <c r="U13" s="121">
        <f t="shared" si="16"/>
        <v>0.5</v>
      </c>
      <c r="V13" s="119">
        <v>0.29166666666666669</v>
      </c>
      <c r="W13" s="120">
        <v>0.79166666666666663</v>
      </c>
      <c r="X13" s="121">
        <f t="shared" si="17"/>
        <v>0.49999999999999994</v>
      </c>
      <c r="Y13" s="139">
        <v>0.14583333333333334</v>
      </c>
      <c r="Z13" s="140">
        <v>0.64583333333333337</v>
      </c>
      <c r="AA13" s="141">
        <f t="shared" si="18"/>
        <v>0.5</v>
      </c>
      <c r="AB13" s="132">
        <v>0.16666666666666666</v>
      </c>
      <c r="AC13" s="133">
        <v>0.66666666666666663</v>
      </c>
      <c r="AD13" s="134">
        <f t="shared" si="19"/>
        <v>0.5</v>
      </c>
      <c r="AE13" s="119" t="s">
        <v>111</v>
      </c>
      <c r="AF13" s="120"/>
      <c r="AG13" s="121">
        <f t="shared" si="20"/>
        <v>0</v>
      </c>
      <c r="AH13" s="139">
        <v>0.29166666666666669</v>
      </c>
      <c r="AI13" s="140">
        <v>0.79166666666666663</v>
      </c>
      <c r="AJ13" s="141">
        <f t="shared" si="21"/>
        <v>0.49999999999999994</v>
      </c>
      <c r="AK13" s="119" t="s">
        <v>111</v>
      </c>
      <c r="AL13" s="120"/>
      <c r="AM13" s="122">
        <f t="shared" si="22"/>
        <v>0</v>
      </c>
      <c r="AN13" s="118">
        <v>7</v>
      </c>
      <c r="AO13" s="113" t="s">
        <v>7</v>
      </c>
    </row>
    <row r="14" spans="1:42" ht="14.4">
      <c r="B14" s="118">
        <v>8</v>
      </c>
      <c r="C14" s="113" t="s">
        <v>8</v>
      </c>
      <c r="D14" s="119">
        <v>0.625</v>
      </c>
      <c r="E14" s="120">
        <v>1.125</v>
      </c>
      <c r="F14" s="121">
        <f t="shared" si="11"/>
        <v>0.5</v>
      </c>
      <c r="G14" s="139">
        <v>0.14583333333333334</v>
      </c>
      <c r="H14" s="140">
        <v>0.64583333333333337</v>
      </c>
      <c r="I14" s="141">
        <f t="shared" si="12"/>
        <v>0.5</v>
      </c>
      <c r="J14" s="119">
        <v>0.625</v>
      </c>
      <c r="K14" s="120">
        <v>1.125</v>
      </c>
      <c r="L14" s="121">
        <f t="shared" si="13"/>
        <v>0.5</v>
      </c>
      <c r="M14" s="132">
        <v>0.33333333333333331</v>
      </c>
      <c r="N14" s="133">
        <v>0.66666666666666663</v>
      </c>
      <c r="O14" s="134">
        <f t="shared" si="14"/>
        <v>0.33333333333333331</v>
      </c>
      <c r="P14" s="119">
        <v>0.66666666666666663</v>
      </c>
      <c r="Q14" s="120">
        <v>1.1666666666666667</v>
      </c>
      <c r="R14" s="121">
        <f t="shared" si="15"/>
        <v>0.50000000000000011</v>
      </c>
      <c r="S14" s="139">
        <v>0.625</v>
      </c>
      <c r="T14" s="140">
        <v>1.125</v>
      </c>
      <c r="U14" s="141">
        <f t="shared" si="16"/>
        <v>0.5</v>
      </c>
      <c r="V14" s="119"/>
      <c r="W14" s="120"/>
      <c r="X14" s="121">
        <f t="shared" si="17"/>
        <v>0</v>
      </c>
      <c r="Y14" s="119">
        <v>0.14583333333333334</v>
      </c>
      <c r="Z14" s="120">
        <v>0.64583333333333337</v>
      </c>
      <c r="AA14" s="121">
        <f t="shared" si="18"/>
        <v>0.5</v>
      </c>
      <c r="AB14" s="119">
        <v>0.125</v>
      </c>
      <c r="AC14" s="120">
        <v>0.625</v>
      </c>
      <c r="AD14" s="121">
        <f t="shared" si="19"/>
        <v>0.5</v>
      </c>
      <c r="AE14" s="119">
        <v>0.14583333333333334</v>
      </c>
      <c r="AF14" s="120">
        <v>0.64583333333333337</v>
      </c>
      <c r="AG14" s="121">
        <f t="shared" si="20"/>
        <v>0.5</v>
      </c>
      <c r="AH14" s="139">
        <v>0.5</v>
      </c>
      <c r="AI14" s="140">
        <v>0.91666666666666663</v>
      </c>
      <c r="AJ14" s="141">
        <f t="shared" si="21"/>
        <v>0.41666666666666663</v>
      </c>
      <c r="AK14" s="119" t="s">
        <v>111</v>
      </c>
      <c r="AL14" s="120"/>
      <c r="AM14" s="122">
        <f t="shared" si="22"/>
        <v>0</v>
      </c>
      <c r="AN14" s="118">
        <v>8</v>
      </c>
      <c r="AO14" s="113" t="s">
        <v>8</v>
      </c>
    </row>
    <row r="15" spans="1:42" ht="14.4">
      <c r="A15" t="s">
        <v>134</v>
      </c>
      <c r="B15" s="118">
        <v>9</v>
      </c>
      <c r="C15" s="113" t="s">
        <v>12</v>
      </c>
      <c r="D15" s="119">
        <v>0.66666666666666663</v>
      </c>
      <c r="E15" s="120">
        <v>1.1666666666666667</v>
      </c>
      <c r="F15" s="121">
        <f t="shared" si="11"/>
        <v>0.50000000000000011</v>
      </c>
      <c r="G15" s="119"/>
      <c r="H15" s="120"/>
      <c r="I15" s="121">
        <f t="shared" si="12"/>
        <v>0</v>
      </c>
      <c r="J15" s="119">
        <v>0.625</v>
      </c>
      <c r="K15" s="120">
        <v>1.125</v>
      </c>
      <c r="L15" s="121">
        <f t="shared" si="13"/>
        <v>0.5</v>
      </c>
      <c r="M15" s="119">
        <v>0.625</v>
      </c>
      <c r="N15" s="120">
        <v>1.125</v>
      </c>
      <c r="O15" s="121">
        <f t="shared" si="14"/>
        <v>0.5</v>
      </c>
      <c r="P15" s="119">
        <v>0.625</v>
      </c>
      <c r="Q15" s="120">
        <v>1.125</v>
      </c>
      <c r="R15" s="121">
        <f t="shared" si="15"/>
        <v>0.5</v>
      </c>
      <c r="S15" s="119">
        <v>0.625</v>
      </c>
      <c r="T15" s="120">
        <v>1.125</v>
      </c>
      <c r="U15" s="121">
        <f t="shared" si="16"/>
        <v>0.5</v>
      </c>
      <c r="V15" s="119">
        <v>0.52083333333333337</v>
      </c>
      <c r="W15" s="120">
        <v>0.97916666666666663</v>
      </c>
      <c r="X15" s="121">
        <f t="shared" si="17"/>
        <v>0.45833333333333326</v>
      </c>
      <c r="Y15" s="139">
        <v>0.33333333333333331</v>
      </c>
      <c r="Z15" s="140">
        <v>0.83333333333333337</v>
      </c>
      <c r="AA15" s="141">
        <f t="shared" si="18"/>
        <v>0.5</v>
      </c>
      <c r="AB15" s="139">
        <v>0.14583333333333334</v>
      </c>
      <c r="AC15" s="140">
        <v>0.64583333333333337</v>
      </c>
      <c r="AD15" s="141">
        <f t="shared" si="19"/>
        <v>0.5</v>
      </c>
      <c r="AE15" s="119">
        <v>0.125</v>
      </c>
      <c r="AF15" s="120">
        <v>0.58333333333333337</v>
      </c>
      <c r="AG15" s="121">
        <f t="shared" si="20"/>
        <v>0.45833333333333337</v>
      </c>
      <c r="AH15" s="119">
        <v>0.41666666666666669</v>
      </c>
      <c r="AI15" s="120">
        <v>0.91666666666666663</v>
      </c>
      <c r="AJ15" s="121">
        <f t="shared" si="21"/>
        <v>0.49999999999999994</v>
      </c>
      <c r="AK15" s="119" t="s">
        <v>111</v>
      </c>
      <c r="AL15" s="120"/>
      <c r="AM15" s="122">
        <f t="shared" si="22"/>
        <v>0</v>
      </c>
      <c r="AN15" s="118">
        <v>9</v>
      </c>
      <c r="AO15" s="113" t="s">
        <v>12</v>
      </c>
    </row>
    <row r="16" spans="1:42" ht="15.75" customHeight="1">
      <c r="B16" s="118">
        <v>10</v>
      </c>
      <c r="C16" s="113" t="s">
        <v>85</v>
      </c>
      <c r="D16" s="139">
        <v>0.66666666666666663</v>
      </c>
      <c r="E16" s="140">
        <v>1.1666666666666667</v>
      </c>
      <c r="F16" s="141">
        <f t="shared" si="11"/>
        <v>0.50000000000000011</v>
      </c>
      <c r="G16" s="139">
        <v>0.14583333333333334</v>
      </c>
      <c r="H16" s="140">
        <v>0.64583333333333337</v>
      </c>
      <c r="I16" s="141">
        <f t="shared" si="12"/>
        <v>0.5</v>
      </c>
      <c r="J16" s="119">
        <v>0.625</v>
      </c>
      <c r="K16" s="120">
        <v>1.125</v>
      </c>
      <c r="L16" s="121">
        <f t="shared" si="13"/>
        <v>0.5</v>
      </c>
      <c r="M16" s="119">
        <v>0.625</v>
      </c>
      <c r="N16" s="120">
        <v>1.125</v>
      </c>
      <c r="O16" s="121">
        <f t="shared" si="14"/>
        <v>0.5</v>
      </c>
      <c r="P16" s="119">
        <v>0.625</v>
      </c>
      <c r="Q16" s="120">
        <v>1.125</v>
      </c>
      <c r="R16" s="121">
        <f t="shared" si="15"/>
        <v>0.5</v>
      </c>
      <c r="S16" s="119" t="s">
        <v>111</v>
      </c>
      <c r="T16" s="120"/>
      <c r="U16" s="121">
        <f t="shared" si="16"/>
        <v>0</v>
      </c>
      <c r="V16" s="119">
        <v>0.52083333333333337</v>
      </c>
      <c r="W16" s="120">
        <v>0.95833333333333337</v>
      </c>
      <c r="X16" s="121">
        <f t="shared" si="17"/>
        <v>0.4375</v>
      </c>
      <c r="Y16" s="139">
        <v>0.5</v>
      </c>
      <c r="Z16" s="140">
        <v>0.95833333333333337</v>
      </c>
      <c r="AA16" s="141">
        <f t="shared" si="18"/>
        <v>0.45833333333333337</v>
      </c>
      <c r="AB16" s="119">
        <v>0.14583333333333334</v>
      </c>
      <c r="AC16" s="120">
        <v>0.64583333333333337</v>
      </c>
      <c r="AD16" s="121">
        <f t="shared" si="19"/>
        <v>0.5</v>
      </c>
      <c r="AE16" s="119">
        <v>0.14583333333333334</v>
      </c>
      <c r="AF16" s="120">
        <v>0.64583333333333337</v>
      </c>
      <c r="AG16" s="121">
        <f t="shared" si="20"/>
        <v>0.5</v>
      </c>
      <c r="AH16" s="119">
        <v>0.5</v>
      </c>
      <c r="AI16" s="120">
        <v>0.95833333333333337</v>
      </c>
      <c r="AJ16" s="121">
        <f t="shared" si="21"/>
        <v>0.45833333333333337</v>
      </c>
      <c r="AK16" s="119" t="s">
        <v>111</v>
      </c>
      <c r="AL16" s="120"/>
      <c r="AM16" s="122">
        <f t="shared" si="22"/>
        <v>0</v>
      </c>
      <c r="AN16" s="118">
        <v>10</v>
      </c>
      <c r="AO16" s="113" t="s">
        <v>85</v>
      </c>
    </row>
    <row r="17" spans="2:42" ht="14.4">
      <c r="B17" s="118">
        <v>11</v>
      </c>
      <c r="C17" s="113" t="s">
        <v>4</v>
      </c>
      <c r="D17" s="119" t="s">
        <v>111</v>
      </c>
      <c r="E17" s="120"/>
      <c r="F17" s="121">
        <f t="shared" si="11"/>
        <v>0</v>
      </c>
      <c r="G17" s="119">
        <v>0.14583333333333334</v>
      </c>
      <c r="H17" s="120">
        <v>0.64583333333333337</v>
      </c>
      <c r="I17" s="121">
        <f t="shared" si="12"/>
        <v>0.5</v>
      </c>
      <c r="J17" s="119" t="s">
        <v>111</v>
      </c>
      <c r="K17" s="120"/>
      <c r="L17" s="121">
        <f t="shared" si="13"/>
        <v>0</v>
      </c>
      <c r="M17" s="139">
        <v>0.625</v>
      </c>
      <c r="N17" s="140">
        <v>1.125</v>
      </c>
      <c r="O17" s="141">
        <f t="shared" si="14"/>
        <v>0.5</v>
      </c>
      <c r="P17" s="119">
        <v>0.625</v>
      </c>
      <c r="Q17" s="120">
        <v>1.125</v>
      </c>
      <c r="R17" s="121">
        <f t="shared" si="15"/>
        <v>0.5</v>
      </c>
      <c r="S17" s="119" t="s">
        <v>111</v>
      </c>
      <c r="T17" s="120"/>
      <c r="U17" s="121">
        <f t="shared" si="16"/>
        <v>0</v>
      </c>
      <c r="V17" s="139">
        <v>0.45833333333333331</v>
      </c>
      <c r="W17" s="140">
        <v>0.95833333333333337</v>
      </c>
      <c r="X17" s="141">
        <f t="shared" si="17"/>
        <v>0.5</v>
      </c>
      <c r="Y17" s="119"/>
      <c r="Z17" s="120"/>
      <c r="AA17" s="121">
        <f t="shared" si="18"/>
        <v>0</v>
      </c>
      <c r="AB17" s="119">
        <v>0.14583333333333334</v>
      </c>
      <c r="AC17" s="120">
        <v>0.64583333333333337</v>
      </c>
      <c r="AD17" s="121">
        <f t="shared" si="19"/>
        <v>0.5</v>
      </c>
      <c r="AE17" s="119">
        <v>0.14583333333333334</v>
      </c>
      <c r="AF17" s="120">
        <v>0.64583333333333337</v>
      </c>
      <c r="AG17" s="121">
        <f t="shared" si="20"/>
        <v>0.5</v>
      </c>
      <c r="AH17" s="119"/>
      <c r="AI17" s="120"/>
      <c r="AJ17" s="121">
        <f t="shared" si="21"/>
        <v>0</v>
      </c>
      <c r="AK17" s="139">
        <v>0.125</v>
      </c>
      <c r="AL17" s="140">
        <v>0.54166666666666663</v>
      </c>
      <c r="AM17" s="145">
        <f t="shared" si="22"/>
        <v>0.41666666666666663</v>
      </c>
      <c r="AN17" s="118">
        <v>11</v>
      </c>
      <c r="AO17" s="113" t="s">
        <v>4</v>
      </c>
      <c r="AP17" s="19"/>
    </row>
    <row r="18" spans="2:42" ht="14.4">
      <c r="B18" s="86">
        <v>12</v>
      </c>
      <c r="C18" s="87" t="s">
        <v>5</v>
      </c>
      <c r="D18" s="88" t="s">
        <v>111</v>
      </c>
      <c r="E18" s="89"/>
      <c r="F18" s="90">
        <f t="shared" si="11"/>
        <v>0</v>
      </c>
      <c r="G18" s="88" t="s">
        <v>111</v>
      </c>
      <c r="H18" s="89"/>
      <c r="I18" s="90">
        <f t="shared" si="12"/>
        <v>0</v>
      </c>
      <c r="J18" s="88">
        <v>0.625</v>
      </c>
      <c r="K18" s="89">
        <v>1.125</v>
      </c>
      <c r="L18" s="90">
        <f t="shared" si="13"/>
        <v>0.5</v>
      </c>
      <c r="M18" s="139">
        <v>0.625</v>
      </c>
      <c r="N18" s="140">
        <v>1.125</v>
      </c>
      <c r="O18" s="141">
        <f t="shared" si="14"/>
        <v>0.5</v>
      </c>
      <c r="P18" s="88"/>
      <c r="Q18" s="89"/>
      <c r="R18" s="90">
        <f t="shared" si="15"/>
        <v>0</v>
      </c>
      <c r="S18" s="88" t="s">
        <v>111</v>
      </c>
      <c r="T18" s="89"/>
      <c r="U18" s="90">
        <f t="shared" si="16"/>
        <v>0</v>
      </c>
      <c r="V18" s="88" t="s">
        <v>111</v>
      </c>
      <c r="W18" s="89"/>
      <c r="X18" s="90">
        <f t="shared" si="17"/>
        <v>0</v>
      </c>
      <c r="Y18" s="88" t="s">
        <v>111</v>
      </c>
      <c r="Z18" s="89"/>
      <c r="AA18" s="90">
        <f t="shared" si="18"/>
        <v>0</v>
      </c>
      <c r="AB18" s="88" t="s">
        <v>111</v>
      </c>
      <c r="AC18" s="89"/>
      <c r="AD18" s="90">
        <f t="shared" si="19"/>
        <v>0</v>
      </c>
      <c r="AE18" s="88" t="s">
        <v>111</v>
      </c>
      <c r="AF18" s="89"/>
      <c r="AG18" s="90">
        <f t="shared" si="20"/>
        <v>0</v>
      </c>
      <c r="AH18" s="88" t="s">
        <v>111</v>
      </c>
      <c r="AI18" s="89"/>
      <c r="AJ18" s="90">
        <f t="shared" si="21"/>
        <v>0</v>
      </c>
      <c r="AK18" s="139">
        <v>0.14583333333333334</v>
      </c>
      <c r="AL18" s="140">
        <v>0.64583333333333337</v>
      </c>
      <c r="AM18" s="145">
        <f t="shared" si="22"/>
        <v>0.5</v>
      </c>
      <c r="AN18" s="86">
        <v>12</v>
      </c>
      <c r="AO18" s="87" t="s">
        <v>5</v>
      </c>
    </row>
    <row r="19" spans="2:42" ht="15.75" customHeight="1">
      <c r="B19" s="86">
        <v>13</v>
      </c>
      <c r="C19" s="87" t="s">
        <v>6</v>
      </c>
      <c r="D19" s="139">
        <v>0.29166666666666669</v>
      </c>
      <c r="E19" s="140">
        <v>0.79166666666666663</v>
      </c>
      <c r="F19" s="141">
        <f t="shared" si="11"/>
        <v>0.49999999999999994</v>
      </c>
      <c r="G19" s="88" t="s">
        <v>111</v>
      </c>
      <c r="H19" s="89"/>
      <c r="I19" s="90">
        <f t="shared" si="12"/>
        <v>0</v>
      </c>
      <c r="J19" s="88" t="s">
        <v>111</v>
      </c>
      <c r="K19" s="89"/>
      <c r="L19" s="90">
        <f t="shared" si="13"/>
        <v>0</v>
      </c>
      <c r="M19" s="88" t="s">
        <v>111</v>
      </c>
      <c r="N19" s="89"/>
      <c r="O19" s="90">
        <f t="shared" si="14"/>
        <v>0</v>
      </c>
      <c r="P19" s="139">
        <v>0.625</v>
      </c>
      <c r="Q19" s="140">
        <v>1.125</v>
      </c>
      <c r="R19" s="141">
        <f t="shared" si="15"/>
        <v>0.5</v>
      </c>
      <c r="S19" s="88" t="s">
        <v>111</v>
      </c>
      <c r="T19" s="89"/>
      <c r="U19" s="90">
        <f t="shared" si="16"/>
        <v>0</v>
      </c>
      <c r="V19" s="88" t="s">
        <v>111</v>
      </c>
      <c r="W19" s="89"/>
      <c r="X19" s="90">
        <f t="shared" si="17"/>
        <v>0</v>
      </c>
      <c r="Y19" s="88" t="s">
        <v>111</v>
      </c>
      <c r="Z19" s="89"/>
      <c r="AA19" s="90">
        <f t="shared" si="18"/>
        <v>0</v>
      </c>
      <c r="AB19" s="88" t="s">
        <v>111</v>
      </c>
      <c r="AC19" s="89"/>
      <c r="AD19" s="90">
        <f t="shared" si="19"/>
        <v>0</v>
      </c>
      <c r="AE19" s="88" t="s">
        <v>111</v>
      </c>
      <c r="AF19" s="89"/>
      <c r="AG19" s="90">
        <f t="shared" si="20"/>
        <v>0</v>
      </c>
      <c r="AH19" s="88" t="s">
        <v>111</v>
      </c>
      <c r="AI19" s="89"/>
      <c r="AJ19" s="90">
        <f t="shared" si="21"/>
        <v>0</v>
      </c>
      <c r="AK19" s="88">
        <v>0.14583333333333334</v>
      </c>
      <c r="AL19" s="89">
        <v>0.64583333333333337</v>
      </c>
      <c r="AM19" s="91">
        <f t="shared" si="22"/>
        <v>0.5</v>
      </c>
      <c r="AN19" s="86">
        <v>13</v>
      </c>
      <c r="AO19" s="87" t="s">
        <v>6</v>
      </c>
    </row>
    <row r="20" spans="2:42" ht="14.4">
      <c r="B20" s="118">
        <v>14</v>
      </c>
      <c r="C20" s="113" t="s">
        <v>7</v>
      </c>
      <c r="D20" s="139">
        <v>0.29166666666666669</v>
      </c>
      <c r="E20" s="140">
        <v>0.79166666666666663</v>
      </c>
      <c r="F20" s="141">
        <f t="shared" si="11"/>
        <v>0.49999999999999994</v>
      </c>
      <c r="G20" s="119">
        <v>0.14583333333333334</v>
      </c>
      <c r="H20" s="120">
        <v>0.64583333333333337</v>
      </c>
      <c r="I20" s="121">
        <f t="shared" si="12"/>
        <v>0.5</v>
      </c>
      <c r="J20" s="119" t="s">
        <v>111</v>
      </c>
      <c r="K20" s="120"/>
      <c r="L20" s="121">
        <f t="shared" si="13"/>
        <v>0</v>
      </c>
      <c r="M20" s="119" t="s">
        <v>111</v>
      </c>
      <c r="N20" s="120"/>
      <c r="O20" s="121">
        <f t="shared" si="14"/>
        <v>0</v>
      </c>
      <c r="P20" s="119">
        <v>0.625</v>
      </c>
      <c r="Q20" s="120">
        <v>1.125</v>
      </c>
      <c r="R20" s="121">
        <f t="shared" si="15"/>
        <v>0.5</v>
      </c>
      <c r="S20" s="139">
        <v>0.625</v>
      </c>
      <c r="T20" s="140">
        <v>1.125</v>
      </c>
      <c r="U20" s="141">
        <f t="shared" si="16"/>
        <v>0.5</v>
      </c>
      <c r="V20" s="119" t="s">
        <v>111</v>
      </c>
      <c r="W20" s="120"/>
      <c r="X20" s="121">
        <f t="shared" si="17"/>
        <v>0</v>
      </c>
      <c r="Y20" s="139">
        <v>0.14583333333333334</v>
      </c>
      <c r="Z20" s="140">
        <v>0.64583333333333337</v>
      </c>
      <c r="AA20" s="141">
        <f t="shared" si="18"/>
        <v>0.5</v>
      </c>
      <c r="AB20" s="119" t="s">
        <v>111</v>
      </c>
      <c r="AC20" s="120"/>
      <c r="AD20" s="121">
        <f t="shared" si="19"/>
        <v>0</v>
      </c>
      <c r="AE20" s="119" t="s">
        <v>111</v>
      </c>
      <c r="AF20" s="120"/>
      <c r="AG20" s="121">
        <f t="shared" si="20"/>
        <v>0</v>
      </c>
      <c r="AH20" s="119">
        <v>0.14583333333333334</v>
      </c>
      <c r="AI20" s="120">
        <v>0.64583333333333337</v>
      </c>
      <c r="AJ20" s="121">
        <f t="shared" si="21"/>
        <v>0.5</v>
      </c>
      <c r="AK20" s="119" t="s">
        <v>111</v>
      </c>
      <c r="AL20" s="120"/>
      <c r="AM20" s="122">
        <f t="shared" si="22"/>
        <v>0</v>
      </c>
      <c r="AN20" s="118">
        <v>14</v>
      </c>
      <c r="AO20" s="113" t="s">
        <v>7</v>
      </c>
    </row>
    <row r="21" spans="2:42" ht="14.4">
      <c r="B21" s="118">
        <v>15</v>
      </c>
      <c r="C21" s="113" t="s">
        <v>8</v>
      </c>
      <c r="D21" s="139">
        <v>0.29166666666666669</v>
      </c>
      <c r="E21" s="140">
        <v>0.79166666666666663</v>
      </c>
      <c r="F21" s="141">
        <f t="shared" si="11"/>
        <v>0.49999999999999994</v>
      </c>
      <c r="G21" s="119">
        <v>0.14583333333333334</v>
      </c>
      <c r="H21" s="120">
        <v>0.64583333333333337</v>
      </c>
      <c r="I21" s="121">
        <f>(IF(G21="u",0.333333333,IF(G21="W",0,IF(G21="C",I21,IF(G21="op",I21,(H21-G21))))))</f>
        <v>0.5</v>
      </c>
      <c r="J21" s="119" t="s">
        <v>111</v>
      </c>
      <c r="K21" s="120"/>
      <c r="L21" s="121">
        <f t="shared" si="13"/>
        <v>0</v>
      </c>
      <c r="M21" s="119" t="s">
        <v>111</v>
      </c>
      <c r="N21" s="120"/>
      <c r="O21" s="121">
        <f t="shared" si="14"/>
        <v>0</v>
      </c>
      <c r="P21" s="119">
        <v>0.625</v>
      </c>
      <c r="Q21" s="120">
        <v>1.125</v>
      </c>
      <c r="R21" s="121">
        <f t="shared" si="15"/>
        <v>0.5</v>
      </c>
      <c r="S21" s="139">
        <v>0.625</v>
      </c>
      <c r="T21" s="140">
        <v>1.125</v>
      </c>
      <c r="U21" s="141">
        <f t="shared" si="16"/>
        <v>0.5</v>
      </c>
      <c r="V21" s="119" t="s">
        <v>111</v>
      </c>
      <c r="W21" s="120"/>
      <c r="X21" s="121">
        <f t="shared" si="17"/>
        <v>0</v>
      </c>
      <c r="Y21" s="119">
        <v>0.125</v>
      </c>
      <c r="Z21" s="120">
        <v>0.58333333333333337</v>
      </c>
      <c r="AA21" s="121">
        <f t="shared" si="18"/>
        <v>0.45833333333333337</v>
      </c>
      <c r="AB21" s="119" t="s">
        <v>111</v>
      </c>
      <c r="AC21" s="120"/>
      <c r="AD21" s="121">
        <f t="shared" si="19"/>
        <v>0</v>
      </c>
      <c r="AE21" s="119">
        <v>0.14583333333333334</v>
      </c>
      <c r="AF21" s="120">
        <v>0.64583333333333337</v>
      </c>
      <c r="AG21" s="121">
        <f t="shared" si="20"/>
        <v>0.5</v>
      </c>
      <c r="AH21" s="139">
        <v>0.14583333333333334</v>
      </c>
      <c r="AI21" s="140">
        <v>0.64583333333333337</v>
      </c>
      <c r="AJ21" s="141">
        <f t="shared" si="21"/>
        <v>0.5</v>
      </c>
      <c r="AK21" s="119">
        <v>0.125</v>
      </c>
      <c r="AL21" s="120">
        <v>0.58333333333333337</v>
      </c>
      <c r="AM21" s="122">
        <f t="shared" si="22"/>
        <v>0.45833333333333337</v>
      </c>
      <c r="AN21" s="118">
        <v>15</v>
      </c>
      <c r="AO21" s="113" t="s">
        <v>8</v>
      </c>
    </row>
    <row r="22" spans="2:42" ht="14.4">
      <c r="B22" s="118">
        <v>16</v>
      </c>
      <c r="C22" s="113" t="s">
        <v>12</v>
      </c>
      <c r="D22" s="119">
        <v>0.29166666666666669</v>
      </c>
      <c r="E22" s="120">
        <v>0.79166666666666663</v>
      </c>
      <c r="F22" s="121">
        <f t="shared" si="11"/>
        <v>0.49999999999999994</v>
      </c>
      <c r="G22" s="139">
        <v>0.33333333333333331</v>
      </c>
      <c r="H22" s="140">
        <v>0.83333333333333337</v>
      </c>
      <c r="I22" s="141">
        <f t="shared" si="12"/>
        <v>0.5</v>
      </c>
      <c r="J22" s="119" t="s">
        <v>111</v>
      </c>
      <c r="K22" s="120"/>
      <c r="L22" s="121">
        <f t="shared" si="13"/>
        <v>0</v>
      </c>
      <c r="M22" s="119">
        <v>0.625</v>
      </c>
      <c r="N22" s="120">
        <v>1.125</v>
      </c>
      <c r="O22" s="121">
        <f t="shared" si="14"/>
        <v>0.5</v>
      </c>
      <c r="P22" s="139">
        <v>0.66666666666666663</v>
      </c>
      <c r="Q22" s="140">
        <v>1.1666666666666667</v>
      </c>
      <c r="R22" s="141">
        <f t="shared" si="15"/>
        <v>0.50000000000000011</v>
      </c>
      <c r="S22" s="119">
        <v>0.66666666666666663</v>
      </c>
      <c r="T22" s="120">
        <v>1.1666666666666667</v>
      </c>
      <c r="U22" s="121">
        <f t="shared" si="16"/>
        <v>0.50000000000000011</v>
      </c>
      <c r="V22" s="119" t="s">
        <v>111</v>
      </c>
      <c r="W22" s="120"/>
      <c r="X22" s="121">
        <f t="shared" si="17"/>
        <v>0</v>
      </c>
      <c r="Y22" s="139">
        <v>0.14583333333333334</v>
      </c>
      <c r="Z22" s="140">
        <v>0.64583333333333337</v>
      </c>
      <c r="AA22" s="141">
        <f t="shared" si="18"/>
        <v>0.5</v>
      </c>
      <c r="AB22" s="119" t="s">
        <v>111</v>
      </c>
      <c r="AC22" s="120"/>
      <c r="AD22" s="121">
        <f t="shared" si="19"/>
        <v>0</v>
      </c>
      <c r="AE22" s="119" t="s">
        <v>111</v>
      </c>
      <c r="AF22" s="120"/>
      <c r="AG22" s="121">
        <f t="shared" si="20"/>
        <v>0</v>
      </c>
      <c r="AH22" s="119">
        <v>0.125</v>
      </c>
      <c r="AI22" s="120">
        <v>0.58333333333333337</v>
      </c>
      <c r="AJ22" s="121">
        <f t="shared" si="21"/>
        <v>0.45833333333333337</v>
      </c>
      <c r="AK22" s="119" t="s">
        <v>111</v>
      </c>
      <c r="AL22" s="120"/>
      <c r="AM22" s="122">
        <f t="shared" si="22"/>
        <v>0</v>
      </c>
      <c r="AN22" s="118">
        <v>16</v>
      </c>
      <c r="AO22" s="113" t="s">
        <v>12</v>
      </c>
    </row>
    <row r="23" spans="2:42" ht="14.4">
      <c r="B23" s="118">
        <v>17</v>
      </c>
      <c r="C23" s="113" t="s">
        <v>85</v>
      </c>
      <c r="D23" s="139">
        <v>0.29166666666666669</v>
      </c>
      <c r="E23" s="140">
        <v>0.79166666666666663</v>
      </c>
      <c r="F23" s="141">
        <f t="shared" si="11"/>
        <v>0.49999999999999994</v>
      </c>
      <c r="G23" s="119"/>
      <c r="H23" s="120"/>
      <c r="I23" s="121">
        <f t="shared" si="12"/>
        <v>0</v>
      </c>
      <c r="J23" s="119">
        <v>0.625</v>
      </c>
      <c r="K23" s="120">
        <v>1.125</v>
      </c>
      <c r="L23" s="121">
        <f t="shared" si="13"/>
        <v>0.5</v>
      </c>
      <c r="M23" s="139">
        <v>0.625</v>
      </c>
      <c r="N23" s="140">
        <v>1.125</v>
      </c>
      <c r="O23" s="141">
        <f t="shared" si="14"/>
        <v>0.5</v>
      </c>
      <c r="P23" s="119" t="s">
        <v>111</v>
      </c>
      <c r="Q23" s="120"/>
      <c r="R23" s="121">
        <f t="shared" si="15"/>
        <v>0</v>
      </c>
      <c r="S23" s="119">
        <v>0.625</v>
      </c>
      <c r="T23" s="120">
        <v>1.125</v>
      </c>
      <c r="U23" s="121">
        <f t="shared" si="16"/>
        <v>0.5</v>
      </c>
      <c r="V23" s="119" t="s">
        <v>111</v>
      </c>
      <c r="W23" s="120"/>
      <c r="X23" s="121">
        <f t="shared" si="17"/>
        <v>0</v>
      </c>
      <c r="Y23" s="119">
        <v>0.14583333333333334</v>
      </c>
      <c r="Z23" s="120">
        <v>0.64583333333333337</v>
      </c>
      <c r="AA23" s="121">
        <f t="shared" si="18"/>
        <v>0.5</v>
      </c>
      <c r="AB23" s="139">
        <v>0.14583333333333334</v>
      </c>
      <c r="AC23" s="140">
        <v>0.64583333333333337</v>
      </c>
      <c r="AD23" s="141">
        <f t="shared" si="19"/>
        <v>0.5</v>
      </c>
      <c r="AE23" s="119" t="s">
        <v>111</v>
      </c>
      <c r="AF23" s="120"/>
      <c r="AG23" s="121">
        <f t="shared" si="20"/>
        <v>0</v>
      </c>
      <c r="AH23" s="119"/>
      <c r="AI23" s="120"/>
      <c r="AJ23" s="121">
        <f t="shared" si="21"/>
        <v>0</v>
      </c>
      <c r="AK23" s="119" t="s">
        <v>111</v>
      </c>
      <c r="AL23" s="120"/>
      <c r="AM23" s="122">
        <f t="shared" si="22"/>
        <v>0</v>
      </c>
      <c r="AN23" s="118">
        <v>17</v>
      </c>
      <c r="AO23" s="113" t="s">
        <v>85</v>
      </c>
    </row>
    <row r="24" spans="2:42" ht="15.75" customHeight="1">
      <c r="B24" s="118">
        <v>18</v>
      </c>
      <c r="C24" s="113" t="s">
        <v>4</v>
      </c>
      <c r="D24" s="119" t="s">
        <v>111</v>
      </c>
      <c r="E24" s="120"/>
      <c r="F24" s="121">
        <f t="shared" si="11"/>
        <v>0</v>
      </c>
      <c r="G24" s="119" t="s">
        <v>111</v>
      </c>
      <c r="H24" s="120"/>
      <c r="I24" s="121">
        <f t="shared" si="12"/>
        <v>0</v>
      </c>
      <c r="J24" s="119">
        <v>0.625</v>
      </c>
      <c r="K24" s="120">
        <v>1.125</v>
      </c>
      <c r="L24" s="121">
        <f t="shared" si="13"/>
        <v>0.5</v>
      </c>
      <c r="M24" s="119">
        <v>0.625</v>
      </c>
      <c r="N24" s="120">
        <v>1.125</v>
      </c>
      <c r="O24" s="121">
        <f t="shared" si="14"/>
        <v>0.5</v>
      </c>
      <c r="P24" s="139">
        <v>0.29166666666666669</v>
      </c>
      <c r="Q24" s="140">
        <v>0.79166666666666663</v>
      </c>
      <c r="R24" s="141">
        <f t="shared" si="15"/>
        <v>0.49999999999999994</v>
      </c>
      <c r="S24" s="139">
        <v>0.625</v>
      </c>
      <c r="T24" s="140">
        <v>1.125</v>
      </c>
      <c r="U24" s="141">
        <f t="shared" si="16"/>
        <v>0.5</v>
      </c>
      <c r="V24" s="119" t="s">
        <v>111</v>
      </c>
      <c r="W24" s="120"/>
      <c r="X24" s="121">
        <f t="shared" si="17"/>
        <v>0</v>
      </c>
      <c r="Y24" s="119">
        <v>0.33333333333333331</v>
      </c>
      <c r="Z24" s="120">
        <v>0.83333333333333337</v>
      </c>
      <c r="AA24" s="121">
        <f t="shared" si="18"/>
        <v>0.5</v>
      </c>
      <c r="AB24" s="139">
        <v>0.14583333333333334</v>
      </c>
      <c r="AC24" s="140">
        <v>0.64583333333333337</v>
      </c>
      <c r="AD24" s="141">
        <f t="shared" si="19"/>
        <v>0.5</v>
      </c>
      <c r="AE24" s="119" t="s">
        <v>111</v>
      </c>
      <c r="AF24" s="120"/>
      <c r="AG24" s="121">
        <f t="shared" si="20"/>
        <v>0</v>
      </c>
      <c r="AH24" s="119">
        <v>0.14583333333333334</v>
      </c>
      <c r="AI24" s="120">
        <v>0.64583333333333337</v>
      </c>
      <c r="AJ24" s="121">
        <f t="shared" si="21"/>
        <v>0.5</v>
      </c>
      <c r="AK24" s="119" t="s">
        <v>111</v>
      </c>
      <c r="AL24" s="120"/>
      <c r="AM24" s="122">
        <f t="shared" si="22"/>
        <v>0</v>
      </c>
      <c r="AN24" s="118">
        <v>18</v>
      </c>
      <c r="AO24" s="113" t="s">
        <v>4</v>
      </c>
      <c r="AP24" s="19"/>
    </row>
    <row r="25" spans="2:42" ht="14.4">
      <c r="B25" s="86">
        <v>19</v>
      </c>
      <c r="C25" s="87" t="s">
        <v>5</v>
      </c>
      <c r="D25" s="88" t="s">
        <v>111</v>
      </c>
      <c r="E25" s="89"/>
      <c r="F25" s="90">
        <f t="shared" si="11"/>
        <v>0</v>
      </c>
      <c r="G25" s="88" t="s">
        <v>111</v>
      </c>
      <c r="H25" s="89"/>
      <c r="I25" s="90">
        <f t="shared" si="12"/>
        <v>0</v>
      </c>
      <c r="J25" s="139">
        <v>0.625</v>
      </c>
      <c r="K25" s="140">
        <v>1.125</v>
      </c>
      <c r="L25" s="141">
        <f t="shared" si="13"/>
        <v>0.5</v>
      </c>
      <c r="M25" s="88">
        <v>0.625</v>
      </c>
      <c r="N25" s="89">
        <v>1.125</v>
      </c>
      <c r="O25" s="90">
        <f t="shared" si="14"/>
        <v>0.5</v>
      </c>
      <c r="P25" s="88" t="s">
        <v>111</v>
      </c>
      <c r="Q25" s="89"/>
      <c r="R25" s="90">
        <f t="shared" si="15"/>
        <v>0</v>
      </c>
      <c r="S25" s="88" t="s">
        <v>111</v>
      </c>
      <c r="T25" s="89"/>
      <c r="U25" s="90">
        <f t="shared" si="16"/>
        <v>0</v>
      </c>
      <c r="V25" s="88" t="s">
        <v>111</v>
      </c>
      <c r="W25" s="89"/>
      <c r="X25" s="90">
        <f t="shared" si="17"/>
        <v>0</v>
      </c>
      <c r="Y25" s="88" t="s">
        <v>111</v>
      </c>
      <c r="Z25" s="89"/>
      <c r="AA25" s="90">
        <f t="shared" si="18"/>
        <v>0</v>
      </c>
      <c r="AB25" s="88" t="s">
        <v>111</v>
      </c>
      <c r="AC25" s="89"/>
      <c r="AD25" s="90">
        <f t="shared" si="19"/>
        <v>0</v>
      </c>
      <c r="AE25" s="88" t="s">
        <v>111</v>
      </c>
      <c r="AF25" s="89"/>
      <c r="AG25" s="90">
        <f t="shared" si="20"/>
        <v>0</v>
      </c>
      <c r="AH25" s="139">
        <v>0.14583333333333334</v>
      </c>
      <c r="AI25" s="140">
        <v>0.64583333333333337</v>
      </c>
      <c r="AJ25" s="141">
        <f t="shared" si="21"/>
        <v>0.5</v>
      </c>
      <c r="AK25" s="88">
        <v>0.14583333333333334</v>
      </c>
      <c r="AL25" s="89">
        <v>0.64583333333333337</v>
      </c>
      <c r="AM25" s="91">
        <f t="shared" si="22"/>
        <v>0.5</v>
      </c>
      <c r="AN25" s="86">
        <v>19</v>
      </c>
      <c r="AO25" s="87" t="s">
        <v>5</v>
      </c>
    </row>
    <row r="26" spans="2:42" ht="14.4">
      <c r="B26" s="86">
        <v>20</v>
      </c>
      <c r="C26" s="87" t="s">
        <v>6</v>
      </c>
      <c r="D26" s="88" t="s">
        <v>111</v>
      </c>
      <c r="E26" s="89"/>
      <c r="F26" s="90">
        <f t="shared" si="11"/>
        <v>0</v>
      </c>
      <c r="G26" s="88" t="s">
        <v>111</v>
      </c>
      <c r="H26" s="89"/>
      <c r="I26" s="90">
        <f t="shared" si="12"/>
        <v>0</v>
      </c>
      <c r="J26" s="88"/>
      <c r="K26" s="89"/>
      <c r="L26" s="90">
        <f t="shared" si="13"/>
        <v>0</v>
      </c>
      <c r="M26" s="88" t="s">
        <v>111</v>
      </c>
      <c r="N26" s="89"/>
      <c r="O26" s="90">
        <f t="shared" si="14"/>
        <v>0</v>
      </c>
      <c r="P26" s="88" t="s">
        <v>111</v>
      </c>
      <c r="Q26" s="89"/>
      <c r="R26" s="90">
        <f t="shared" si="15"/>
        <v>0</v>
      </c>
      <c r="S26" s="88" t="s">
        <v>111</v>
      </c>
      <c r="T26" s="89"/>
      <c r="U26" s="90">
        <f t="shared" si="16"/>
        <v>0</v>
      </c>
      <c r="V26" s="88" t="s">
        <v>111</v>
      </c>
      <c r="W26" s="89"/>
      <c r="X26" s="90">
        <f t="shared" si="17"/>
        <v>0</v>
      </c>
      <c r="Y26" s="88" t="s">
        <v>111</v>
      </c>
      <c r="Z26" s="89"/>
      <c r="AA26" s="90">
        <f t="shared" si="18"/>
        <v>0</v>
      </c>
      <c r="AB26" s="88" t="s">
        <v>111</v>
      </c>
      <c r="AC26" s="89"/>
      <c r="AD26" s="90">
        <f t="shared" si="19"/>
        <v>0</v>
      </c>
      <c r="AE26" s="88" t="s">
        <v>111</v>
      </c>
      <c r="AF26" s="89"/>
      <c r="AG26" s="90">
        <f t="shared" si="20"/>
        <v>0</v>
      </c>
      <c r="AH26" s="139">
        <v>0.625</v>
      </c>
      <c r="AI26" s="140">
        <v>1.125</v>
      </c>
      <c r="AJ26" s="141">
        <f t="shared" si="21"/>
        <v>0.5</v>
      </c>
      <c r="AK26" s="139">
        <v>0.14583333333333334</v>
      </c>
      <c r="AL26" s="140">
        <v>0.64583333333333337</v>
      </c>
      <c r="AM26" s="145">
        <f t="shared" si="22"/>
        <v>0.5</v>
      </c>
      <c r="AN26" s="86">
        <v>20</v>
      </c>
      <c r="AO26" s="87" t="s">
        <v>6</v>
      </c>
    </row>
    <row r="27" spans="2:42" ht="14.4">
      <c r="B27" s="118">
        <v>21</v>
      </c>
      <c r="C27" s="113" t="s">
        <v>7</v>
      </c>
      <c r="D27" s="139">
        <v>0.5</v>
      </c>
      <c r="E27" s="140">
        <v>0.875</v>
      </c>
      <c r="F27" s="141">
        <f>(IF(D27="u",0.333333333,IF(D27="W",0,IF(D27="C",F27,IF(D27="op",F27,(E27-D27))))))</f>
        <v>0.375</v>
      </c>
      <c r="G27" s="119">
        <v>0.16666666666666666</v>
      </c>
      <c r="H27" s="120">
        <v>0.66666666666666663</v>
      </c>
      <c r="I27" s="121">
        <f>(IF(G27="u",0.333333333,IF(G27="W",0,IF(G27="C",I27,IF(G27="op",I27,(H27-G27))))))</f>
        <v>0.5</v>
      </c>
      <c r="J27" s="119">
        <v>0.58333333333333337</v>
      </c>
      <c r="K27" s="120">
        <v>1.0833333333333333</v>
      </c>
      <c r="L27" s="121">
        <f>(IF(J27="u",0.333333333,IF(J27="W",0,IF(J27="C",L27,IF(J27="op",L27,(K27-J27))))))</f>
        <v>0.49999999999999989</v>
      </c>
      <c r="M27" s="119" t="s">
        <v>111</v>
      </c>
      <c r="N27" s="120"/>
      <c r="O27" s="121">
        <f>(IF(M27="u",0.333333333,IF(M27="W",0,IF(M27="C",O27,IF(M27="op",O27,(N27-M27))))))</f>
        <v>0</v>
      </c>
      <c r="P27" s="139">
        <v>0.125</v>
      </c>
      <c r="Q27" s="140">
        <v>0.625</v>
      </c>
      <c r="R27" s="141">
        <f>(IF(P27="u",0.333333333,IF(P27="W",0,IF(P27="C",R27,IF(P27="op",R27,(Q27-P27))))))</f>
        <v>0.5</v>
      </c>
      <c r="S27" s="119">
        <v>0.58333333333333337</v>
      </c>
      <c r="T27" s="120">
        <v>1.0833333333333333</v>
      </c>
      <c r="U27" s="121">
        <f>(IF(S27="u",0.333333333,IF(S27="W",0,IF(S27="C",U27,IF(S27="op",U27,(T27-S27))))))</f>
        <v>0.49999999999999989</v>
      </c>
      <c r="V27" s="119" t="s">
        <v>111</v>
      </c>
      <c r="W27" s="120"/>
      <c r="X27" s="121">
        <f>(IF(V27="u",0.333333333,IF(V27="W",0,IF(V27="C",X27,IF(V27="op",X27,(W27-V27))))))</f>
        <v>0</v>
      </c>
      <c r="Y27" s="119">
        <v>0.16666666666666666</v>
      </c>
      <c r="Z27" s="120">
        <v>0.66666666666666663</v>
      </c>
      <c r="AA27" s="121">
        <f>(IF(Y27="u",0.333333333,IF(Y27="W",0,IF(Y27="C",AA27,IF(Y27="op",AA27,(Z27-Y27))))))</f>
        <v>0.5</v>
      </c>
      <c r="AB27" s="119" t="s">
        <v>111</v>
      </c>
      <c r="AC27" s="120"/>
      <c r="AD27" s="121">
        <f>(IF(AB27="u",0.333333333,IF(AB27="W",0,IF(AB27="C",AD27,IF(AB27="op",AD27,(AC27-AB27))))))</f>
        <v>0</v>
      </c>
      <c r="AE27" s="119" t="s">
        <v>111</v>
      </c>
      <c r="AF27" s="120"/>
      <c r="AG27" s="121">
        <f>(IF(AE27="u",0.333333333,IF(AE27="W",0,IF(AE27="C",AG27,IF(AE27="op",AG27,(AF27-AE27))))))</f>
        <v>0</v>
      </c>
      <c r="AH27" s="119" t="s">
        <v>111</v>
      </c>
      <c r="AI27" s="120"/>
      <c r="AJ27" s="121">
        <f>(IF(AH27="u",0.333333333,IF(AH27="W",0,IF(AH27="C",AJ27,IF(AH27="op",AJ27,(AI27-AH27))))))</f>
        <v>0</v>
      </c>
      <c r="AK27" s="119" t="s">
        <v>111</v>
      </c>
      <c r="AL27" s="120"/>
      <c r="AM27" s="122">
        <f t="shared" si="22"/>
        <v>0</v>
      </c>
      <c r="AN27" s="118">
        <v>21</v>
      </c>
      <c r="AO27" s="113" t="s">
        <v>7</v>
      </c>
    </row>
    <row r="28" spans="2:42" ht="14.4">
      <c r="B28" s="118">
        <v>22</v>
      </c>
      <c r="C28" s="113" t="s">
        <v>8</v>
      </c>
      <c r="D28" s="119" t="s">
        <v>111</v>
      </c>
      <c r="E28" s="120"/>
      <c r="F28" s="121">
        <f t="shared" ref="F28:F37" si="24">(IF(D28="u",0.333333333,IF(D28="W",0,IF(D28="C",F28,IF(D28="op",F28,(E28-D28))))))</f>
        <v>0</v>
      </c>
      <c r="G28" s="139">
        <v>0.125</v>
      </c>
      <c r="H28" s="140">
        <v>0.625</v>
      </c>
      <c r="I28" s="141">
        <f t="shared" ref="I28:I37" si="25">(IF(G28="u",0.333333333,IF(G28="W",0,IF(G28="C",I28,IF(G28="op",I28,(H28-G28))))))</f>
        <v>0.5</v>
      </c>
      <c r="J28" s="119">
        <v>0.58333333333333337</v>
      </c>
      <c r="K28" s="120">
        <v>1.0833333333333333</v>
      </c>
      <c r="L28" s="121">
        <f t="shared" ref="L28:L37" si="26">(IF(J28="u",0.333333333,IF(J28="W",0,IF(J28="C",L28,IF(J28="op",L28,(K28-J28))))))</f>
        <v>0.49999999999999989</v>
      </c>
      <c r="M28" s="119" t="s">
        <v>111</v>
      </c>
      <c r="N28" s="120"/>
      <c r="O28" s="121">
        <f>(IF(M28="u",0.333333333,IF(M28="W",0,IF(M28="C",O28,IF(M28="op",O28,(N28-M28))))))</f>
        <v>0</v>
      </c>
      <c r="P28" s="139">
        <v>0.58333333333333337</v>
      </c>
      <c r="Q28" s="140">
        <v>1.0833333333333333</v>
      </c>
      <c r="R28" s="141">
        <f t="shared" ref="R28:R37" si="27">(IF(P28="u",0.333333333,IF(P28="W",0,IF(P28="C",R28,IF(P28="op",R28,(Q28-P28))))))</f>
        <v>0.49999999999999989</v>
      </c>
      <c r="S28" s="119">
        <v>0.58333333333333337</v>
      </c>
      <c r="T28" s="120">
        <v>1.0833333333333333</v>
      </c>
      <c r="U28" s="121">
        <f t="shared" ref="U28:U37" si="28">(IF(S28="u",0.333333333,IF(S28="W",0,IF(S28="C",U28,IF(S28="op",U28,(T28-S28))))))</f>
        <v>0.49999999999999989</v>
      </c>
      <c r="V28" s="119">
        <v>0.16666666666666666</v>
      </c>
      <c r="W28" s="120">
        <v>0.66666666666666663</v>
      </c>
      <c r="X28" s="121">
        <f t="shared" ref="X28:X37" si="29">(IF(V28="u",0.333333333,IF(V28="W",0,IF(V28="C",X28,IF(V28="op",X28,(W28-V28))))))</f>
        <v>0.5</v>
      </c>
      <c r="Y28" s="119">
        <v>0.16666666666666666</v>
      </c>
      <c r="Z28" s="120">
        <v>0.66666666666666663</v>
      </c>
      <c r="AA28" s="121">
        <f t="shared" ref="AA28:AA37" si="30">(IF(Y28="u",0.333333333,IF(Y28="W",0,IF(Y28="C",AA28,IF(Y28="op",AA28,(Z28-Y28))))))</f>
        <v>0.5</v>
      </c>
      <c r="AB28" s="119" t="s">
        <v>111</v>
      </c>
      <c r="AC28" s="120"/>
      <c r="AD28" s="121">
        <f t="shared" ref="AD28:AD37" si="31">(IF(AB28="u",0.333333333,IF(AB28="W",0,IF(AB28="C",AD28,IF(AB28="op",AD28,(AC28-AB28))))))</f>
        <v>0</v>
      </c>
      <c r="AE28" s="119" t="s">
        <v>111</v>
      </c>
      <c r="AF28" s="120"/>
      <c r="AG28" s="121">
        <f t="shared" ref="AG28:AG38" si="32">(IF(AE28="u",0.333333333,IF(AE28="W",0,IF(AE28="C",AG28,IF(AE28="op",AG28,(AF28-AE28))))))</f>
        <v>0</v>
      </c>
      <c r="AH28" s="119" t="s">
        <v>111</v>
      </c>
      <c r="AI28" s="120"/>
      <c r="AJ28" s="121">
        <f t="shared" ref="AJ28:AJ37" si="33">(IF(AH28="u",0.333333333,IF(AH28="W",0,IF(AH28="C",AJ28,IF(AH28="op",AJ28,(AI28-AH28))))))</f>
        <v>0</v>
      </c>
      <c r="AK28" s="119" t="s">
        <v>111</v>
      </c>
      <c r="AL28" s="120"/>
      <c r="AM28" s="122">
        <f t="shared" si="22"/>
        <v>0</v>
      </c>
      <c r="AN28" s="118">
        <v>22</v>
      </c>
      <c r="AO28" s="113" t="s">
        <v>8</v>
      </c>
    </row>
    <row r="29" spans="2:42" ht="14.4">
      <c r="B29" s="118">
        <v>23</v>
      </c>
      <c r="C29" s="113" t="s">
        <v>12</v>
      </c>
      <c r="D29" s="119">
        <v>0.4375</v>
      </c>
      <c r="E29" s="120">
        <v>0.9375</v>
      </c>
      <c r="F29" s="121">
        <f t="shared" si="24"/>
        <v>0.5</v>
      </c>
      <c r="G29" s="139">
        <v>0.4375</v>
      </c>
      <c r="H29" s="140">
        <v>0.9375</v>
      </c>
      <c r="I29" s="141">
        <f t="shared" si="25"/>
        <v>0.5</v>
      </c>
      <c r="J29" s="139">
        <v>0.58333333333333337</v>
      </c>
      <c r="K29" s="140">
        <v>1.0833333333333333</v>
      </c>
      <c r="L29" s="141">
        <f t="shared" si="26"/>
        <v>0.49999999999999989</v>
      </c>
      <c r="M29" s="119">
        <v>0.58333333333333337</v>
      </c>
      <c r="N29" s="120">
        <v>1.0833333333333333</v>
      </c>
      <c r="O29" s="121">
        <f t="shared" ref="O29:O37" si="34">(IF(M29="u",0.333333333,IF(M29="W",0,IF(M29="C",O29,IF(M29="op",O29,(N29-M29))))))</f>
        <v>0.49999999999999989</v>
      </c>
      <c r="P29" s="119">
        <v>0.58333333333333337</v>
      </c>
      <c r="Q29" s="120">
        <v>1.0833333333333333</v>
      </c>
      <c r="R29" s="121">
        <f t="shared" si="27"/>
        <v>0.49999999999999989</v>
      </c>
      <c r="S29" s="119">
        <v>0.58333333333333337</v>
      </c>
      <c r="T29" s="120">
        <v>1.0833333333333333</v>
      </c>
      <c r="U29" s="121">
        <f t="shared" si="28"/>
        <v>0.49999999999999989</v>
      </c>
      <c r="V29" s="139">
        <v>0.16666666666666666</v>
      </c>
      <c r="W29" s="140">
        <v>0.66666666666666663</v>
      </c>
      <c r="X29" s="141">
        <f t="shared" si="29"/>
        <v>0.5</v>
      </c>
      <c r="Y29" s="119"/>
      <c r="Z29" s="120"/>
      <c r="AA29" s="121">
        <f t="shared" si="30"/>
        <v>0</v>
      </c>
      <c r="AB29" s="119" t="s">
        <v>111</v>
      </c>
      <c r="AC29" s="120"/>
      <c r="AD29" s="121">
        <f t="shared" si="31"/>
        <v>0</v>
      </c>
      <c r="AE29" s="119" t="s">
        <v>111</v>
      </c>
      <c r="AF29" s="120"/>
      <c r="AG29" s="121">
        <f t="shared" si="32"/>
        <v>0</v>
      </c>
      <c r="AH29" s="119" t="s">
        <v>111</v>
      </c>
      <c r="AI29" s="120"/>
      <c r="AJ29" s="121">
        <f t="shared" si="33"/>
        <v>0</v>
      </c>
      <c r="AK29" s="119" t="s">
        <v>111</v>
      </c>
      <c r="AL29" s="120"/>
      <c r="AM29" s="122">
        <f t="shared" si="22"/>
        <v>0</v>
      </c>
      <c r="AN29" s="118">
        <v>23</v>
      </c>
      <c r="AO29" s="113" t="s">
        <v>12</v>
      </c>
    </row>
    <row r="30" spans="2:42" ht="14.4">
      <c r="B30" s="118">
        <v>24</v>
      </c>
      <c r="C30" s="113" t="s">
        <v>85</v>
      </c>
      <c r="D30" s="119">
        <v>0.4375</v>
      </c>
      <c r="E30" s="120">
        <v>0.9375</v>
      </c>
      <c r="F30" s="121">
        <f t="shared" si="24"/>
        <v>0.5</v>
      </c>
      <c r="G30" s="119">
        <v>0.4375</v>
      </c>
      <c r="H30" s="120">
        <v>0.9375</v>
      </c>
      <c r="I30" s="121">
        <f t="shared" si="25"/>
        <v>0.5</v>
      </c>
      <c r="J30" s="119"/>
      <c r="K30" s="120"/>
      <c r="L30" s="121">
        <f t="shared" si="26"/>
        <v>0</v>
      </c>
      <c r="M30" s="119">
        <v>0.58333333333333337</v>
      </c>
      <c r="N30" s="120">
        <v>1.0833333333333333</v>
      </c>
      <c r="O30" s="121">
        <f t="shared" si="34"/>
        <v>0.49999999999999989</v>
      </c>
      <c r="P30" s="119" t="s">
        <v>111</v>
      </c>
      <c r="Q30" s="120"/>
      <c r="R30" s="121">
        <f t="shared" si="27"/>
        <v>0</v>
      </c>
      <c r="S30" s="119"/>
      <c r="T30" s="120"/>
      <c r="U30" s="121">
        <f t="shared" si="28"/>
        <v>0</v>
      </c>
      <c r="V30" s="119" t="s">
        <v>111</v>
      </c>
      <c r="W30" s="120"/>
      <c r="X30" s="121">
        <f t="shared" si="29"/>
        <v>0</v>
      </c>
      <c r="Y30" s="119">
        <v>0.16666666666666666</v>
      </c>
      <c r="Z30" s="120">
        <v>0.66666666666666663</v>
      </c>
      <c r="AA30" s="121">
        <f t="shared" si="30"/>
        <v>0.5</v>
      </c>
      <c r="AB30" s="119" t="s">
        <v>111</v>
      </c>
      <c r="AC30" s="120"/>
      <c r="AD30" s="121">
        <f t="shared" si="31"/>
        <v>0</v>
      </c>
      <c r="AE30" s="139">
        <v>0.16666666666666666</v>
      </c>
      <c r="AF30" s="140">
        <v>0.66666666666666663</v>
      </c>
      <c r="AG30" s="141">
        <f t="shared" si="32"/>
        <v>0.5</v>
      </c>
      <c r="AH30" s="119" t="s">
        <v>111</v>
      </c>
      <c r="AI30" s="120"/>
      <c r="AJ30" s="121">
        <f t="shared" si="33"/>
        <v>0</v>
      </c>
      <c r="AK30" s="119" t="s">
        <v>111</v>
      </c>
      <c r="AL30" s="120"/>
      <c r="AM30" s="122">
        <f t="shared" si="22"/>
        <v>0</v>
      </c>
      <c r="AN30" s="118">
        <v>24</v>
      </c>
      <c r="AO30" s="113" t="s">
        <v>85</v>
      </c>
    </row>
    <row r="31" spans="2:42" thickBot="1">
      <c r="B31" s="118">
        <v>25</v>
      </c>
      <c r="C31" s="113" t="s">
        <v>4</v>
      </c>
      <c r="D31" s="119">
        <v>0.4375</v>
      </c>
      <c r="E31" s="120">
        <v>0.9375</v>
      </c>
      <c r="F31" s="121">
        <f t="shared" si="24"/>
        <v>0.5</v>
      </c>
      <c r="G31" s="119">
        <v>0.4375</v>
      </c>
      <c r="H31" s="120">
        <v>0.9375</v>
      </c>
      <c r="I31" s="121">
        <f t="shared" si="25"/>
        <v>0.5</v>
      </c>
      <c r="J31" s="139">
        <v>0.58333333333333337</v>
      </c>
      <c r="K31" s="140">
        <v>1.0833333333333333</v>
      </c>
      <c r="L31" s="141">
        <f t="shared" si="26"/>
        <v>0.49999999999999989</v>
      </c>
      <c r="M31" s="119"/>
      <c r="N31" s="120"/>
      <c r="O31" s="121">
        <f t="shared" si="34"/>
        <v>0</v>
      </c>
      <c r="P31" s="119">
        <v>0.58333333333333337</v>
      </c>
      <c r="Q31" s="120">
        <v>1.0833333333333333</v>
      </c>
      <c r="R31" s="121">
        <f t="shared" si="27"/>
        <v>0.49999999999999989</v>
      </c>
      <c r="S31" s="119">
        <v>0.4375</v>
      </c>
      <c r="T31" s="120">
        <v>0.9375</v>
      </c>
      <c r="U31" s="121">
        <f t="shared" si="28"/>
        <v>0.5</v>
      </c>
      <c r="V31" s="119" t="s">
        <v>111</v>
      </c>
      <c r="W31" s="120"/>
      <c r="X31" s="121">
        <f t="shared" si="29"/>
        <v>0</v>
      </c>
      <c r="Y31" s="139">
        <v>0.16666666666666666</v>
      </c>
      <c r="Z31" s="140">
        <v>0.66666666666666663</v>
      </c>
      <c r="AA31" s="141">
        <f t="shared" si="30"/>
        <v>0.5</v>
      </c>
      <c r="AB31" s="119" t="s">
        <v>111</v>
      </c>
      <c r="AC31" s="120"/>
      <c r="AD31" s="121">
        <f t="shared" si="31"/>
        <v>0</v>
      </c>
      <c r="AE31" s="119">
        <v>0.16666666666666666</v>
      </c>
      <c r="AF31" s="120">
        <v>0.66666666666666663</v>
      </c>
      <c r="AG31" s="121">
        <f t="shared" si="32"/>
        <v>0.5</v>
      </c>
      <c r="AH31" s="119" t="s">
        <v>111</v>
      </c>
      <c r="AI31" s="120"/>
      <c r="AJ31" s="121">
        <f t="shared" si="33"/>
        <v>0</v>
      </c>
      <c r="AK31" s="119" t="s">
        <v>111</v>
      </c>
      <c r="AL31" s="120"/>
      <c r="AM31" s="122">
        <f t="shared" si="22"/>
        <v>0</v>
      </c>
      <c r="AN31" s="118">
        <v>25</v>
      </c>
      <c r="AO31" s="113" t="s">
        <v>4</v>
      </c>
      <c r="AP31" s="19"/>
    </row>
    <row r="32" spans="2:42" ht="14.4">
      <c r="B32" s="86">
        <v>26</v>
      </c>
      <c r="C32" s="87" t="s">
        <v>5</v>
      </c>
      <c r="D32" s="88" t="s">
        <v>111</v>
      </c>
      <c r="E32" s="89"/>
      <c r="F32" s="90">
        <f t="shared" si="24"/>
        <v>0</v>
      </c>
      <c r="G32" s="88" t="s">
        <v>111</v>
      </c>
      <c r="H32" s="89"/>
      <c r="I32" s="90">
        <f t="shared" si="25"/>
        <v>0</v>
      </c>
      <c r="J32" s="88">
        <v>0.625</v>
      </c>
      <c r="K32" s="89">
        <v>1.125</v>
      </c>
      <c r="L32" s="90">
        <f t="shared" si="26"/>
        <v>0.5</v>
      </c>
      <c r="M32" s="139">
        <v>0.33333333333333331</v>
      </c>
      <c r="N32" s="140">
        <v>0.83333333333333337</v>
      </c>
      <c r="O32" s="137">
        <f t="shared" si="34"/>
        <v>0.5</v>
      </c>
      <c r="P32" s="139">
        <v>0.625</v>
      </c>
      <c r="Q32" s="140">
        <v>1.125</v>
      </c>
      <c r="R32" s="141">
        <f t="shared" si="27"/>
        <v>0.5</v>
      </c>
      <c r="S32" s="88" t="s">
        <v>111</v>
      </c>
      <c r="T32" s="89"/>
      <c r="U32" s="90">
        <f t="shared" si="28"/>
        <v>0</v>
      </c>
      <c r="V32" s="88">
        <v>0.16666666666666666</v>
      </c>
      <c r="W32" s="89">
        <v>0.66666666666666663</v>
      </c>
      <c r="X32" s="90">
        <f t="shared" si="29"/>
        <v>0.5</v>
      </c>
      <c r="Y32" s="139">
        <v>0.16666666666666666</v>
      </c>
      <c r="Z32" s="140">
        <v>0.66666666666666663</v>
      </c>
      <c r="AA32" s="141">
        <f t="shared" si="30"/>
        <v>0.5</v>
      </c>
      <c r="AB32" s="88">
        <v>0.16666666666666666</v>
      </c>
      <c r="AC32" s="89">
        <v>0.66666666666666663</v>
      </c>
      <c r="AD32" s="90">
        <f t="shared" si="31"/>
        <v>0.5</v>
      </c>
      <c r="AE32" s="88">
        <v>0.16666666666666666</v>
      </c>
      <c r="AF32" s="89">
        <v>0.66666666666666663</v>
      </c>
      <c r="AG32" s="90">
        <f t="shared" si="32"/>
        <v>0.5</v>
      </c>
      <c r="AH32" s="88" t="s">
        <v>111</v>
      </c>
      <c r="AI32" s="89"/>
      <c r="AJ32" s="90">
        <f t="shared" si="33"/>
        <v>0</v>
      </c>
      <c r="AK32" s="88" t="s">
        <v>111</v>
      </c>
      <c r="AL32" s="89"/>
      <c r="AM32" s="91">
        <f t="shared" si="22"/>
        <v>0</v>
      </c>
      <c r="AN32" s="86">
        <v>26</v>
      </c>
      <c r="AO32" s="87" t="s">
        <v>5</v>
      </c>
    </row>
    <row r="33" spans="2:42" ht="15.75" customHeight="1">
      <c r="B33" s="86">
        <v>27</v>
      </c>
      <c r="C33" s="87" t="s">
        <v>6</v>
      </c>
      <c r="D33" s="88">
        <v>0.41666666666666669</v>
      </c>
      <c r="E33" s="89">
        <v>0.91666666666666663</v>
      </c>
      <c r="F33" s="90">
        <f t="shared" si="24"/>
        <v>0.49999999999999994</v>
      </c>
      <c r="G33" s="88" t="s">
        <v>111</v>
      </c>
      <c r="H33" s="89"/>
      <c r="I33" s="90">
        <f t="shared" si="25"/>
        <v>0</v>
      </c>
      <c r="J33" s="88">
        <v>0.625</v>
      </c>
      <c r="K33" s="89">
        <v>1.125</v>
      </c>
      <c r="L33" s="90">
        <f t="shared" si="26"/>
        <v>0.5</v>
      </c>
      <c r="M33" s="88" t="s">
        <v>111</v>
      </c>
      <c r="N33" s="89"/>
      <c r="O33" s="90">
        <f t="shared" si="34"/>
        <v>0</v>
      </c>
      <c r="P33" s="139">
        <v>0.625</v>
      </c>
      <c r="Q33" s="140">
        <v>1.125</v>
      </c>
      <c r="R33" s="141">
        <f t="shared" si="27"/>
        <v>0.5</v>
      </c>
      <c r="S33" s="88" t="s">
        <v>111</v>
      </c>
      <c r="T33" s="89"/>
      <c r="U33" s="90">
        <f t="shared" si="28"/>
        <v>0</v>
      </c>
      <c r="V33" s="139">
        <v>0.16666666666666666</v>
      </c>
      <c r="W33" s="140">
        <v>0.66666666666666663</v>
      </c>
      <c r="X33" s="141">
        <f t="shared" si="29"/>
        <v>0.5</v>
      </c>
      <c r="Y33" s="88"/>
      <c r="Z33" s="89"/>
      <c r="AA33" s="90">
        <f t="shared" si="30"/>
        <v>0</v>
      </c>
      <c r="AB33" s="88">
        <v>0.16666666666666666</v>
      </c>
      <c r="AC33" s="89">
        <v>0.66666666666666663</v>
      </c>
      <c r="AD33" s="90">
        <f t="shared" si="31"/>
        <v>0.5</v>
      </c>
      <c r="AE33" s="88" t="s">
        <v>111</v>
      </c>
      <c r="AF33" s="89"/>
      <c r="AG33" s="90">
        <f t="shared" si="32"/>
        <v>0</v>
      </c>
      <c r="AH33" s="88" t="s">
        <v>111</v>
      </c>
      <c r="AI33" s="89"/>
      <c r="AJ33" s="90">
        <f t="shared" si="33"/>
        <v>0</v>
      </c>
      <c r="AK33" s="88">
        <v>0.16666666666666666</v>
      </c>
      <c r="AL33" s="89">
        <v>0.66666666666666663</v>
      </c>
      <c r="AM33" s="91">
        <f t="shared" si="22"/>
        <v>0.5</v>
      </c>
      <c r="AN33" s="86">
        <v>27</v>
      </c>
      <c r="AO33" s="87" t="s">
        <v>6</v>
      </c>
    </row>
    <row r="34" spans="2:42" ht="17.25" customHeight="1">
      <c r="B34" s="118">
        <v>28</v>
      </c>
      <c r="C34" s="113" t="s">
        <v>7</v>
      </c>
      <c r="D34" s="119">
        <v>0.41666666666666669</v>
      </c>
      <c r="E34" s="120">
        <v>0.91666666666666663</v>
      </c>
      <c r="F34" s="121">
        <f t="shared" si="24"/>
        <v>0.49999999999999994</v>
      </c>
      <c r="G34" s="139">
        <v>0.41666666666666669</v>
      </c>
      <c r="H34" s="140">
        <v>0.91666666666666663</v>
      </c>
      <c r="I34" s="141">
        <f t="shared" si="25"/>
        <v>0.49999999999999994</v>
      </c>
      <c r="J34" s="119"/>
      <c r="K34" s="120"/>
      <c r="L34" s="121">
        <f t="shared" si="26"/>
        <v>0</v>
      </c>
      <c r="M34" s="119" t="s">
        <v>111</v>
      </c>
      <c r="N34" s="120"/>
      <c r="O34" s="121">
        <f t="shared" si="34"/>
        <v>0</v>
      </c>
      <c r="P34" s="119"/>
      <c r="Q34" s="120"/>
      <c r="R34" s="121">
        <f t="shared" si="27"/>
        <v>0</v>
      </c>
      <c r="S34" s="119">
        <v>0.58333333333333337</v>
      </c>
      <c r="T34" s="120">
        <v>1.0833333333333333</v>
      </c>
      <c r="U34" s="121">
        <f t="shared" si="28"/>
        <v>0.49999999999999989</v>
      </c>
      <c r="V34" s="119">
        <v>0.16666666666666666</v>
      </c>
      <c r="W34" s="120">
        <v>0.66666666666666663</v>
      </c>
      <c r="X34" s="121">
        <f t="shared" si="29"/>
        <v>0.5</v>
      </c>
      <c r="Y34" s="119">
        <v>0.16666666666666666</v>
      </c>
      <c r="Z34" s="120">
        <v>0.66666666666666663</v>
      </c>
      <c r="AA34" s="121">
        <f t="shared" si="30"/>
        <v>0.5</v>
      </c>
      <c r="AB34" s="119"/>
      <c r="AC34" s="120"/>
      <c r="AD34" s="121">
        <f t="shared" si="31"/>
        <v>0</v>
      </c>
      <c r="AE34" s="119" t="s">
        <v>111</v>
      </c>
      <c r="AF34" s="120"/>
      <c r="AG34" s="121">
        <f t="shared" si="32"/>
        <v>0</v>
      </c>
      <c r="AH34" s="119">
        <v>0.16666666666666666</v>
      </c>
      <c r="AI34" s="120">
        <v>0.66666666666666663</v>
      </c>
      <c r="AJ34" s="121">
        <f t="shared" si="33"/>
        <v>0.5</v>
      </c>
      <c r="AK34" s="119">
        <v>0.16666666666666666</v>
      </c>
      <c r="AL34" s="120">
        <v>0.66666666666666663</v>
      </c>
      <c r="AM34" s="122">
        <f t="shared" si="22"/>
        <v>0.5</v>
      </c>
      <c r="AN34" s="118">
        <v>28</v>
      </c>
      <c r="AO34" s="113" t="s">
        <v>7</v>
      </c>
    </row>
    <row r="35" spans="2:42" ht="15.75" customHeight="1">
      <c r="B35" s="118">
        <v>29</v>
      </c>
      <c r="C35" s="113" t="s">
        <v>8</v>
      </c>
      <c r="D35" s="119">
        <v>0.41666666666666669</v>
      </c>
      <c r="E35" s="120">
        <v>0.91666666666666663</v>
      </c>
      <c r="F35" s="121">
        <f t="shared" si="24"/>
        <v>0.49999999999999994</v>
      </c>
      <c r="G35" s="119" t="s">
        <v>111</v>
      </c>
      <c r="H35" s="120"/>
      <c r="I35" s="121">
        <f t="shared" si="25"/>
        <v>0</v>
      </c>
      <c r="J35" s="119">
        <v>0.58333333333333337</v>
      </c>
      <c r="K35" s="120">
        <v>1.0833333333333333</v>
      </c>
      <c r="L35" s="121">
        <f t="shared" si="26"/>
        <v>0.49999999999999989</v>
      </c>
      <c r="M35" s="119" t="s">
        <v>111</v>
      </c>
      <c r="N35" s="120"/>
      <c r="O35" s="121">
        <f t="shared" si="34"/>
        <v>0</v>
      </c>
      <c r="P35" s="139">
        <v>0.41666666666666669</v>
      </c>
      <c r="Q35" s="140">
        <v>0.91666666666666663</v>
      </c>
      <c r="R35" s="141">
        <f t="shared" si="27"/>
        <v>0.49999999999999994</v>
      </c>
      <c r="S35" s="139">
        <v>0.58333333333333337</v>
      </c>
      <c r="T35" s="140">
        <v>1.0833333333333333</v>
      </c>
      <c r="U35" s="141">
        <f t="shared" si="28"/>
        <v>0.49999999999999989</v>
      </c>
      <c r="V35" s="119"/>
      <c r="W35" s="120"/>
      <c r="X35" s="121">
        <f t="shared" si="29"/>
        <v>0</v>
      </c>
      <c r="Y35" s="139">
        <v>0.125</v>
      </c>
      <c r="Z35" s="140">
        <v>0.625</v>
      </c>
      <c r="AA35" s="141">
        <f t="shared" si="30"/>
        <v>0.5</v>
      </c>
      <c r="AB35" s="119">
        <v>0.16666666666666666</v>
      </c>
      <c r="AC35" s="120">
        <v>0.66666666666666663</v>
      </c>
      <c r="AD35" s="121">
        <f t="shared" si="31"/>
        <v>0.5</v>
      </c>
      <c r="AE35" s="119">
        <v>0.16666666666666666</v>
      </c>
      <c r="AF35" s="120">
        <v>0.66666666666666663</v>
      </c>
      <c r="AG35" s="121">
        <f t="shared" si="32"/>
        <v>0.5</v>
      </c>
      <c r="AH35" s="119">
        <v>0.16666666666666666</v>
      </c>
      <c r="AI35" s="120">
        <v>0.66666666666666663</v>
      </c>
      <c r="AJ35" s="121">
        <f t="shared" si="33"/>
        <v>0.5</v>
      </c>
      <c r="AK35" s="119">
        <v>0.16666666666666666</v>
      </c>
      <c r="AL35" s="120">
        <v>0.66666666666666663</v>
      </c>
      <c r="AM35" s="122">
        <f t="shared" si="22"/>
        <v>0.5</v>
      </c>
      <c r="AN35" s="118">
        <v>29</v>
      </c>
      <c r="AO35" s="113" t="s">
        <v>8</v>
      </c>
    </row>
    <row r="36" spans="2:42" ht="14.4">
      <c r="B36" s="118">
        <v>30</v>
      </c>
      <c r="C36" s="113" t="s">
        <v>12</v>
      </c>
      <c r="D36" s="119">
        <v>0.4375</v>
      </c>
      <c r="E36" s="120">
        <v>0.9375</v>
      </c>
      <c r="F36" s="121">
        <f t="shared" si="24"/>
        <v>0.5</v>
      </c>
      <c r="G36" s="139">
        <v>0.4375</v>
      </c>
      <c r="H36" s="140">
        <v>0.9375</v>
      </c>
      <c r="I36" s="141">
        <f t="shared" si="25"/>
        <v>0.5</v>
      </c>
      <c r="J36" s="139">
        <v>0.58333333333333337</v>
      </c>
      <c r="K36" s="140">
        <v>1.0833333333333333</v>
      </c>
      <c r="L36" s="141">
        <f>(IF(J36="u",0.333333333,IF(J36="W",0,IF(J36="C",L36,IF(J36="op",L36,(K36-J36))))))</f>
        <v>0.49999999999999989</v>
      </c>
      <c r="M36" s="119">
        <v>0.58333333333333337</v>
      </c>
      <c r="N36" s="120">
        <v>1.0833333333333333</v>
      </c>
      <c r="O36" s="121">
        <f t="shared" si="34"/>
        <v>0.49999999999999989</v>
      </c>
      <c r="P36" s="119">
        <v>0.4375</v>
      </c>
      <c r="Q36" s="120">
        <v>0.9375</v>
      </c>
      <c r="R36" s="121">
        <f t="shared" si="27"/>
        <v>0.5</v>
      </c>
      <c r="S36" s="119">
        <v>0.58333333333333337</v>
      </c>
      <c r="T36" s="120">
        <v>1.0833333333333333</v>
      </c>
      <c r="U36" s="121">
        <f t="shared" si="28"/>
        <v>0.49999999999999989</v>
      </c>
      <c r="V36" s="119">
        <v>0.52083333333333337</v>
      </c>
      <c r="W36" s="120">
        <v>1.0208333333333333</v>
      </c>
      <c r="X36" s="121">
        <f t="shared" si="29"/>
        <v>0.49999999999999989</v>
      </c>
      <c r="Y36" s="119">
        <v>0.16666666666666666</v>
      </c>
      <c r="Z36" s="120">
        <v>0.66666666666666663</v>
      </c>
      <c r="AA36" s="121">
        <f t="shared" si="30"/>
        <v>0.5</v>
      </c>
      <c r="AB36" s="139">
        <v>0.16666666666666666</v>
      </c>
      <c r="AC36" s="140">
        <v>0.66666666666666663</v>
      </c>
      <c r="AD36" s="141">
        <f t="shared" si="31"/>
        <v>0.5</v>
      </c>
      <c r="AE36" s="119">
        <v>0.16666666666666666</v>
      </c>
      <c r="AF36" s="120">
        <v>0.66666666666666663</v>
      </c>
      <c r="AG36" s="121">
        <f t="shared" si="32"/>
        <v>0.5</v>
      </c>
      <c r="AH36" s="119">
        <v>0.16666666666666666</v>
      </c>
      <c r="AI36" s="120">
        <v>0.66666666666666663</v>
      </c>
      <c r="AJ36" s="121">
        <f t="shared" si="33"/>
        <v>0.5</v>
      </c>
      <c r="AK36" s="119" t="s">
        <v>111</v>
      </c>
      <c r="AL36" s="120"/>
      <c r="AM36" s="122">
        <f t="shared" si="22"/>
        <v>0</v>
      </c>
      <c r="AN36" s="118">
        <v>30</v>
      </c>
      <c r="AO36" s="113" t="s">
        <v>12</v>
      </c>
    </row>
    <row r="37" spans="2:42" thickBot="1">
      <c r="B37" s="118">
        <v>31</v>
      </c>
      <c r="C37" s="113" t="s">
        <v>85</v>
      </c>
      <c r="D37" s="139">
        <v>0.4375</v>
      </c>
      <c r="E37" s="140">
        <v>0.9375</v>
      </c>
      <c r="F37" s="161">
        <f t="shared" si="24"/>
        <v>0.5</v>
      </c>
      <c r="G37" s="124" t="s">
        <v>111</v>
      </c>
      <c r="H37" s="120"/>
      <c r="I37" s="123">
        <f t="shared" si="25"/>
        <v>0</v>
      </c>
      <c r="J37" s="160">
        <v>0.58333333333333337</v>
      </c>
      <c r="K37" s="140">
        <v>1.0833333333333333</v>
      </c>
      <c r="L37" s="161">
        <f t="shared" si="26"/>
        <v>0.49999999999999989</v>
      </c>
      <c r="M37" s="124">
        <v>0.58333333333333337</v>
      </c>
      <c r="N37" s="120">
        <v>1.0833333333333333</v>
      </c>
      <c r="O37" s="123">
        <f t="shared" si="34"/>
        <v>0.49999999999999989</v>
      </c>
      <c r="P37" s="124">
        <v>0.4375</v>
      </c>
      <c r="Q37" s="120">
        <v>0.9375</v>
      </c>
      <c r="R37" s="123">
        <f t="shared" si="27"/>
        <v>0.5</v>
      </c>
      <c r="S37" s="124">
        <v>0.58333333333333337</v>
      </c>
      <c r="T37" s="120">
        <v>1.0833333333333333</v>
      </c>
      <c r="U37" s="123">
        <f t="shared" si="28"/>
        <v>0.49999999999999989</v>
      </c>
      <c r="V37" s="124">
        <v>0.52083333333333337</v>
      </c>
      <c r="W37" s="120">
        <v>1.0208333333333333</v>
      </c>
      <c r="X37" s="123">
        <f t="shared" si="29"/>
        <v>0.49999999999999989</v>
      </c>
      <c r="Y37" s="124">
        <v>0.16666666666666666</v>
      </c>
      <c r="Z37" s="120">
        <v>0.66666666666666663</v>
      </c>
      <c r="AA37" s="123">
        <f t="shared" si="30"/>
        <v>0.5</v>
      </c>
      <c r="AB37" s="124">
        <v>0.16666666666666666</v>
      </c>
      <c r="AC37" s="120">
        <v>0.66666666666666663</v>
      </c>
      <c r="AD37" s="123">
        <f t="shared" si="31"/>
        <v>0.5</v>
      </c>
      <c r="AE37" s="124">
        <v>0.16666666666666666</v>
      </c>
      <c r="AF37" s="120">
        <v>0.66666666666666663</v>
      </c>
      <c r="AG37" s="123">
        <f t="shared" si="32"/>
        <v>0.5</v>
      </c>
      <c r="AH37" s="139">
        <v>0.16666666666666666</v>
      </c>
      <c r="AI37" s="140">
        <v>0.66666666666666663</v>
      </c>
      <c r="AJ37" s="161">
        <f t="shared" si="33"/>
        <v>0.5</v>
      </c>
      <c r="AK37" s="124" t="s">
        <v>111</v>
      </c>
      <c r="AL37" s="120"/>
      <c r="AM37" s="125">
        <f t="shared" si="22"/>
        <v>0</v>
      </c>
      <c r="AN37" s="118">
        <v>31</v>
      </c>
      <c r="AO37" s="113" t="s">
        <v>85</v>
      </c>
    </row>
    <row r="38" spans="2:42" thickBot="1">
      <c r="B38" s="85"/>
      <c r="C38" s="39"/>
      <c r="D38" s="77"/>
      <c r="E38" s="78"/>
      <c r="F38" s="62"/>
      <c r="G38" s="51"/>
      <c r="H38" s="78"/>
      <c r="I38" s="62"/>
      <c r="J38" s="51"/>
      <c r="K38" s="78"/>
      <c r="L38" s="62"/>
      <c r="M38" s="51"/>
      <c r="N38" s="72"/>
      <c r="O38" s="62"/>
      <c r="P38" s="51"/>
      <c r="Q38" s="72"/>
      <c r="R38" s="62"/>
      <c r="S38" s="51"/>
      <c r="T38" s="72"/>
      <c r="U38" s="62"/>
      <c r="V38" s="51"/>
      <c r="W38" s="72"/>
      <c r="X38" s="62"/>
      <c r="Y38" s="41"/>
      <c r="Z38" s="79"/>
      <c r="AA38" s="62"/>
      <c r="AB38" s="51"/>
      <c r="AC38" s="78"/>
      <c r="AD38" s="62"/>
      <c r="AE38" s="41"/>
      <c r="AF38" s="79"/>
      <c r="AG38" s="62">
        <f t="shared" si="32"/>
        <v>0</v>
      </c>
      <c r="AH38" s="77"/>
      <c r="AI38" s="78"/>
      <c r="AJ38" s="62"/>
      <c r="AK38" s="47"/>
      <c r="AL38" s="72"/>
      <c r="AM38" s="80"/>
      <c r="AN38" s="85"/>
      <c r="AO38" s="39"/>
      <c r="AP38" s="19"/>
    </row>
    <row r="39" spans="2:42" ht="15.75" customHeight="1" thickBot="1">
      <c r="B39" s="68"/>
      <c r="C39" s="39"/>
      <c r="D39" s="66"/>
      <c r="E39" s="64"/>
      <c r="F39" s="65"/>
      <c r="G39" s="66"/>
      <c r="H39" s="64"/>
      <c r="I39" s="65"/>
      <c r="J39" s="66"/>
      <c r="K39" s="64"/>
      <c r="L39" s="65"/>
      <c r="M39" s="66"/>
      <c r="N39" s="64"/>
      <c r="O39" s="65"/>
      <c r="P39" s="66"/>
      <c r="Q39" s="64"/>
      <c r="R39" s="65"/>
      <c r="S39" s="66"/>
      <c r="T39" s="64"/>
      <c r="U39" s="65"/>
      <c r="V39" s="66"/>
      <c r="W39" s="64"/>
      <c r="X39" s="65"/>
      <c r="Y39" s="66"/>
      <c r="Z39" s="64"/>
      <c r="AA39" s="65"/>
      <c r="AB39" s="66"/>
      <c r="AC39" s="64"/>
      <c r="AD39" s="65"/>
      <c r="AE39" s="66"/>
      <c r="AF39" s="64"/>
      <c r="AG39" s="65"/>
      <c r="AH39" s="66"/>
      <c r="AI39" s="64"/>
      <c r="AJ39" s="65"/>
      <c r="AK39" s="75"/>
      <c r="AL39" s="76"/>
      <c r="AM39" s="74"/>
      <c r="AN39" s="67"/>
      <c r="AO39" s="63"/>
    </row>
    <row r="40" spans="2:42" ht="15.75" customHeight="1" thickBot="1">
      <c r="B40" s="173" t="s">
        <v>0</v>
      </c>
      <c r="C40" s="173" t="s">
        <v>1</v>
      </c>
      <c r="D40" s="288" t="s">
        <v>15</v>
      </c>
      <c r="E40" s="289"/>
      <c r="F40" s="290"/>
      <c r="G40" s="210" t="s">
        <v>13</v>
      </c>
      <c r="H40" s="211"/>
      <c r="I40" s="212"/>
      <c r="J40" s="210" t="s">
        <v>22</v>
      </c>
      <c r="K40" s="211"/>
      <c r="L40" s="212"/>
      <c r="M40" s="280" t="s">
        <v>14</v>
      </c>
      <c r="N40" s="281"/>
      <c r="O40" s="282"/>
      <c r="P40" s="210" t="s">
        <v>19</v>
      </c>
      <c r="Q40" s="211"/>
      <c r="R40" s="212"/>
      <c r="S40" s="261" t="s">
        <v>27</v>
      </c>
      <c r="T40" s="262"/>
      <c r="U40" s="263"/>
      <c r="V40" s="210" t="s">
        <v>24</v>
      </c>
      <c r="W40" s="211"/>
      <c r="X40" s="212"/>
      <c r="Y40" s="210" t="s">
        <v>26</v>
      </c>
      <c r="Z40" s="211"/>
      <c r="AA40" s="212"/>
      <c r="AB40" s="210" t="s">
        <v>21</v>
      </c>
      <c r="AC40" s="211"/>
      <c r="AD40" s="212"/>
      <c r="AE40" s="210" t="s">
        <v>20</v>
      </c>
      <c r="AF40" s="211"/>
      <c r="AG40" s="212"/>
      <c r="AH40" s="273" t="s">
        <v>41</v>
      </c>
      <c r="AI40" s="274"/>
      <c r="AJ40" s="275"/>
      <c r="AK40" s="286" t="s">
        <v>44</v>
      </c>
      <c r="AL40" s="243"/>
      <c r="AM40" s="244"/>
      <c r="AN40" s="329" t="s">
        <v>0</v>
      </c>
      <c r="AO40" s="270" t="s">
        <v>1</v>
      </c>
    </row>
    <row r="41" spans="2:42" ht="15.75" customHeight="1" thickBot="1">
      <c r="B41" s="173"/>
      <c r="C41" s="173"/>
      <c r="D41" s="213"/>
      <c r="E41" s="214"/>
      <c r="F41" s="215"/>
      <c r="G41" s="213"/>
      <c r="H41" s="214"/>
      <c r="I41" s="215"/>
      <c r="J41" s="213"/>
      <c r="K41" s="214"/>
      <c r="L41" s="215"/>
      <c r="M41" s="283"/>
      <c r="N41" s="284"/>
      <c r="O41" s="285"/>
      <c r="P41" s="213"/>
      <c r="Q41" s="214"/>
      <c r="R41" s="215"/>
      <c r="S41" s="264"/>
      <c r="T41" s="265"/>
      <c r="U41" s="266"/>
      <c r="V41" s="213"/>
      <c r="W41" s="214"/>
      <c r="X41" s="215"/>
      <c r="Y41" s="213"/>
      <c r="Z41" s="214"/>
      <c r="AA41" s="215"/>
      <c r="AB41" s="213"/>
      <c r="AC41" s="214"/>
      <c r="AD41" s="215"/>
      <c r="AE41" s="213"/>
      <c r="AF41" s="214"/>
      <c r="AG41" s="215"/>
      <c r="AH41" s="276"/>
      <c r="AI41" s="277"/>
      <c r="AJ41" s="278"/>
      <c r="AK41" s="287"/>
      <c r="AL41" s="245"/>
      <c r="AM41" s="246"/>
      <c r="AN41" s="329"/>
      <c r="AO41" s="327"/>
    </row>
    <row r="42" spans="2:42" thickBot="1">
      <c r="B42" s="173"/>
      <c r="C42" s="173"/>
      <c r="D42" s="169"/>
      <c r="E42" s="170"/>
      <c r="F42" s="171"/>
      <c r="G42" s="169"/>
      <c r="H42" s="170"/>
      <c r="I42" s="171"/>
      <c r="J42" s="169"/>
      <c r="K42" s="170"/>
      <c r="L42" s="171"/>
      <c r="M42" s="169"/>
      <c r="N42" s="170"/>
      <c r="O42" s="171"/>
      <c r="P42" s="169"/>
      <c r="Q42" s="170"/>
      <c r="R42" s="171"/>
      <c r="S42" s="169"/>
      <c r="T42" s="170"/>
      <c r="U42" s="171"/>
      <c r="V42" s="169"/>
      <c r="W42" s="170"/>
      <c r="X42" s="171"/>
      <c r="Y42" s="169"/>
      <c r="Z42" s="170"/>
      <c r="AA42" s="171"/>
      <c r="AB42" s="169"/>
      <c r="AC42" s="170"/>
      <c r="AD42" s="171"/>
      <c r="AE42" s="169"/>
      <c r="AF42" s="170"/>
      <c r="AG42" s="171"/>
      <c r="AH42" s="169"/>
      <c r="AI42" s="170"/>
      <c r="AJ42" s="171"/>
      <c r="AK42" s="169"/>
      <c r="AL42" s="170"/>
      <c r="AM42" s="171"/>
      <c r="AN42" s="329"/>
      <c r="AO42" s="327"/>
    </row>
    <row r="43" spans="2:42" thickBot="1">
      <c r="B43" s="173"/>
      <c r="C43" s="173"/>
      <c r="D43" s="9"/>
      <c r="E43" s="6"/>
      <c r="F43" s="7"/>
      <c r="G43" s="9"/>
      <c r="H43" s="6"/>
      <c r="I43" s="7"/>
      <c r="J43" s="9"/>
      <c r="K43" s="6"/>
      <c r="L43" s="7"/>
      <c r="M43" s="9"/>
      <c r="N43" s="6"/>
      <c r="O43" s="7"/>
      <c r="P43" s="9"/>
      <c r="Q43" s="6"/>
      <c r="R43" s="7"/>
      <c r="S43" s="9"/>
      <c r="T43" s="6"/>
      <c r="U43" s="7"/>
      <c r="V43" s="9"/>
      <c r="W43" s="6"/>
      <c r="X43" s="7"/>
      <c r="Y43" s="9"/>
      <c r="Z43" s="6"/>
      <c r="AA43" s="7"/>
      <c r="AB43" s="9"/>
      <c r="AC43" s="6"/>
      <c r="AD43" s="7"/>
      <c r="AE43" s="9"/>
      <c r="AF43" s="6"/>
      <c r="AG43" s="7"/>
      <c r="AH43" s="240"/>
      <c r="AI43" s="241"/>
      <c r="AJ43" s="242"/>
      <c r="AK43" s="9"/>
      <c r="AL43" s="6"/>
      <c r="AM43" s="7"/>
      <c r="AN43" s="329"/>
      <c r="AO43" s="328"/>
    </row>
    <row r="44" spans="2:42" ht="15.75" customHeight="1" thickBot="1">
      <c r="B44" s="168" t="s">
        <v>0</v>
      </c>
      <c r="C44" s="168" t="s">
        <v>1</v>
      </c>
      <c r="D44" s="286" t="s">
        <v>72</v>
      </c>
      <c r="E44" s="243"/>
      <c r="F44" s="244"/>
      <c r="G44" s="273" t="s">
        <v>38</v>
      </c>
      <c r="H44" s="274"/>
      <c r="I44" s="275"/>
      <c r="J44" s="273" t="s">
        <v>52</v>
      </c>
      <c r="K44" s="274"/>
      <c r="L44" s="275"/>
      <c r="M44" s="286" t="s">
        <v>18</v>
      </c>
      <c r="N44" s="243"/>
      <c r="O44" s="244"/>
      <c r="P44" s="286" t="s">
        <v>42</v>
      </c>
      <c r="Q44" s="243"/>
      <c r="R44" s="244"/>
      <c r="S44" s="286" t="s">
        <v>30</v>
      </c>
      <c r="T44" s="243"/>
      <c r="U44" s="244"/>
      <c r="V44" s="234" t="s">
        <v>25</v>
      </c>
      <c r="W44" s="235"/>
      <c r="X44" s="236"/>
      <c r="Y44" s="234" t="s">
        <v>17</v>
      </c>
      <c r="Z44" s="235"/>
      <c r="AA44" s="236"/>
      <c r="AB44" s="218" t="s">
        <v>51</v>
      </c>
      <c r="AC44" s="219"/>
      <c r="AD44" s="220"/>
      <c r="AE44" s="234" t="s">
        <v>32</v>
      </c>
      <c r="AF44" s="235"/>
      <c r="AG44" s="236"/>
      <c r="AH44" s="234" t="s">
        <v>23</v>
      </c>
      <c r="AI44" s="235"/>
      <c r="AJ44" s="236"/>
      <c r="AK44" s="234"/>
      <c r="AL44" s="235"/>
      <c r="AM44" s="236"/>
      <c r="AN44" s="168" t="s">
        <v>0</v>
      </c>
      <c r="AO44" s="173" t="s">
        <v>1</v>
      </c>
    </row>
    <row r="45" spans="2:42" ht="15.75" customHeight="1" thickBot="1">
      <c r="B45" s="168"/>
      <c r="C45" s="168"/>
      <c r="D45" s="287"/>
      <c r="E45" s="245"/>
      <c r="F45" s="246"/>
      <c r="G45" s="276"/>
      <c r="H45" s="277"/>
      <c r="I45" s="278"/>
      <c r="J45" s="276"/>
      <c r="K45" s="277"/>
      <c r="L45" s="278"/>
      <c r="M45" s="287"/>
      <c r="N45" s="245"/>
      <c r="O45" s="246"/>
      <c r="P45" s="287"/>
      <c r="Q45" s="245"/>
      <c r="R45" s="246"/>
      <c r="S45" s="287"/>
      <c r="T45" s="245"/>
      <c r="U45" s="246"/>
      <c r="V45" s="237"/>
      <c r="W45" s="238"/>
      <c r="X45" s="239"/>
      <c r="Y45" s="237"/>
      <c r="Z45" s="238"/>
      <c r="AA45" s="239"/>
      <c r="AB45" s="221"/>
      <c r="AC45" s="222"/>
      <c r="AD45" s="223"/>
      <c r="AE45" s="237"/>
      <c r="AF45" s="238"/>
      <c r="AG45" s="239"/>
      <c r="AH45" s="237"/>
      <c r="AI45" s="238"/>
      <c r="AJ45" s="239"/>
      <c r="AK45" s="237"/>
      <c r="AL45" s="238"/>
      <c r="AM45" s="239"/>
      <c r="AN45" s="168"/>
      <c r="AO45" s="168"/>
      <c r="AP45" s="19"/>
    </row>
    <row r="46" spans="2:42" thickBot="1">
      <c r="B46" s="168"/>
      <c r="C46" s="168"/>
      <c r="D46" s="169">
        <v>13</v>
      </c>
      <c r="E46" s="170"/>
      <c r="F46" s="171"/>
      <c r="G46" s="169">
        <v>14</v>
      </c>
      <c r="H46" s="170"/>
      <c r="I46" s="171"/>
      <c r="J46" s="169">
        <v>15</v>
      </c>
      <c r="K46" s="170"/>
      <c r="L46" s="171"/>
      <c r="M46" s="169">
        <v>11</v>
      </c>
      <c r="N46" s="170"/>
      <c r="O46" s="171"/>
      <c r="P46" s="169">
        <v>17</v>
      </c>
      <c r="Q46" s="170"/>
      <c r="R46" s="171"/>
      <c r="S46" s="169">
        <v>18</v>
      </c>
      <c r="T46" s="170"/>
      <c r="U46" s="171"/>
      <c r="V46" s="169">
        <v>19</v>
      </c>
      <c r="W46" s="170"/>
      <c r="X46" s="171"/>
      <c r="Y46" s="169">
        <v>20</v>
      </c>
      <c r="Z46" s="170"/>
      <c r="AA46" s="171"/>
      <c r="AB46" s="169">
        <v>21</v>
      </c>
      <c r="AC46" s="170"/>
      <c r="AD46" s="171"/>
      <c r="AE46" s="169">
        <v>22</v>
      </c>
      <c r="AF46" s="170"/>
      <c r="AG46" s="171"/>
      <c r="AH46" s="169">
        <v>23</v>
      </c>
      <c r="AI46" s="170"/>
      <c r="AJ46" s="171"/>
      <c r="AK46" s="169">
        <v>24</v>
      </c>
      <c r="AL46" s="170"/>
      <c r="AM46" s="171"/>
      <c r="AN46" s="168"/>
      <c r="AO46" s="168"/>
    </row>
    <row r="47" spans="2:42" thickBot="1">
      <c r="B47" s="168"/>
      <c r="C47" s="168"/>
      <c r="D47" s="16"/>
      <c r="E47" s="17"/>
      <c r="F47" s="18"/>
      <c r="G47" s="3"/>
      <c r="H47" s="3"/>
      <c r="I47" s="4"/>
      <c r="J47" s="3"/>
      <c r="K47" s="3"/>
      <c r="L47" s="4"/>
      <c r="M47" s="5"/>
      <c r="N47" s="6"/>
      <c r="O47" s="7"/>
      <c r="P47" s="226"/>
      <c r="Q47" s="227"/>
      <c r="R47" s="230"/>
      <c r="S47" s="2"/>
      <c r="T47" s="3"/>
      <c r="U47" s="4"/>
      <c r="V47" s="2"/>
      <c r="W47" s="3"/>
      <c r="X47" s="4"/>
      <c r="Y47" s="2"/>
      <c r="Z47" s="3"/>
      <c r="AA47" s="4"/>
      <c r="AB47" s="231"/>
      <c r="AC47" s="232"/>
      <c r="AD47" s="233"/>
      <c r="AE47" s="231"/>
      <c r="AF47" s="232"/>
      <c r="AG47" s="233"/>
      <c r="AH47" s="5"/>
      <c r="AI47" s="6"/>
      <c r="AJ47" s="7"/>
      <c r="AK47" s="2"/>
      <c r="AL47" s="3"/>
      <c r="AM47" s="4"/>
      <c r="AN47" s="168"/>
      <c r="AO47" s="168"/>
    </row>
    <row r="48" spans="2:42" thickBot="1">
      <c r="B48" s="1"/>
      <c r="C48" s="44"/>
      <c r="D48" s="162">
        <f>SUM(F49:F80)</f>
        <v>9.4583333333333321</v>
      </c>
      <c r="E48" s="163"/>
      <c r="F48" s="163"/>
      <c r="G48" s="162">
        <f>SUM(I49:I80)</f>
        <v>6.375</v>
      </c>
      <c r="H48" s="163"/>
      <c r="I48" s="163"/>
      <c r="J48" s="162">
        <f>SUM(L49:L80)</f>
        <v>8.5416666666666661</v>
      </c>
      <c r="K48" s="163"/>
      <c r="L48" s="163"/>
      <c r="M48" s="162">
        <f t="shared" ref="M48" si="35">SUM(O49:O80)</f>
        <v>3.729166666666667</v>
      </c>
      <c r="N48" s="163"/>
      <c r="O48" s="164"/>
      <c r="P48" s="162">
        <f t="shared" ref="P48" si="36">SUM(R49:R80)</f>
        <v>7.9583333333333339</v>
      </c>
      <c r="Q48" s="163"/>
      <c r="R48" s="163"/>
      <c r="S48" s="162">
        <f t="shared" ref="S48" si="37">SUM(U49:U80)</f>
        <v>3.5</v>
      </c>
      <c r="T48" s="163"/>
      <c r="U48" s="163"/>
      <c r="V48" s="162">
        <f t="shared" ref="V48" si="38">SUM(X49:X80)</f>
        <v>1.7083333333333335</v>
      </c>
      <c r="W48" s="163"/>
      <c r="X48" s="163"/>
      <c r="Y48" s="162">
        <f t="shared" ref="Y48" si="39">SUM(AA49:AA80)</f>
        <v>8.8333333333333321</v>
      </c>
      <c r="Z48" s="163"/>
      <c r="AA48" s="163"/>
      <c r="AB48" s="162">
        <f t="shared" ref="AB48" si="40">SUM(AD49:AD80)</f>
        <v>2.875</v>
      </c>
      <c r="AC48" s="163"/>
      <c r="AD48" s="163"/>
      <c r="AE48" s="162">
        <f t="shared" ref="AE48" si="41">SUM(AG49:AG80)</f>
        <v>2.875</v>
      </c>
      <c r="AF48" s="163"/>
      <c r="AG48" s="163"/>
      <c r="AH48" s="162">
        <f t="shared" ref="AH48" si="42">SUM(AJ49:AJ80)</f>
        <v>3.4583333333333335</v>
      </c>
      <c r="AI48" s="163"/>
      <c r="AJ48" s="163"/>
      <c r="AK48" s="162">
        <f t="shared" ref="AK48" si="43">SUM(AM49:AM80)</f>
        <v>0</v>
      </c>
      <c r="AL48" s="163"/>
      <c r="AM48" s="163"/>
      <c r="AN48" s="8"/>
      <c r="AO48" s="45"/>
      <c r="AP48" s="19">
        <f>SUM(D48:AO48)</f>
        <v>59.312500000000007</v>
      </c>
    </row>
    <row r="49" spans="2:41" ht="14.4">
      <c r="B49" s="112">
        <v>1</v>
      </c>
      <c r="C49" s="113" t="s">
        <v>8</v>
      </c>
      <c r="D49" s="114"/>
      <c r="E49" s="115"/>
      <c r="F49" s="126">
        <f>(IF(D49="u",0.333333333,IF(D49="W",0,IF(D49="C",F49,IF(D49="op",F49,(E49-D49))))))</f>
        <v>0</v>
      </c>
      <c r="G49" s="135">
        <v>0.66666666666666663</v>
      </c>
      <c r="H49" s="136">
        <v>1.1666666666666667</v>
      </c>
      <c r="I49" s="138">
        <f t="shared" ref="I49:I68" si="44">(IF(G49="u",0.333333333,IF(G49="W",0,IF(G49="C",I49,IF(G49="op",I49,(H49-G49))))))</f>
        <v>0.50000000000000011</v>
      </c>
      <c r="J49" s="114">
        <v>0.39583333333333331</v>
      </c>
      <c r="K49" s="115">
        <v>0.5625</v>
      </c>
      <c r="L49" s="127">
        <f t="shared" ref="L49:L68" si="45">(IF(J49="u",0.333333333,IF(J49="W",0,IF(J49="C",L49,IF(J49="op",L49,(K49-J49))))))</f>
        <v>0.16666666666666669</v>
      </c>
      <c r="M49" s="114" t="s">
        <v>111</v>
      </c>
      <c r="N49" s="115"/>
      <c r="O49" s="116">
        <f t="shared" ref="O49:O68" si="46">(IF(M49="u",0.333333333,IF(M49="W",0,IF(M49="C",O49,IF(M49="op",O49,(N49-M49))))))</f>
        <v>0</v>
      </c>
      <c r="P49" s="114">
        <v>0.66666666666666663</v>
      </c>
      <c r="Q49" s="115">
        <v>1.125</v>
      </c>
      <c r="R49" s="127">
        <f t="shared" ref="R49:R68" si="47">(IF(P49="u",0.333333333,IF(P49="W",0,IF(P49="C",R49,IF(P49="op",R49,(Q49-P49))))))</f>
        <v>0.45833333333333337</v>
      </c>
      <c r="S49" s="114" t="s">
        <v>111</v>
      </c>
      <c r="T49" s="115"/>
      <c r="U49" s="127">
        <f t="shared" ref="U49:U66" si="48">(IF(S49="u",0.333333333,IF(S49="W",0,IF(S49="C",U49,IF(S49="op",U49,(T49-S49))))))</f>
        <v>0</v>
      </c>
      <c r="V49" s="114" t="s">
        <v>111</v>
      </c>
      <c r="W49" s="115"/>
      <c r="X49" s="127">
        <f>(IF(V49="u",0.333333333,IF(V49="W",0,IF(V49="C",X49,IF(V49="op",X49,(W49-V49))))))</f>
        <v>0</v>
      </c>
      <c r="Y49" s="114" t="s">
        <v>111</v>
      </c>
      <c r="Z49" s="115"/>
      <c r="AA49" s="128">
        <f t="shared" ref="AA49:AA68" si="49">(IF(Y49="u",0.333333333,IF(Y49="W",0,IF(Y49="C",AA49,IF(Y49="op",AA49,(Z49-Y49))))))</f>
        <v>0</v>
      </c>
      <c r="AB49" s="114" t="s">
        <v>111</v>
      </c>
      <c r="AC49" s="115"/>
      <c r="AD49" s="116">
        <f t="shared" ref="AD49:AD68" si="50">(IF(AB49="u",0.333333333,IF(AB49="W",0,IF(AB49="C",AD49,IF(AB49="op",AD49,(AC49-AB49))))))</f>
        <v>0</v>
      </c>
      <c r="AE49" s="114">
        <v>0.16666666666666666</v>
      </c>
      <c r="AF49" s="115">
        <v>0.66666666666666663</v>
      </c>
      <c r="AG49" s="116">
        <f t="shared" ref="AG49:AG68" si="51">(IF(AE49="u",0.333333333,IF(AE49="W",0,IF(AE49="C",AG49,IF(AE49="op",AG49,(AF49-AE49))))))</f>
        <v>0.5</v>
      </c>
      <c r="AH49" s="114" t="s">
        <v>111</v>
      </c>
      <c r="AI49" s="115"/>
      <c r="AJ49" s="127">
        <f t="shared" ref="AJ49:AJ68" si="52">(IF(AH49="u",0.333333333,IF(AH49="W",0,IF(AH49="C",AJ49,IF(AH49="op",AJ49,(AI49-AH49))))))</f>
        <v>0</v>
      </c>
      <c r="AK49" s="114"/>
      <c r="AL49" s="115"/>
      <c r="AM49" s="127">
        <f t="shared" ref="AM49:AM60" si="53">(IF(AK49="u",0.333333333,IF(AK49="W",0,IF(AK49="C",AM49,IF(AK49="op",AM49,(AL49-AK49))))))</f>
        <v>0</v>
      </c>
      <c r="AN49" s="112">
        <v>1</v>
      </c>
      <c r="AO49" s="113" t="s">
        <v>8</v>
      </c>
    </row>
    <row r="50" spans="2:41" ht="14.4">
      <c r="B50" s="118">
        <v>2</v>
      </c>
      <c r="C50" s="113" t="s">
        <v>12</v>
      </c>
      <c r="D50" s="119">
        <v>0.625</v>
      </c>
      <c r="E50" s="120">
        <v>1.125</v>
      </c>
      <c r="F50" s="129">
        <f>(IF(D50="u",0.333333333,IF(D50="W",0,IF(D50="C",F50,IF(D50="op",F50,(E50-D50))))))</f>
        <v>0.5</v>
      </c>
      <c r="G50" s="139">
        <v>0.66666666666666663</v>
      </c>
      <c r="H50" s="140">
        <v>1.1666666666666667</v>
      </c>
      <c r="I50" s="142">
        <f t="shared" si="44"/>
        <v>0.50000000000000011</v>
      </c>
      <c r="J50" s="139">
        <v>0.14583333333333334</v>
      </c>
      <c r="K50" s="140">
        <v>0.64583333333333337</v>
      </c>
      <c r="L50" s="142">
        <f>(IF(J50="u",0.333333333,IF(J50="W",0,IF(J50="C",L50,IF(J50="op",L50,(K50-J50))))))</f>
        <v>0.5</v>
      </c>
      <c r="M50" s="119" t="s">
        <v>111</v>
      </c>
      <c r="N50" s="120"/>
      <c r="O50" s="121">
        <f t="shared" si="46"/>
        <v>0</v>
      </c>
      <c r="P50" s="119" t="s">
        <v>111</v>
      </c>
      <c r="Q50" s="159"/>
      <c r="R50" s="128">
        <f t="shared" si="47"/>
        <v>0</v>
      </c>
      <c r="S50" s="119" t="s">
        <v>111</v>
      </c>
      <c r="T50" s="120"/>
      <c r="U50" s="128">
        <f t="shared" si="48"/>
        <v>0</v>
      </c>
      <c r="V50" s="119" t="s">
        <v>111</v>
      </c>
      <c r="W50" s="120"/>
      <c r="X50" s="128">
        <f t="shared" ref="X50:X68" si="54">(IF(V50="u",0.333333333,IF(V50="W",0,IF(V50="C",X50,IF(V50="op",X50,(W50-V50))))))</f>
        <v>0</v>
      </c>
      <c r="Y50" s="119" t="s">
        <v>111</v>
      </c>
      <c r="Z50" s="120"/>
      <c r="AA50" s="128">
        <f t="shared" si="49"/>
        <v>0</v>
      </c>
      <c r="AB50" s="119" t="s">
        <v>111</v>
      </c>
      <c r="AC50" s="120"/>
      <c r="AD50" s="121">
        <f t="shared" si="50"/>
        <v>0</v>
      </c>
      <c r="AE50" s="119">
        <v>0.16666666666666666</v>
      </c>
      <c r="AF50" s="120">
        <v>0.66666666666666663</v>
      </c>
      <c r="AG50" s="121">
        <f t="shared" si="51"/>
        <v>0.5</v>
      </c>
      <c r="AH50" s="119" t="s">
        <v>111</v>
      </c>
      <c r="AI50" s="120"/>
      <c r="AJ50" s="128">
        <f t="shared" si="52"/>
        <v>0</v>
      </c>
      <c r="AK50" s="119"/>
      <c r="AL50" s="120"/>
      <c r="AM50" s="128">
        <f t="shared" si="53"/>
        <v>0</v>
      </c>
      <c r="AN50" s="118">
        <v>2</v>
      </c>
      <c r="AO50" s="113" t="s">
        <v>12</v>
      </c>
    </row>
    <row r="51" spans="2:41" ht="14.4">
      <c r="B51" s="118">
        <v>3</v>
      </c>
      <c r="C51" s="113" t="s">
        <v>85</v>
      </c>
      <c r="D51" s="119" t="s">
        <v>111</v>
      </c>
      <c r="E51" s="120"/>
      <c r="F51" s="129">
        <f t="shared" ref="F51:F62" si="55">(IF(D51="u",0.333333333,IF(D51="W",0,IF(D51="C",F51,IF(D51="op",F51,(E51-D51))))))</f>
        <v>0</v>
      </c>
      <c r="G51" s="119" t="s">
        <v>111</v>
      </c>
      <c r="H51" s="120"/>
      <c r="I51" s="128">
        <f t="shared" si="44"/>
        <v>0</v>
      </c>
      <c r="J51" s="139">
        <v>0.14583333333333334</v>
      </c>
      <c r="K51" s="140">
        <v>0.64583333333333337</v>
      </c>
      <c r="L51" s="142">
        <f>(IF(J51="u",0.333333333,IF(J51="W",0,IF(J51="C",L51,IF(J51="op",L51,(K51-J51))))))</f>
        <v>0.5</v>
      </c>
      <c r="M51" s="119" t="s">
        <v>111</v>
      </c>
      <c r="N51" s="120"/>
      <c r="O51" s="121">
        <f t="shared" si="46"/>
        <v>0</v>
      </c>
      <c r="P51" s="119" t="s">
        <v>111</v>
      </c>
      <c r="Q51" s="120"/>
      <c r="R51" s="128">
        <f t="shared" si="47"/>
        <v>0</v>
      </c>
      <c r="S51" s="119" t="s">
        <v>111</v>
      </c>
      <c r="T51" s="120"/>
      <c r="U51" s="128">
        <f t="shared" si="48"/>
        <v>0</v>
      </c>
      <c r="V51" s="119" t="s">
        <v>111</v>
      </c>
      <c r="W51" s="120"/>
      <c r="X51" s="128">
        <f t="shared" si="54"/>
        <v>0</v>
      </c>
      <c r="Y51" s="119">
        <v>0.33333333333333331</v>
      </c>
      <c r="Z51" s="120">
        <v>0.83333333333333337</v>
      </c>
      <c r="AA51" s="128">
        <f t="shared" si="49"/>
        <v>0.5</v>
      </c>
      <c r="AB51" s="119" t="s">
        <v>111</v>
      </c>
      <c r="AC51" s="120"/>
      <c r="AD51" s="121">
        <f t="shared" si="50"/>
        <v>0</v>
      </c>
      <c r="AE51" s="119">
        <v>0.125</v>
      </c>
      <c r="AF51" s="120">
        <v>0.58333333333333337</v>
      </c>
      <c r="AG51" s="121">
        <f t="shared" si="51"/>
        <v>0.45833333333333337</v>
      </c>
      <c r="AH51" s="119">
        <v>0.625</v>
      </c>
      <c r="AI51" s="120">
        <v>1.125</v>
      </c>
      <c r="AJ51" s="128">
        <f t="shared" si="52"/>
        <v>0.5</v>
      </c>
      <c r="AK51" s="119"/>
      <c r="AL51" s="120"/>
      <c r="AM51" s="128">
        <f t="shared" si="53"/>
        <v>0</v>
      </c>
      <c r="AN51" s="118">
        <v>3</v>
      </c>
      <c r="AO51" s="113" t="s">
        <v>85</v>
      </c>
    </row>
    <row r="52" spans="2:41" ht="14.4">
      <c r="B52" s="118">
        <v>4</v>
      </c>
      <c r="C52" s="113" t="s">
        <v>4</v>
      </c>
      <c r="D52" s="119">
        <v>0.66666666666666663</v>
      </c>
      <c r="E52" s="120">
        <v>1.1666666666666667</v>
      </c>
      <c r="F52" s="129">
        <f t="shared" si="55"/>
        <v>0.50000000000000011</v>
      </c>
      <c r="G52" s="119">
        <v>0.66666666666666663</v>
      </c>
      <c r="H52" s="120">
        <v>1.1666666666666667</v>
      </c>
      <c r="I52" s="128">
        <f t="shared" si="44"/>
        <v>0.50000000000000011</v>
      </c>
      <c r="J52" s="119">
        <v>0.47916666666666669</v>
      </c>
      <c r="K52" s="120">
        <v>1.125</v>
      </c>
      <c r="L52" s="128">
        <f t="shared" si="45"/>
        <v>0.64583333333333326</v>
      </c>
      <c r="M52" s="119" t="s">
        <v>111</v>
      </c>
      <c r="N52" s="120"/>
      <c r="O52" s="121">
        <f t="shared" si="46"/>
        <v>0</v>
      </c>
      <c r="P52" s="119" t="s">
        <v>111</v>
      </c>
      <c r="Q52" s="120"/>
      <c r="R52" s="128">
        <f t="shared" si="47"/>
        <v>0</v>
      </c>
      <c r="S52" s="119">
        <v>0.625</v>
      </c>
      <c r="T52" s="120">
        <v>1.125</v>
      </c>
      <c r="U52" s="128">
        <f t="shared" si="48"/>
        <v>0.5</v>
      </c>
      <c r="V52" s="119" t="s">
        <v>111</v>
      </c>
      <c r="W52" s="120"/>
      <c r="X52" s="128">
        <f t="shared" si="54"/>
        <v>0</v>
      </c>
      <c r="Y52" s="119">
        <v>0.33333333333333331</v>
      </c>
      <c r="Z52" s="120">
        <v>0.83333333333333337</v>
      </c>
      <c r="AA52" s="128">
        <f t="shared" si="49"/>
        <v>0.5</v>
      </c>
      <c r="AB52" s="119" t="s">
        <v>111</v>
      </c>
      <c r="AC52" s="120"/>
      <c r="AD52" s="121">
        <f t="shared" si="50"/>
        <v>0</v>
      </c>
      <c r="AE52" s="119" t="s">
        <v>111</v>
      </c>
      <c r="AF52" s="120"/>
      <c r="AG52" s="121">
        <f t="shared" si="51"/>
        <v>0</v>
      </c>
      <c r="AH52" s="119">
        <v>0.625</v>
      </c>
      <c r="AI52" s="120">
        <v>1.125</v>
      </c>
      <c r="AJ52" s="128">
        <f t="shared" si="52"/>
        <v>0.5</v>
      </c>
      <c r="AK52" s="119"/>
      <c r="AL52" s="120"/>
      <c r="AM52" s="128">
        <f t="shared" si="53"/>
        <v>0</v>
      </c>
      <c r="AN52" s="118">
        <v>4</v>
      </c>
      <c r="AO52" s="113" t="s">
        <v>4</v>
      </c>
    </row>
    <row r="53" spans="2:41" ht="14.4">
      <c r="B53" s="86">
        <v>5</v>
      </c>
      <c r="C53" s="87" t="s">
        <v>5</v>
      </c>
      <c r="D53" s="88">
        <v>0.625</v>
      </c>
      <c r="E53" s="89">
        <v>1.125</v>
      </c>
      <c r="F53" s="93">
        <f>(IF(D53="u",0.333333333,IF(D53="W",0,IF(D53="C",F53,IF(D53="op",F53,(E53-D53))))))</f>
        <v>0.5</v>
      </c>
      <c r="G53" s="88" t="s">
        <v>111</v>
      </c>
      <c r="H53" s="89"/>
      <c r="I53" s="92">
        <f t="shared" si="44"/>
        <v>0</v>
      </c>
      <c r="J53" s="88" t="s">
        <v>111</v>
      </c>
      <c r="K53" s="89"/>
      <c r="L53" s="92">
        <f t="shared" si="45"/>
        <v>0</v>
      </c>
      <c r="M53" s="88">
        <v>0.14583333333333334</v>
      </c>
      <c r="N53" s="89">
        <v>0.64583333333333337</v>
      </c>
      <c r="O53" s="90">
        <f t="shared" si="46"/>
        <v>0.5</v>
      </c>
      <c r="P53" s="88" t="s">
        <v>111</v>
      </c>
      <c r="Q53" s="89"/>
      <c r="R53" s="92">
        <f t="shared" si="47"/>
        <v>0</v>
      </c>
      <c r="S53" s="88">
        <v>0.625</v>
      </c>
      <c r="T53" s="89">
        <v>1.125</v>
      </c>
      <c r="U53" s="92">
        <f t="shared" si="48"/>
        <v>0.5</v>
      </c>
      <c r="V53" s="88">
        <v>0.14583333333333334</v>
      </c>
      <c r="W53" s="89">
        <v>0.64583333333333337</v>
      </c>
      <c r="X53" s="92">
        <f t="shared" si="54"/>
        <v>0.5</v>
      </c>
      <c r="Y53" s="88" t="s">
        <v>111</v>
      </c>
      <c r="Z53" s="89"/>
      <c r="AA53" s="92">
        <f t="shared" si="49"/>
        <v>0</v>
      </c>
      <c r="AB53" s="88" t="s">
        <v>111</v>
      </c>
      <c r="AC53" s="89"/>
      <c r="AD53" s="90">
        <f t="shared" si="50"/>
        <v>0</v>
      </c>
      <c r="AE53" s="88">
        <v>0.125</v>
      </c>
      <c r="AF53" s="89">
        <v>0.54166666666666663</v>
      </c>
      <c r="AG53" s="90">
        <f t="shared" si="51"/>
        <v>0.41666666666666663</v>
      </c>
      <c r="AH53" s="88" t="s">
        <v>111</v>
      </c>
      <c r="AI53" s="89"/>
      <c r="AJ53" s="92">
        <f t="shared" si="52"/>
        <v>0</v>
      </c>
      <c r="AK53" s="88"/>
      <c r="AL53" s="89"/>
      <c r="AM53" s="92">
        <f t="shared" si="53"/>
        <v>0</v>
      </c>
      <c r="AN53" s="86">
        <v>5</v>
      </c>
      <c r="AO53" s="87" t="s">
        <v>5</v>
      </c>
    </row>
    <row r="54" spans="2:41" ht="14.4">
      <c r="B54" s="86">
        <v>6</v>
      </c>
      <c r="C54" s="87" t="s">
        <v>6</v>
      </c>
      <c r="D54" s="88">
        <v>0.66666666666666663</v>
      </c>
      <c r="E54" s="89">
        <v>1.1666666666666667</v>
      </c>
      <c r="F54" s="93">
        <f t="shared" si="55"/>
        <v>0.50000000000000011</v>
      </c>
      <c r="G54" s="88" t="s">
        <v>111</v>
      </c>
      <c r="H54" s="89"/>
      <c r="I54" s="92">
        <f t="shared" si="44"/>
        <v>0</v>
      </c>
      <c r="J54" s="88">
        <v>0.14583333333333334</v>
      </c>
      <c r="K54" s="89">
        <v>0.64583333333333337</v>
      </c>
      <c r="L54" s="92">
        <f t="shared" si="45"/>
        <v>0.5</v>
      </c>
      <c r="M54" s="88" t="s">
        <v>111</v>
      </c>
      <c r="N54" s="89"/>
      <c r="O54" s="90">
        <f t="shared" si="46"/>
        <v>0</v>
      </c>
      <c r="P54" s="88" t="s">
        <v>111</v>
      </c>
      <c r="Q54" s="89"/>
      <c r="R54" s="92">
        <f t="shared" si="47"/>
        <v>0</v>
      </c>
      <c r="S54" s="88" t="s">
        <v>111</v>
      </c>
      <c r="T54" s="89"/>
      <c r="U54" s="92">
        <f t="shared" si="48"/>
        <v>0</v>
      </c>
      <c r="V54" s="88"/>
      <c r="W54" s="89"/>
      <c r="X54" s="92">
        <f t="shared" si="54"/>
        <v>0</v>
      </c>
      <c r="Y54" s="88" t="s">
        <v>111</v>
      </c>
      <c r="Z54" s="89"/>
      <c r="AA54" s="92">
        <f t="shared" si="49"/>
        <v>0</v>
      </c>
      <c r="AB54" s="88" t="s">
        <v>111</v>
      </c>
      <c r="AC54" s="89"/>
      <c r="AD54" s="90">
        <f t="shared" si="50"/>
        <v>0</v>
      </c>
      <c r="AE54" s="88" t="s">
        <v>111</v>
      </c>
      <c r="AF54" s="89"/>
      <c r="AG54" s="90">
        <f t="shared" si="51"/>
        <v>0</v>
      </c>
      <c r="AH54" s="88" t="s">
        <v>111</v>
      </c>
      <c r="AI54" s="89"/>
      <c r="AJ54" s="92">
        <f t="shared" si="52"/>
        <v>0</v>
      </c>
      <c r="AK54" s="88"/>
      <c r="AL54" s="89"/>
      <c r="AM54" s="92">
        <f t="shared" si="53"/>
        <v>0</v>
      </c>
      <c r="AN54" s="86">
        <v>6</v>
      </c>
      <c r="AO54" s="87" t="s">
        <v>6</v>
      </c>
    </row>
    <row r="55" spans="2:41" ht="14.4">
      <c r="B55" s="118">
        <v>7</v>
      </c>
      <c r="C55" s="113" t="s">
        <v>7</v>
      </c>
      <c r="D55" s="119">
        <v>0.625</v>
      </c>
      <c r="E55" s="120">
        <v>1.125</v>
      </c>
      <c r="F55" s="129">
        <f t="shared" si="55"/>
        <v>0.5</v>
      </c>
      <c r="G55" s="119" t="s">
        <v>111</v>
      </c>
      <c r="H55" s="120"/>
      <c r="I55" s="128">
        <f t="shared" si="44"/>
        <v>0</v>
      </c>
      <c r="J55" s="119">
        <v>0.14583333333333334</v>
      </c>
      <c r="K55" s="120">
        <v>0.64583333333333337</v>
      </c>
      <c r="L55" s="128">
        <f t="shared" si="45"/>
        <v>0.5</v>
      </c>
      <c r="M55" s="119">
        <v>0.66666666666666663</v>
      </c>
      <c r="N55" s="120">
        <v>1.1666666666666667</v>
      </c>
      <c r="O55" s="121">
        <f t="shared" si="46"/>
        <v>0.50000000000000011</v>
      </c>
      <c r="P55" s="119">
        <v>0.625</v>
      </c>
      <c r="Q55" s="120">
        <v>1.125</v>
      </c>
      <c r="R55" s="128">
        <f t="shared" si="47"/>
        <v>0.5</v>
      </c>
      <c r="S55" s="119" t="s">
        <v>111</v>
      </c>
      <c r="T55" s="120"/>
      <c r="U55" s="128">
        <f t="shared" si="48"/>
        <v>0</v>
      </c>
      <c r="V55" s="132">
        <v>0.375</v>
      </c>
      <c r="W55" s="133">
        <v>0.58333333333333337</v>
      </c>
      <c r="X55" s="148">
        <f t="shared" si="54"/>
        <v>0.20833333333333337</v>
      </c>
      <c r="Y55" s="119"/>
      <c r="Z55" s="120"/>
      <c r="AA55" s="128">
        <f t="shared" si="49"/>
        <v>0</v>
      </c>
      <c r="AB55" s="119" t="s">
        <v>111</v>
      </c>
      <c r="AC55" s="120"/>
      <c r="AD55" s="121">
        <f t="shared" si="50"/>
        <v>0</v>
      </c>
      <c r="AE55" s="119">
        <v>0.14583333333333334</v>
      </c>
      <c r="AF55" s="120">
        <v>0.64583333333333337</v>
      </c>
      <c r="AG55" s="121">
        <f t="shared" si="51"/>
        <v>0.5</v>
      </c>
      <c r="AH55" s="119" t="s">
        <v>111</v>
      </c>
      <c r="AI55" s="120"/>
      <c r="AJ55" s="128">
        <f t="shared" si="52"/>
        <v>0</v>
      </c>
      <c r="AK55" s="119"/>
      <c r="AL55" s="120"/>
      <c r="AM55" s="128">
        <f t="shared" si="53"/>
        <v>0</v>
      </c>
      <c r="AN55" s="118">
        <v>7</v>
      </c>
      <c r="AO55" s="113" t="s">
        <v>7</v>
      </c>
    </row>
    <row r="56" spans="2:41" ht="14.4">
      <c r="B56" s="118">
        <v>8</v>
      </c>
      <c r="C56" s="113" t="s">
        <v>8</v>
      </c>
      <c r="D56" s="119">
        <v>0.66666666666666663</v>
      </c>
      <c r="E56" s="120">
        <v>1.1666666666666667</v>
      </c>
      <c r="F56" s="129">
        <f t="shared" si="55"/>
        <v>0.50000000000000011</v>
      </c>
      <c r="G56" s="119" t="s">
        <v>111</v>
      </c>
      <c r="H56" s="120"/>
      <c r="I56" s="128">
        <f t="shared" ref="I56" si="56">(IF(G56="u",0.333333333,IF(G56="W",0,IF(G56="C",I56,IF(G56="op",I56,(H56-G56))))))</f>
        <v>0</v>
      </c>
      <c r="J56" s="119">
        <v>0.14583333333333334</v>
      </c>
      <c r="K56" s="120">
        <v>0.64583333333333337</v>
      </c>
      <c r="L56" s="128">
        <f t="shared" si="45"/>
        <v>0.5</v>
      </c>
      <c r="M56" s="119" t="s">
        <v>111</v>
      </c>
      <c r="N56" s="120"/>
      <c r="O56" s="121">
        <f t="shared" si="46"/>
        <v>0</v>
      </c>
      <c r="P56" s="119">
        <v>0.625</v>
      </c>
      <c r="Q56" s="120">
        <v>1.125</v>
      </c>
      <c r="R56" s="128">
        <f t="shared" si="47"/>
        <v>0.5</v>
      </c>
      <c r="S56" s="119" t="s">
        <v>111</v>
      </c>
      <c r="T56" s="120"/>
      <c r="U56" s="128">
        <f t="shared" si="48"/>
        <v>0</v>
      </c>
      <c r="V56" s="119" t="s">
        <v>111</v>
      </c>
      <c r="W56" s="120"/>
      <c r="X56" s="128">
        <f t="shared" si="54"/>
        <v>0</v>
      </c>
      <c r="Y56" s="119">
        <v>0.29166666666666669</v>
      </c>
      <c r="Z56" s="120">
        <v>0.79166666666666663</v>
      </c>
      <c r="AA56" s="128">
        <f t="shared" si="49"/>
        <v>0.49999999999999994</v>
      </c>
      <c r="AB56" s="119"/>
      <c r="AC56" s="120"/>
      <c r="AD56" s="121">
        <f t="shared" si="50"/>
        <v>0</v>
      </c>
      <c r="AE56" s="119" t="s">
        <v>111</v>
      </c>
      <c r="AF56" s="120"/>
      <c r="AG56" s="121">
        <f t="shared" si="51"/>
        <v>0</v>
      </c>
      <c r="AH56" s="119" t="s">
        <v>111</v>
      </c>
      <c r="AI56" s="120"/>
      <c r="AJ56" s="128">
        <f t="shared" si="52"/>
        <v>0</v>
      </c>
      <c r="AK56" s="119"/>
      <c r="AL56" s="120"/>
      <c r="AM56" s="128">
        <f t="shared" si="53"/>
        <v>0</v>
      </c>
      <c r="AN56" s="118">
        <v>8</v>
      </c>
      <c r="AO56" s="113" t="s">
        <v>8</v>
      </c>
    </row>
    <row r="57" spans="2:41" ht="14.4">
      <c r="B57" s="118">
        <v>9</v>
      </c>
      <c r="C57" s="113" t="s">
        <v>12</v>
      </c>
      <c r="D57" s="119">
        <v>0.625</v>
      </c>
      <c r="E57" s="120">
        <v>1.125</v>
      </c>
      <c r="F57" s="129">
        <f t="shared" si="55"/>
        <v>0.5</v>
      </c>
      <c r="G57" s="119">
        <v>0.625</v>
      </c>
      <c r="H57" s="120">
        <v>1.125</v>
      </c>
      <c r="I57" s="128">
        <f t="shared" si="44"/>
        <v>0.5</v>
      </c>
      <c r="J57" s="139">
        <v>0.66666666666666663</v>
      </c>
      <c r="K57" s="140">
        <v>1.1666666666666667</v>
      </c>
      <c r="L57" s="142">
        <f t="shared" si="45"/>
        <v>0.50000000000000011</v>
      </c>
      <c r="M57" s="119" t="s">
        <v>111</v>
      </c>
      <c r="N57" s="120"/>
      <c r="O57" s="121">
        <f t="shared" si="46"/>
        <v>0</v>
      </c>
      <c r="P57" s="119">
        <v>0.66666666666666663</v>
      </c>
      <c r="Q57" s="120">
        <v>1.1666666666666667</v>
      </c>
      <c r="R57" s="128">
        <f t="shared" si="47"/>
        <v>0.50000000000000011</v>
      </c>
      <c r="S57" s="119" t="s">
        <v>111</v>
      </c>
      <c r="T57" s="120"/>
      <c r="U57" s="128">
        <f t="shared" si="48"/>
        <v>0</v>
      </c>
      <c r="V57" s="119" t="s">
        <v>111</v>
      </c>
      <c r="W57" s="120"/>
      <c r="X57" s="128">
        <f t="shared" si="54"/>
        <v>0</v>
      </c>
      <c r="Y57" s="119">
        <v>0.29166666666666669</v>
      </c>
      <c r="Z57" s="120">
        <v>0.79166666666666663</v>
      </c>
      <c r="AA57" s="128">
        <f t="shared" si="49"/>
        <v>0.49999999999999994</v>
      </c>
      <c r="AB57" s="119" t="s">
        <v>111</v>
      </c>
      <c r="AC57" s="120"/>
      <c r="AD57" s="121">
        <f t="shared" si="50"/>
        <v>0</v>
      </c>
      <c r="AE57" s="119">
        <v>0.14583333333333334</v>
      </c>
      <c r="AF57" s="120">
        <v>0.64583333333333337</v>
      </c>
      <c r="AG57" s="121">
        <f t="shared" si="51"/>
        <v>0.5</v>
      </c>
      <c r="AH57" s="119" t="s">
        <v>111</v>
      </c>
      <c r="AI57" s="120"/>
      <c r="AJ57" s="128">
        <f t="shared" si="52"/>
        <v>0</v>
      </c>
      <c r="AK57" s="119"/>
      <c r="AL57" s="120"/>
      <c r="AM57" s="128">
        <f t="shared" si="53"/>
        <v>0</v>
      </c>
      <c r="AN57" s="118">
        <v>9</v>
      </c>
      <c r="AO57" s="113" t="s">
        <v>12</v>
      </c>
    </row>
    <row r="58" spans="2:41" ht="14.4">
      <c r="B58" s="118">
        <v>10</v>
      </c>
      <c r="C58" s="113" t="s">
        <v>85</v>
      </c>
      <c r="D58" s="119" t="s">
        <v>111</v>
      </c>
      <c r="E58" s="120"/>
      <c r="F58" s="129">
        <f t="shared" si="55"/>
        <v>0</v>
      </c>
      <c r="G58" s="119" t="s">
        <v>111</v>
      </c>
      <c r="H58" s="120"/>
      <c r="I58" s="128">
        <f t="shared" si="44"/>
        <v>0</v>
      </c>
      <c r="J58" s="119" t="s">
        <v>111</v>
      </c>
      <c r="K58" s="120"/>
      <c r="L58" s="128">
        <f t="shared" si="45"/>
        <v>0</v>
      </c>
      <c r="M58" s="119" t="s">
        <v>111</v>
      </c>
      <c r="N58" s="120"/>
      <c r="O58" s="121">
        <f t="shared" si="46"/>
        <v>0</v>
      </c>
      <c r="P58" s="119">
        <v>0.66666666666666663</v>
      </c>
      <c r="Q58" s="120">
        <v>1.1666666666666667</v>
      </c>
      <c r="R58" s="128">
        <f t="shared" si="47"/>
        <v>0.50000000000000011</v>
      </c>
      <c r="S58" s="119" t="s">
        <v>111</v>
      </c>
      <c r="T58" s="120"/>
      <c r="U58" s="128">
        <f t="shared" si="48"/>
        <v>0</v>
      </c>
      <c r="V58" s="119" t="s">
        <v>111</v>
      </c>
      <c r="W58" s="120"/>
      <c r="X58" s="128">
        <f t="shared" si="54"/>
        <v>0</v>
      </c>
      <c r="Y58" s="119">
        <v>0.33333333333333331</v>
      </c>
      <c r="Z58" s="120">
        <v>0.83333333333333337</v>
      </c>
      <c r="AA58" s="128">
        <f t="shared" si="49"/>
        <v>0.5</v>
      </c>
      <c r="AB58" s="119" t="s">
        <v>111</v>
      </c>
      <c r="AC58" s="120"/>
      <c r="AD58" s="121">
        <f t="shared" si="50"/>
        <v>0</v>
      </c>
      <c r="AE58" s="119" t="s">
        <v>111</v>
      </c>
      <c r="AF58" s="120"/>
      <c r="AG58" s="121">
        <f t="shared" si="51"/>
        <v>0</v>
      </c>
      <c r="AH58" s="119">
        <v>0.625</v>
      </c>
      <c r="AI58" s="120">
        <v>1.125</v>
      </c>
      <c r="AJ58" s="128">
        <f t="shared" si="52"/>
        <v>0.5</v>
      </c>
      <c r="AK58" s="119"/>
      <c r="AL58" s="120"/>
      <c r="AM58" s="128">
        <f t="shared" si="53"/>
        <v>0</v>
      </c>
      <c r="AN58" s="118">
        <v>10</v>
      </c>
      <c r="AO58" s="113" t="s">
        <v>85</v>
      </c>
    </row>
    <row r="59" spans="2:41" ht="14.4">
      <c r="B59" s="118">
        <v>11</v>
      </c>
      <c r="C59" s="113" t="s">
        <v>4</v>
      </c>
      <c r="D59" s="119" t="s">
        <v>111</v>
      </c>
      <c r="E59" s="120"/>
      <c r="F59" s="129">
        <f t="shared" si="55"/>
        <v>0</v>
      </c>
      <c r="G59" s="119" t="s">
        <v>111</v>
      </c>
      <c r="H59" s="120"/>
      <c r="I59" s="128">
        <f t="shared" si="44"/>
        <v>0</v>
      </c>
      <c r="J59" s="119">
        <v>0.14583333333333334</v>
      </c>
      <c r="K59" s="120">
        <v>0.64583333333333337</v>
      </c>
      <c r="L59" s="128">
        <f t="shared" si="45"/>
        <v>0.5</v>
      </c>
      <c r="M59" s="119" t="s">
        <v>111</v>
      </c>
      <c r="N59" s="120"/>
      <c r="O59" s="121">
        <f t="shared" si="46"/>
        <v>0</v>
      </c>
      <c r="P59" s="119" t="s">
        <v>111</v>
      </c>
      <c r="Q59" s="120"/>
      <c r="R59" s="128">
        <f t="shared" si="47"/>
        <v>0</v>
      </c>
      <c r="S59" s="119">
        <v>0.625</v>
      </c>
      <c r="T59" s="120">
        <v>1.125</v>
      </c>
      <c r="U59" s="128">
        <f t="shared" si="48"/>
        <v>0.5</v>
      </c>
      <c r="V59" s="119" t="s">
        <v>111</v>
      </c>
      <c r="W59" s="120"/>
      <c r="X59" s="128">
        <f t="shared" si="54"/>
        <v>0</v>
      </c>
      <c r="Y59" s="119">
        <v>0.29166666666666669</v>
      </c>
      <c r="Z59" s="120">
        <v>0.79166666666666663</v>
      </c>
      <c r="AA59" s="128">
        <f t="shared" si="49"/>
        <v>0.49999999999999994</v>
      </c>
      <c r="AB59" s="119">
        <v>0.14583333333333334</v>
      </c>
      <c r="AC59" s="120">
        <v>0.64583333333333337</v>
      </c>
      <c r="AD59" s="121">
        <f t="shared" si="50"/>
        <v>0.5</v>
      </c>
      <c r="AE59" s="119" t="s">
        <v>111</v>
      </c>
      <c r="AF59" s="120"/>
      <c r="AG59" s="121">
        <f t="shared" si="51"/>
        <v>0</v>
      </c>
      <c r="AH59" s="119" t="s">
        <v>111</v>
      </c>
      <c r="AI59" s="120"/>
      <c r="AJ59" s="128">
        <f t="shared" si="52"/>
        <v>0</v>
      </c>
      <c r="AK59" s="119"/>
      <c r="AL59" s="120"/>
      <c r="AM59" s="128">
        <f t="shared" si="53"/>
        <v>0</v>
      </c>
      <c r="AN59" s="118">
        <v>11</v>
      </c>
      <c r="AO59" s="113" t="s">
        <v>4</v>
      </c>
    </row>
    <row r="60" spans="2:41" ht="14.4">
      <c r="B60" s="86">
        <v>12</v>
      </c>
      <c r="C60" s="87" t="s">
        <v>5</v>
      </c>
      <c r="D60" s="88"/>
      <c r="E60" s="89"/>
      <c r="F60" s="93">
        <f t="shared" si="55"/>
        <v>0</v>
      </c>
      <c r="G60" s="88">
        <v>0.66666666666666663</v>
      </c>
      <c r="H60" s="89">
        <v>1.1666666666666667</v>
      </c>
      <c r="I60" s="92">
        <f t="shared" si="44"/>
        <v>0.50000000000000011</v>
      </c>
      <c r="J60" s="88" t="s">
        <v>111</v>
      </c>
      <c r="K60" s="89"/>
      <c r="L60" s="92">
        <f t="shared" si="45"/>
        <v>0</v>
      </c>
      <c r="M60" s="88">
        <v>0.41666666666666669</v>
      </c>
      <c r="N60" s="89">
        <v>0.83333333333333337</v>
      </c>
      <c r="O60" s="90">
        <f t="shared" si="46"/>
        <v>0.41666666666666669</v>
      </c>
      <c r="P60" s="88" t="s">
        <v>111</v>
      </c>
      <c r="Q60" s="89"/>
      <c r="R60" s="92">
        <f t="shared" si="47"/>
        <v>0</v>
      </c>
      <c r="S60" s="88">
        <v>0.625</v>
      </c>
      <c r="T60" s="89">
        <v>1.125</v>
      </c>
      <c r="U60" s="92">
        <f t="shared" si="48"/>
        <v>0.5</v>
      </c>
      <c r="V60" s="88" t="s">
        <v>111</v>
      </c>
      <c r="W60" s="89"/>
      <c r="X60" s="92">
        <f t="shared" si="54"/>
        <v>0</v>
      </c>
      <c r="Y60" s="88" t="s">
        <v>111</v>
      </c>
      <c r="Z60" s="89"/>
      <c r="AA60" s="92">
        <f t="shared" si="49"/>
        <v>0</v>
      </c>
      <c r="AB60" s="88">
        <v>0.66666666666666663</v>
      </c>
      <c r="AC60" s="89">
        <v>1.1666666666666667</v>
      </c>
      <c r="AD60" s="90">
        <f t="shared" si="50"/>
        <v>0.50000000000000011</v>
      </c>
      <c r="AE60" s="88" t="s">
        <v>111</v>
      </c>
      <c r="AF60" s="89"/>
      <c r="AG60" s="90">
        <f t="shared" si="51"/>
        <v>0</v>
      </c>
      <c r="AH60" s="88">
        <v>0.66666666666666663</v>
      </c>
      <c r="AI60" s="89">
        <v>1.1666666666666667</v>
      </c>
      <c r="AJ60" s="92">
        <f t="shared" si="52"/>
        <v>0.50000000000000011</v>
      </c>
      <c r="AK60" s="88"/>
      <c r="AL60" s="89"/>
      <c r="AM60" s="92">
        <f t="shared" si="53"/>
        <v>0</v>
      </c>
      <c r="AN60" s="86">
        <v>12</v>
      </c>
      <c r="AO60" s="87" t="s">
        <v>5</v>
      </c>
    </row>
    <row r="61" spans="2:41" ht="14.25" customHeight="1">
      <c r="B61" s="86">
        <v>13</v>
      </c>
      <c r="C61" s="87" t="s">
        <v>6</v>
      </c>
      <c r="D61" s="139">
        <v>0.14583333333333334</v>
      </c>
      <c r="E61" s="140">
        <v>0.64583333333333337</v>
      </c>
      <c r="F61" s="146">
        <f t="shared" si="55"/>
        <v>0.5</v>
      </c>
      <c r="G61" s="88"/>
      <c r="H61" s="89"/>
      <c r="I61" s="92">
        <f t="shared" si="44"/>
        <v>0</v>
      </c>
      <c r="J61" s="88" t="s">
        <v>111</v>
      </c>
      <c r="K61" s="89"/>
      <c r="L61" s="92">
        <f>(IF(J61="u",0.333333333,IF(J61="W",0,IF(J61="C",L61,IF(J61="op",L61,(K61-J61))))))</f>
        <v>0</v>
      </c>
      <c r="M61" s="88" t="s">
        <v>111</v>
      </c>
      <c r="N61" s="89"/>
      <c r="O61" s="90">
        <f t="shared" si="46"/>
        <v>0</v>
      </c>
      <c r="P61" s="88">
        <v>0.625</v>
      </c>
      <c r="Q61" s="89">
        <v>1.125</v>
      </c>
      <c r="R61" s="92">
        <f t="shared" si="47"/>
        <v>0.5</v>
      </c>
      <c r="S61" s="88" t="s">
        <v>111</v>
      </c>
      <c r="T61" s="89"/>
      <c r="U61" s="92">
        <f t="shared" si="48"/>
        <v>0</v>
      </c>
      <c r="V61" s="88" t="s">
        <v>111</v>
      </c>
      <c r="W61" s="89"/>
      <c r="X61" s="92">
        <f t="shared" si="54"/>
        <v>0</v>
      </c>
      <c r="Y61" s="88" t="s">
        <v>111</v>
      </c>
      <c r="Z61" s="89"/>
      <c r="AA61" s="92">
        <f t="shared" si="49"/>
        <v>0</v>
      </c>
      <c r="AB61" s="88" t="s">
        <v>111</v>
      </c>
      <c r="AC61" s="89"/>
      <c r="AD61" s="90">
        <f t="shared" si="50"/>
        <v>0</v>
      </c>
      <c r="AE61" s="88" t="s">
        <v>111</v>
      </c>
      <c r="AF61" s="89"/>
      <c r="AG61" s="90">
        <f t="shared" si="51"/>
        <v>0</v>
      </c>
      <c r="AH61" s="88" t="s">
        <v>111</v>
      </c>
      <c r="AI61" s="89"/>
      <c r="AJ61" s="92">
        <f t="shared" si="52"/>
        <v>0</v>
      </c>
      <c r="AK61" s="88"/>
      <c r="AL61" s="89"/>
      <c r="AM61" s="92">
        <f>(IF(AK61="u",0.333333333,IF(AK61="W",0,IF(AK61="C",AM61,IF(AK61="op",AM61,(AL61-AK61))))))</f>
        <v>0</v>
      </c>
      <c r="AN61" s="86">
        <v>13</v>
      </c>
      <c r="AO61" s="87" t="s">
        <v>6</v>
      </c>
    </row>
    <row r="62" spans="2:41" ht="14.4">
      <c r="B62" s="118">
        <v>14</v>
      </c>
      <c r="C62" s="113" t="s">
        <v>7</v>
      </c>
      <c r="D62" s="119"/>
      <c r="E62" s="120"/>
      <c r="F62" s="129">
        <f t="shared" si="55"/>
        <v>0</v>
      </c>
      <c r="G62" s="119" t="s">
        <v>111</v>
      </c>
      <c r="H62" s="120"/>
      <c r="I62" s="128">
        <f t="shared" si="44"/>
        <v>0</v>
      </c>
      <c r="J62" s="119">
        <v>0.125</v>
      </c>
      <c r="K62" s="120">
        <v>0.54166666666666663</v>
      </c>
      <c r="L62" s="128">
        <f t="shared" si="45"/>
        <v>0.41666666666666663</v>
      </c>
      <c r="M62" s="119">
        <v>0.125</v>
      </c>
      <c r="N62" s="120">
        <v>0.54166666666666663</v>
      </c>
      <c r="O62" s="121">
        <f t="shared" si="46"/>
        <v>0.41666666666666663</v>
      </c>
      <c r="P62" s="119">
        <v>0.625</v>
      </c>
      <c r="Q62" s="120">
        <v>1.125</v>
      </c>
      <c r="R62" s="128">
        <f t="shared" si="47"/>
        <v>0.5</v>
      </c>
      <c r="S62" s="119" t="s">
        <v>111</v>
      </c>
      <c r="T62" s="120"/>
      <c r="U62" s="128">
        <f t="shared" si="48"/>
        <v>0</v>
      </c>
      <c r="V62" s="119" t="s">
        <v>111</v>
      </c>
      <c r="W62" s="120"/>
      <c r="X62" s="128">
        <f t="shared" si="54"/>
        <v>0</v>
      </c>
      <c r="Y62" s="119">
        <v>0.29166666666666669</v>
      </c>
      <c r="Z62" s="120">
        <v>0.79166666666666663</v>
      </c>
      <c r="AA62" s="128">
        <f t="shared" si="49"/>
        <v>0.49999999999999994</v>
      </c>
      <c r="AB62" s="119" t="s">
        <v>111</v>
      </c>
      <c r="AC62" s="120"/>
      <c r="AD62" s="121">
        <f t="shared" si="50"/>
        <v>0</v>
      </c>
      <c r="AE62" s="119" t="s">
        <v>111</v>
      </c>
      <c r="AF62" s="120"/>
      <c r="AG62" s="121">
        <f t="shared" si="51"/>
        <v>0</v>
      </c>
      <c r="AH62" s="119" t="s">
        <v>111</v>
      </c>
      <c r="AI62" s="120"/>
      <c r="AJ62" s="128">
        <f t="shared" si="52"/>
        <v>0</v>
      </c>
      <c r="AK62" s="119"/>
      <c r="AL62" s="120"/>
      <c r="AM62" s="128">
        <f t="shared" ref="AM62:AM68" si="57">(IF(AK62="u",0.333333333,IF(AK62="W",0,IF(AK62="C",AM62,IF(AK62="op",AM62,(AL62-AK62))))))</f>
        <v>0</v>
      </c>
      <c r="AN62" s="118">
        <v>14</v>
      </c>
      <c r="AO62" s="113" t="s">
        <v>7</v>
      </c>
    </row>
    <row r="63" spans="2:41" ht="14.4">
      <c r="B63" s="118">
        <v>15</v>
      </c>
      <c r="C63" s="113" t="s">
        <v>8</v>
      </c>
      <c r="D63" s="119">
        <v>0.625</v>
      </c>
      <c r="E63" s="120">
        <v>1.125</v>
      </c>
      <c r="F63" s="129">
        <f>(IF(D63="u",0.333333333,IF(D63="W",0,IF(D63="C",F63,IF(D63="op",F63,(E63-D63))))))</f>
        <v>0.5</v>
      </c>
      <c r="G63" s="119">
        <v>0.66666666666666663</v>
      </c>
      <c r="H63" s="120">
        <v>1.1666666666666667</v>
      </c>
      <c r="I63" s="128">
        <f t="shared" si="44"/>
        <v>0.50000000000000011</v>
      </c>
      <c r="J63" s="119">
        <v>0.125</v>
      </c>
      <c r="K63" s="120">
        <v>0.58333333333333337</v>
      </c>
      <c r="L63" s="128">
        <f t="shared" si="45"/>
        <v>0.45833333333333337</v>
      </c>
      <c r="M63" s="119" t="s">
        <v>111</v>
      </c>
      <c r="N63" s="120"/>
      <c r="O63" s="121">
        <f t="shared" si="46"/>
        <v>0</v>
      </c>
      <c r="P63" s="119" t="s">
        <v>111</v>
      </c>
      <c r="Q63" s="120"/>
      <c r="R63" s="128">
        <f t="shared" si="47"/>
        <v>0</v>
      </c>
      <c r="S63" s="119" t="s">
        <v>111</v>
      </c>
      <c r="T63" s="120"/>
      <c r="U63" s="128">
        <f t="shared" si="48"/>
        <v>0</v>
      </c>
      <c r="V63" s="119" t="s">
        <v>111</v>
      </c>
      <c r="W63" s="120"/>
      <c r="X63" s="128">
        <f t="shared" si="54"/>
        <v>0</v>
      </c>
      <c r="Y63" s="119">
        <v>0.5</v>
      </c>
      <c r="Z63" s="120">
        <v>0.91666666666666663</v>
      </c>
      <c r="AA63" s="128">
        <f t="shared" si="49"/>
        <v>0.41666666666666663</v>
      </c>
      <c r="AB63" s="119">
        <v>0.14583333333333334</v>
      </c>
      <c r="AC63" s="120">
        <v>0.64583333333333337</v>
      </c>
      <c r="AD63" s="121">
        <f t="shared" si="50"/>
        <v>0.5</v>
      </c>
      <c r="AE63" s="119" t="s">
        <v>111</v>
      </c>
      <c r="AF63" s="120"/>
      <c r="AG63" s="121">
        <f t="shared" si="51"/>
        <v>0</v>
      </c>
      <c r="AH63" s="119" t="s">
        <v>111</v>
      </c>
      <c r="AI63" s="120"/>
      <c r="AJ63" s="128">
        <f t="shared" si="52"/>
        <v>0</v>
      </c>
      <c r="AK63" s="119"/>
      <c r="AL63" s="120"/>
      <c r="AM63" s="128">
        <f t="shared" si="57"/>
        <v>0</v>
      </c>
      <c r="AN63" s="118">
        <v>15</v>
      </c>
      <c r="AO63" s="113" t="s">
        <v>8</v>
      </c>
    </row>
    <row r="64" spans="2:41" ht="14.4">
      <c r="B64" s="118">
        <v>16</v>
      </c>
      <c r="C64" s="113" t="s">
        <v>12</v>
      </c>
      <c r="D64" s="119">
        <v>0.625</v>
      </c>
      <c r="E64" s="120">
        <v>1.125</v>
      </c>
      <c r="F64" s="129">
        <f t="shared" ref="F64:F79" si="58">(IF(D64="u",0.333333333,IF(D64="W",0,IF(D64="C",F64,IF(D64="op",F64,(E64-D64))))))</f>
        <v>0.5</v>
      </c>
      <c r="G64" s="119">
        <v>0.625</v>
      </c>
      <c r="H64" s="120">
        <v>1.125</v>
      </c>
      <c r="I64" s="128">
        <f t="shared" si="44"/>
        <v>0.5</v>
      </c>
      <c r="J64" s="119">
        <v>0.125</v>
      </c>
      <c r="K64" s="120">
        <v>0.58333333333333337</v>
      </c>
      <c r="L64" s="128">
        <f>(IF(J64="u",0.333333333,IF(J64="W",0,IF(J64="C",L64,IF(J64="op",L64,(K64-J64))))))</f>
        <v>0.45833333333333337</v>
      </c>
      <c r="M64" s="119" t="s">
        <v>111</v>
      </c>
      <c r="N64" s="120"/>
      <c r="O64" s="121">
        <f t="shared" si="46"/>
        <v>0</v>
      </c>
      <c r="P64" s="119">
        <v>0.33333333333333331</v>
      </c>
      <c r="Q64" s="120">
        <v>0.83333333333333337</v>
      </c>
      <c r="R64" s="128">
        <f t="shared" si="47"/>
        <v>0.5</v>
      </c>
      <c r="S64" s="119" t="s">
        <v>111</v>
      </c>
      <c r="T64" s="120"/>
      <c r="U64" s="128">
        <f t="shared" si="48"/>
        <v>0</v>
      </c>
      <c r="V64" s="119" t="s">
        <v>111</v>
      </c>
      <c r="W64" s="120"/>
      <c r="X64" s="128">
        <f t="shared" si="54"/>
        <v>0</v>
      </c>
      <c r="Y64" s="119">
        <v>0.41666666666666669</v>
      </c>
      <c r="Z64" s="120">
        <v>0.91666666666666663</v>
      </c>
      <c r="AA64" s="128">
        <f t="shared" si="49"/>
        <v>0.49999999999999994</v>
      </c>
      <c r="AB64" s="119" t="s">
        <v>111</v>
      </c>
      <c r="AC64" s="120"/>
      <c r="AD64" s="121">
        <f t="shared" si="50"/>
        <v>0</v>
      </c>
      <c r="AE64" s="119" t="s">
        <v>111</v>
      </c>
      <c r="AF64" s="120"/>
      <c r="AG64" s="121">
        <f t="shared" si="51"/>
        <v>0</v>
      </c>
      <c r="AH64" s="119" t="s">
        <v>111</v>
      </c>
      <c r="AI64" s="120"/>
      <c r="AJ64" s="128">
        <f t="shared" si="52"/>
        <v>0</v>
      </c>
      <c r="AK64" s="119"/>
      <c r="AL64" s="120"/>
      <c r="AM64" s="128">
        <f t="shared" si="57"/>
        <v>0</v>
      </c>
      <c r="AN64" s="118">
        <v>16</v>
      </c>
      <c r="AO64" s="113" t="s">
        <v>12</v>
      </c>
    </row>
    <row r="65" spans="1:41" ht="14.4">
      <c r="B65" s="118">
        <v>17</v>
      </c>
      <c r="C65" s="113" t="s">
        <v>85</v>
      </c>
      <c r="D65" s="119"/>
      <c r="E65" s="120"/>
      <c r="F65" s="129">
        <f t="shared" si="58"/>
        <v>0</v>
      </c>
      <c r="G65" s="119" t="s">
        <v>111</v>
      </c>
      <c r="H65" s="120"/>
      <c r="I65" s="128">
        <f t="shared" si="44"/>
        <v>0</v>
      </c>
      <c r="J65" s="119"/>
      <c r="K65" s="120"/>
      <c r="L65" s="128">
        <f t="shared" si="45"/>
        <v>0</v>
      </c>
      <c r="M65" s="119" t="s">
        <v>111</v>
      </c>
      <c r="N65" s="120"/>
      <c r="O65" s="121">
        <f t="shared" si="46"/>
        <v>0</v>
      </c>
      <c r="P65" s="119">
        <v>0.5</v>
      </c>
      <c r="Q65" s="120">
        <v>0.95833333333333337</v>
      </c>
      <c r="R65" s="128">
        <f t="shared" si="47"/>
        <v>0.45833333333333337</v>
      </c>
      <c r="S65" s="119" t="s">
        <v>111</v>
      </c>
      <c r="T65" s="120"/>
      <c r="U65" s="128">
        <f t="shared" si="48"/>
        <v>0</v>
      </c>
      <c r="V65" s="119" t="s">
        <v>111</v>
      </c>
      <c r="W65" s="120"/>
      <c r="X65" s="128">
        <f t="shared" si="54"/>
        <v>0</v>
      </c>
      <c r="Y65" s="119">
        <v>0.5</v>
      </c>
      <c r="Z65" s="120">
        <v>0.95833333333333337</v>
      </c>
      <c r="AA65" s="128">
        <f t="shared" si="49"/>
        <v>0.45833333333333337</v>
      </c>
      <c r="AB65" s="119" t="s">
        <v>111</v>
      </c>
      <c r="AC65" s="120"/>
      <c r="AD65" s="121">
        <f t="shared" si="50"/>
        <v>0</v>
      </c>
      <c r="AE65" s="119" t="s">
        <v>111</v>
      </c>
      <c r="AF65" s="120"/>
      <c r="AG65" s="121">
        <f t="shared" si="51"/>
        <v>0</v>
      </c>
      <c r="AH65" s="119">
        <v>0.5</v>
      </c>
      <c r="AI65" s="120">
        <v>0.95833333333333337</v>
      </c>
      <c r="AJ65" s="128">
        <f t="shared" si="52"/>
        <v>0.45833333333333337</v>
      </c>
      <c r="AK65" s="119"/>
      <c r="AL65" s="120"/>
      <c r="AM65" s="128">
        <f t="shared" si="57"/>
        <v>0</v>
      </c>
      <c r="AN65" s="118">
        <v>17</v>
      </c>
      <c r="AO65" s="113" t="s">
        <v>85</v>
      </c>
    </row>
    <row r="66" spans="1:41" ht="14.4">
      <c r="B66" s="118">
        <v>18</v>
      </c>
      <c r="C66" s="113" t="s">
        <v>4</v>
      </c>
      <c r="D66" s="119">
        <v>0.66666666666666663</v>
      </c>
      <c r="E66" s="120">
        <v>1.1666666666666667</v>
      </c>
      <c r="F66" s="129">
        <f t="shared" si="58"/>
        <v>0.50000000000000011</v>
      </c>
      <c r="G66" s="119">
        <v>0.33333333333333331</v>
      </c>
      <c r="H66" s="120">
        <v>0.83333333333333337</v>
      </c>
      <c r="I66" s="128">
        <f t="shared" si="44"/>
        <v>0.5</v>
      </c>
      <c r="J66" s="119">
        <v>0.14583333333333334</v>
      </c>
      <c r="K66" s="120">
        <v>0.64583333333333337</v>
      </c>
      <c r="L66" s="128">
        <f t="shared" si="45"/>
        <v>0.5</v>
      </c>
      <c r="M66" s="119" t="s">
        <v>111</v>
      </c>
      <c r="N66" s="120"/>
      <c r="O66" s="121">
        <f t="shared" si="46"/>
        <v>0</v>
      </c>
      <c r="P66" s="119" t="s">
        <v>111</v>
      </c>
      <c r="Q66" s="120"/>
      <c r="R66" s="128">
        <f t="shared" si="47"/>
        <v>0</v>
      </c>
      <c r="S66" s="119">
        <v>0.66666666666666663</v>
      </c>
      <c r="T66" s="120">
        <v>1.1666666666666667</v>
      </c>
      <c r="U66" s="128">
        <f t="shared" si="48"/>
        <v>0.50000000000000011</v>
      </c>
      <c r="V66" s="119" t="s">
        <v>111</v>
      </c>
      <c r="W66" s="120"/>
      <c r="X66" s="128">
        <f t="shared" si="54"/>
        <v>0</v>
      </c>
      <c r="Y66" s="119">
        <v>0.5</v>
      </c>
      <c r="Z66" s="120">
        <v>0.875</v>
      </c>
      <c r="AA66" s="128">
        <f t="shared" si="49"/>
        <v>0.375</v>
      </c>
      <c r="AB66" s="119">
        <v>0.5</v>
      </c>
      <c r="AC66" s="120">
        <v>0.875</v>
      </c>
      <c r="AD66" s="121">
        <f t="shared" si="50"/>
        <v>0.375</v>
      </c>
      <c r="AE66" s="119" t="s">
        <v>111</v>
      </c>
      <c r="AF66" s="120"/>
      <c r="AG66" s="121">
        <f t="shared" si="51"/>
        <v>0</v>
      </c>
      <c r="AH66" s="119"/>
      <c r="AI66" s="120"/>
      <c r="AJ66" s="128">
        <f t="shared" si="52"/>
        <v>0</v>
      </c>
      <c r="AK66" s="119"/>
      <c r="AL66" s="120"/>
      <c r="AM66" s="128">
        <f t="shared" si="57"/>
        <v>0</v>
      </c>
      <c r="AN66" s="118">
        <v>18</v>
      </c>
      <c r="AO66" s="113" t="s">
        <v>4</v>
      </c>
    </row>
    <row r="67" spans="1:41" ht="14.4">
      <c r="B67" s="86">
        <v>19</v>
      </c>
      <c r="C67" s="87" t="s">
        <v>5</v>
      </c>
      <c r="D67" s="88">
        <v>0.625</v>
      </c>
      <c r="E67" s="89">
        <v>1.125</v>
      </c>
      <c r="F67" s="93">
        <f t="shared" si="58"/>
        <v>0.5</v>
      </c>
      <c r="G67" s="88" t="s">
        <v>111</v>
      </c>
      <c r="H67" s="89"/>
      <c r="I67" s="92">
        <f t="shared" si="44"/>
        <v>0</v>
      </c>
      <c r="J67" s="139">
        <v>0.33333333333333331</v>
      </c>
      <c r="K67" s="140">
        <v>0.83333333333333337</v>
      </c>
      <c r="L67" s="142">
        <f t="shared" si="45"/>
        <v>0.5</v>
      </c>
      <c r="M67" s="88">
        <v>0.14583333333333334</v>
      </c>
      <c r="N67" s="89">
        <v>0.64583333333333337</v>
      </c>
      <c r="O67" s="90">
        <f t="shared" si="46"/>
        <v>0.5</v>
      </c>
      <c r="P67" s="88" t="s">
        <v>111</v>
      </c>
      <c r="Q67" s="89"/>
      <c r="R67" s="92">
        <f t="shared" si="47"/>
        <v>0</v>
      </c>
      <c r="S67" s="88"/>
      <c r="T67" s="89"/>
      <c r="U67" s="92">
        <f>(IF(S67="u",0.333333333,IF(S67="W",0,IF(S67="C",U67,IF(S67="op",U67,(T67-S67))))))</f>
        <v>0</v>
      </c>
      <c r="V67" s="88">
        <v>0.33333333333333331</v>
      </c>
      <c r="W67" s="89">
        <v>0.83333333333333337</v>
      </c>
      <c r="X67" s="92">
        <f t="shared" si="54"/>
        <v>0.5</v>
      </c>
      <c r="Y67" s="88" t="s">
        <v>111</v>
      </c>
      <c r="Z67" s="89"/>
      <c r="AA67" s="92">
        <f t="shared" si="49"/>
        <v>0</v>
      </c>
      <c r="AB67" s="88"/>
      <c r="AC67" s="89"/>
      <c r="AD67" s="90">
        <f t="shared" si="50"/>
        <v>0</v>
      </c>
      <c r="AE67" s="88" t="s">
        <v>111</v>
      </c>
      <c r="AF67" s="89"/>
      <c r="AG67" s="90">
        <f t="shared" si="51"/>
        <v>0</v>
      </c>
      <c r="AH67" s="88" t="s">
        <v>111</v>
      </c>
      <c r="AI67" s="89"/>
      <c r="AJ67" s="92">
        <f t="shared" si="52"/>
        <v>0</v>
      </c>
      <c r="AK67" s="88"/>
      <c r="AL67" s="89"/>
      <c r="AM67" s="92">
        <f t="shared" si="57"/>
        <v>0</v>
      </c>
      <c r="AN67" s="86">
        <v>19</v>
      </c>
      <c r="AO67" s="87" t="s">
        <v>5</v>
      </c>
    </row>
    <row r="68" spans="1:41" ht="14.4">
      <c r="B68" s="86">
        <v>20</v>
      </c>
      <c r="C68" s="87" t="s">
        <v>6</v>
      </c>
      <c r="D68" s="88">
        <v>0.625</v>
      </c>
      <c r="E68" s="89">
        <v>1.125</v>
      </c>
      <c r="F68" s="93">
        <f t="shared" si="58"/>
        <v>0.5</v>
      </c>
      <c r="G68" s="88" t="s">
        <v>111</v>
      </c>
      <c r="H68" s="89"/>
      <c r="I68" s="92">
        <f t="shared" si="44"/>
        <v>0</v>
      </c>
      <c r="J68" s="88"/>
      <c r="K68" s="89"/>
      <c r="L68" s="92">
        <f t="shared" si="45"/>
        <v>0</v>
      </c>
      <c r="M68" s="88" t="s">
        <v>111</v>
      </c>
      <c r="N68" s="89"/>
      <c r="O68" s="90">
        <f t="shared" si="46"/>
        <v>0</v>
      </c>
      <c r="P68" s="88" t="s">
        <v>111</v>
      </c>
      <c r="Q68" s="89"/>
      <c r="R68" s="92">
        <f t="shared" si="47"/>
        <v>0</v>
      </c>
      <c r="S68" s="88" t="s">
        <v>111</v>
      </c>
      <c r="T68" s="89"/>
      <c r="U68" s="92">
        <f>(IF(S68="u",0.333333333,IF(S68="W",0,IF(S68="C",U68,IF(S68="op",U68,(T68-S68))))))</f>
        <v>0</v>
      </c>
      <c r="V68" s="88" t="s">
        <v>111</v>
      </c>
      <c r="W68" s="89"/>
      <c r="X68" s="92">
        <f t="shared" si="54"/>
        <v>0</v>
      </c>
      <c r="Y68" s="88" t="s">
        <v>111</v>
      </c>
      <c r="Z68" s="89"/>
      <c r="AA68" s="92">
        <f t="shared" si="49"/>
        <v>0</v>
      </c>
      <c r="AB68" s="88" t="s">
        <v>111</v>
      </c>
      <c r="AC68" s="89"/>
      <c r="AD68" s="90">
        <f t="shared" si="50"/>
        <v>0</v>
      </c>
      <c r="AE68" s="88" t="s">
        <v>111</v>
      </c>
      <c r="AF68" s="89"/>
      <c r="AG68" s="90">
        <f t="shared" si="51"/>
        <v>0</v>
      </c>
      <c r="AH68" s="88" t="s">
        <v>111</v>
      </c>
      <c r="AI68" s="89"/>
      <c r="AJ68" s="92">
        <f t="shared" si="52"/>
        <v>0</v>
      </c>
      <c r="AK68" s="88"/>
      <c r="AL68" s="89"/>
      <c r="AM68" s="92">
        <f t="shared" si="57"/>
        <v>0</v>
      </c>
      <c r="AN68" s="86">
        <v>20</v>
      </c>
      <c r="AO68" s="87" t="s">
        <v>6</v>
      </c>
    </row>
    <row r="69" spans="1:41" ht="15.75" customHeight="1">
      <c r="B69" s="118">
        <v>21</v>
      </c>
      <c r="C69" s="113" t="s">
        <v>7</v>
      </c>
      <c r="D69" s="139">
        <v>0.58333333333333337</v>
      </c>
      <c r="E69" s="140">
        <v>1.0833333333333333</v>
      </c>
      <c r="F69" s="146">
        <f t="shared" si="58"/>
        <v>0.49999999999999989</v>
      </c>
      <c r="G69" s="119" t="s">
        <v>111</v>
      </c>
      <c r="H69" s="120"/>
      <c r="I69" s="128">
        <f>(IF(G69="u",0.333333333,IF(G69="W",0,IF(G69="C",I69,IF(G69="op",I69,(H69-G69))))))</f>
        <v>0</v>
      </c>
      <c r="J69" s="119" t="s">
        <v>111</v>
      </c>
      <c r="K69" s="120"/>
      <c r="L69" s="128">
        <f>(IF(J69="u",0.333333333,IF(J69="W",0,IF(J69="C",L69,IF(J69="op",L69,(K69-J69))))))</f>
        <v>0</v>
      </c>
      <c r="M69" s="119">
        <v>0.125</v>
      </c>
      <c r="N69" s="120">
        <v>0.52083333333333337</v>
      </c>
      <c r="O69" s="121">
        <f>(IF(M69="u",0.333333333,IF(M69="W",0,IF(M69="C",O69,IF(M69="op",O69,(N69-M69))))))</f>
        <v>0.39583333333333337</v>
      </c>
      <c r="P69" s="119">
        <v>0.5</v>
      </c>
      <c r="Q69" s="120">
        <v>0.875</v>
      </c>
      <c r="R69" s="128">
        <f>(IF(P69="u",0.333333333,IF(P69="W",0,IF(P69="C",R69,IF(P69="op",R69,(Q69-P69))))))</f>
        <v>0.375</v>
      </c>
      <c r="S69" s="119" t="s">
        <v>111</v>
      </c>
      <c r="T69" s="120"/>
      <c r="U69" s="128">
        <f>(IF(S69="u",0.333333333,IF(S69="W",0,IF(S69="C",U69,IF(S69="op",U69,(T69-S69))))))</f>
        <v>0</v>
      </c>
      <c r="V69" s="119" t="s">
        <v>111</v>
      </c>
      <c r="W69" s="120"/>
      <c r="X69" s="128">
        <f>(IF(V69="u",0.333333333,IF(V69="W",0,IF(V69="C",X69,IF(V69="op",X69,(W69-V69))))))</f>
        <v>0</v>
      </c>
      <c r="Y69" s="119">
        <v>0.5</v>
      </c>
      <c r="Z69" s="120">
        <v>0.875</v>
      </c>
      <c r="AA69" s="128">
        <f>(IF(Y69="u",0.333333333,IF(Y69="W",0,IF(Y69="C",AA69,IF(Y69="op",AA69,(Z69-Y69))))))</f>
        <v>0.375</v>
      </c>
      <c r="AB69" s="119" t="s">
        <v>111</v>
      </c>
      <c r="AC69" s="120"/>
      <c r="AD69" s="121">
        <f>(IF(AB69="u",0.333333333,IF(AB69="W",0,IF(AB69="C",AD69,IF(AB69="op",AD69,(AC69-AB69))))))</f>
        <v>0</v>
      </c>
      <c r="AE69" s="119" t="s">
        <v>111</v>
      </c>
      <c r="AF69" s="120"/>
      <c r="AG69" s="121">
        <f>(IF(AE69="u",0.333333333,IF(AE69="W",0,IF(AE69="C",AG69,IF(AE69="op",AG69,(AF69-AE69))))))</f>
        <v>0</v>
      </c>
      <c r="AH69" s="119" t="s">
        <v>111</v>
      </c>
      <c r="AI69" s="120"/>
      <c r="AJ69" s="128">
        <f>(IF(AH69="u",0.333333333,IF(AH69="W",0,IF(AH69="C",AJ69,IF(AH69="op",AJ69,(AI69-AH69))))))</f>
        <v>0</v>
      </c>
      <c r="AK69" s="119"/>
      <c r="AL69" s="120"/>
      <c r="AM69" s="128">
        <f>(IF(AK69="u",0.333333333,IF(AK69="W",0,IF(AK69="C",AM69,IF(AK69="op",AM69,(AL69-AK69))))))</f>
        <v>0</v>
      </c>
      <c r="AN69" s="118">
        <v>21</v>
      </c>
      <c r="AO69" s="113" t="s">
        <v>7</v>
      </c>
    </row>
    <row r="70" spans="1:41" ht="15.75" customHeight="1">
      <c r="B70" s="118">
        <v>22</v>
      </c>
      <c r="C70" s="113" t="s">
        <v>8</v>
      </c>
      <c r="D70" s="119"/>
      <c r="E70" s="120"/>
      <c r="F70" s="129">
        <f t="shared" si="58"/>
        <v>0</v>
      </c>
      <c r="G70" s="119">
        <v>0.58333333333333337</v>
      </c>
      <c r="H70" s="120">
        <v>1.0833333333333333</v>
      </c>
      <c r="I70" s="128">
        <f t="shared" ref="I70:I79" si="59">(IF(G70="u",0.333333333,IF(G70="W",0,IF(G70="C",I70,IF(G70="op",I70,(H70-G70))))))</f>
        <v>0.49999999999999989</v>
      </c>
      <c r="J70" s="119" t="s">
        <v>111</v>
      </c>
      <c r="K70" s="120"/>
      <c r="L70" s="128">
        <f t="shared" ref="L70:L79" si="60">(IF(J70="u",0.333333333,IF(J70="W",0,IF(J70="C",L70,IF(J70="op",L70,(K70-J70))))))</f>
        <v>0</v>
      </c>
      <c r="M70" s="119" t="s">
        <v>111</v>
      </c>
      <c r="N70" s="120"/>
      <c r="O70" s="121">
        <f t="shared" ref="O70:O79" si="61">(IF(M70="u",0.333333333,IF(M70="W",0,IF(M70="C",O70,IF(M70="op",O70,(N70-M70))))))</f>
        <v>0</v>
      </c>
      <c r="P70" s="139">
        <v>0.45833333333333331</v>
      </c>
      <c r="Q70" s="140">
        <v>0.875</v>
      </c>
      <c r="R70" s="142">
        <f t="shared" ref="R70:R79" si="62">(IF(P70="u",0.333333333,IF(P70="W",0,IF(P70="C",R70,IF(P70="op",R70,(Q70-P70))))))</f>
        <v>0.41666666666666669</v>
      </c>
      <c r="S70" s="119" t="s">
        <v>111</v>
      </c>
      <c r="T70" s="120"/>
      <c r="U70" s="128">
        <f t="shared" ref="U70:U79" si="63">(IF(S70="u",0.333333333,IF(S70="W",0,IF(S70="C",U70,IF(S70="op",U70,(T70-S70))))))</f>
        <v>0</v>
      </c>
      <c r="V70" s="119" t="s">
        <v>111</v>
      </c>
      <c r="W70" s="120"/>
      <c r="X70" s="128">
        <f t="shared" ref="X70:X79" si="64">(IF(V70="u",0.333333333,IF(V70="W",0,IF(V70="C",X70,IF(V70="op",X70,(W70-V70))))))</f>
        <v>0</v>
      </c>
      <c r="Y70" s="119">
        <v>0.45833333333333331</v>
      </c>
      <c r="Z70" s="120">
        <v>0.875</v>
      </c>
      <c r="AA70" s="128">
        <f t="shared" ref="AA70:AA72" si="65">(IF(Y70="u",0.333333333,IF(Y70="W",0,IF(Y70="C",AA70,IF(Y70="op",AA70,(Z70-Y70))))))</f>
        <v>0.41666666666666669</v>
      </c>
      <c r="AB70" s="119" t="s">
        <v>111</v>
      </c>
      <c r="AC70" s="120"/>
      <c r="AD70" s="121">
        <f t="shared" ref="AD70:AD79" si="66">(IF(AB70="u",0.333333333,IF(AB70="W",0,IF(AB70="C",AD70,IF(AB70="op",AD70,(AC70-AB70))))))</f>
        <v>0</v>
      </c>
      <c r="AE70" s="119" t="s">
        <v>111</v>
      </c>
      <c r="AF70" s="120"/>
      <c r="AG70" s="121">
        <f t="shared" ref="AG70:AG79" si="67">(IF(AE70="u",0.333333333,IF(AE70="W",0,IF(AE70="C",AG70,IF(AE70="op",AG70,(AF70-AE70))))))</f>
        <v>0</v>
      </c>
      <c r="AH70" s="119" t="s">
        <v>111</v>
      </c>
      <c r="AI70" s="120"/>
      <c r="AJ70" s="128">
        <f t="shared" ref="AJ70:AJ79" si="68">(IF(AH70="u",0.333333333,IF(AH70="W",0,IF(AH70="C",AJ70,IF(AH70="op",AJ70,(AI70-AH70))))))</f>
        <v>0</v>
      </c>
      <c r="AK70" s="119"/>
      <c r="AL70" s="120"/>
      <c r="AM70" s="128">
        <f t="shared" ref="AM70:AM79" si="69">(IF(AK70="u",0.333333333,IF(AK70="W",0,IF(AK70="C",AM70,IF(AK70="op",AM70,(AL70-AK70))))))</f>
        <v>0</v>
      </c>
      <c r="AN70" s="118">
        <v>22</v>
      </c>
      <c r="AO70" s="113" t="s">
        <v>8</v>
      </c>
    </row>
    <row r="71" spans="1:41" ht="14.25" customHeight="1">
      <c r="B71" s="118">
        <v>23</v>
      </c>
      <c r="C71" s="113" t="s">
        <v>12</v>
      </c>
      <c r="D71" s="119"/>
      <c r="E71" s="120"/>
      <c r="F71" s="129">
        <f t="shared" si="58"/>
        <v>0</v>
      </c>
      <c r="G71" s="119"/>
      <c r="H71" s="120"/>
      <c r="I71" s="128">
        <f t="shared" si="59"/>
        <v>0</v>
      </c>
      <c r="J71" s="119" t="s">
        <v>111</v>
      </c>
      <c r="K71" s="120"/>
      <c r="L71" s="128">
        <f t="shared" si="60"/>
        <v>0</v>
      </c>
      <c r="M71" s="119" t="s">
        <v>111</v>
      </c>
      <c r="N71" s="120"/>
      <c r="O71" s="121">
        <f t="shared" si="61"/>
        <v>0</v>
      </c>
      <c r="P71" s="119" t="s">
        <v>111</v>
      </c>
      <c r="Q71" s="120"/>
      <c r="R71" s="128">
        <f t="shared" si="62"/>
        <v>0</v>
      </c>
      <c r="S71" s="119" t="s">
        <v>111</v>
      </c>
      <c r="T71" s="120"/>
      <c r="U71" s="128">
        <f t="shared" si="63"/>
        <v>0</v>
      </c>
      <c r="V71" s="119" t="s">
        <v>111</v>
      </c>
      <c r="W71" s="120"/>
      <c r="X71" s="128">
        <f t="shared" si="64"/>
        <v>0</v>
      </c>
      <c r="Y71" s="119">
        <v>0.4375</v>
      </c>
      <c r="Z71" s="120">
        <v>0.9375</v>
      </c>
      <c r="AA71" s="128">
        <f t="shared" si="65"/>
        <v>0.5</v>
      </c>
      <c r="AB71" s="119" t="s">
        <v>111</v>
      </c>
      <c r="AC71" s="120"/>
      <c r="AD71" s="121">
        <f t="shared" si="66"/>
        <v>0</v>
      </c>
      <c r="AE71" s="119" t="s">
        <v>111</v>
      </c>
      <c r="AF71" s="120"/>
      <c r="AG71" s="121">
        <f t="shared" si="67"/>
        <v>0</v>
      </c>
      <c r="AH71" s="119" t="s">
        <v>111</v>
      </c>
      <c r="AI71" s="120"/>
      <c r="AJ71" s="128">
        <f t="shared" si="68"/>
        <v>0</v>
      </c>
      <c r="AK71" s="119"/>
      <c r="AL71" s="120"/>
      <c r="AM71" s="128">
        <f t="shared" si="69"/>
        <v>0</v>
      </c>
      <c r="AN71" s="118">
        <v>23</v>
      </c>
      <c r="AO71" s="113" t="s">
        <v>12</v>
      </c>
    </row>
    <row r="72" spans="1:41" ht="14.25" customHeight="1">
      <c r="B72" s="118">
        <v>24</v>
      </c>
      <c r="C72" s="113" t="s">
        <v>85</v>
      </c>
      <c r="D72" s="119" t="s">
        <v>111</v>
      </c>
      <c r="E72" s="120"/>
      <c r="F72" s="129">
        <f t="shared" si="58"/>
        <v>0</v>
      </c>
      <c r="G72" s="139">
        <v>0.4375</v>
      </c>
      <c r="H72" s="140">
        <v>0.89583333333333337</v>
      </c>
      <c r="I72" s="142">
        <f t="shared" si="59"/>
        <v>0.45833333333333337</v>
      </c>
      <c r="J72" s="119" t="s">
        <v>111</v>
      </c>
      <c r="K72" s="120"/>
      <c r="L72" s="128">
        <f t="shared" si="60"/>
        <v>0</v>
      </c>
      <c r="M72" s="119" t="s">
        <v>111</v>
      </c>
      <c r="N72" s="120"/>
      <c r="O72" s="121">
        <f t="shared" si="61"/>
        <v>0</v>
      </c>
      <c r="P72" s="139">
        <v>0.58333333333333337</v>
      </c>
      <c r="Q72" s="140">
        <v>1.0833333333333333</v>
      </c>
      <c r="R72" s="142">
        <f t="shared" si="62"/>
        <v>0.49999999999999989</v>
      </c>
      <c r="S72" s="119" t="s">
        <v>111</v>
      </c>
      <c r="T72" s="120"/>
      <c r="U72" s="128">
        <f t="shared" si="63"/>
        <v>0</v>
      </c>
      <c r="V72" s="119" t="s">
        <v>111</v>
      </c>
      <c r="W72" s="120"/>
      <c r="X72" s="128">
        <f t="shared" si="64"/>
        <v>0</v>
      </c>
      <c r="Y72" s="119">
        <v>0.4375</v>
      </c>
      <c r="Z72" s="120">
        <v>0.89583333333333337</v>
      </c>
      <c r="AA72" s="128">
        <f t="shared" si="65"/>
        <v>0.45833333333333337</v>
      </c>
      <c r="AB72" s="119" t="s">
        <v>111</v>
      </c>
      <c r="AC72" s="120"/>
      <c r="AD72" s="121">
        <f t="shared" si="66"/>
        <v>0</v>
      </c>
      <c r="AE72" s="119" t="s">
        <v>111</v>
      </c>
      <c r="AF72" s="120"/>
      <c r="AG72" s="121">
        <f t="shared" si="67"/>
        <v>0</v>
      </c>
      <c r="AH72" s="119" t="s">
        <v>111</v>
      </c>
      <c r="AI72" s="120"/>
      <c r="AJ72" s="128">
        <f t="shared" si="68"/>
        <v>0</v>
      </c>
      <c r="AK72" s="119"/>
      <c r="AL72" s="120"/>
      <c r="AM72" s="128">
        <f t="shared" si="69"/>
        <v>0</v>
      </c>
      <c r="AN72" s="118">
        <v>24</v>
      </c>
      <c r="AO72" s="113" t="s">
        <v>85</v>
      </c>
    </row>
    <row r="73" spans="1:41" ht="14.4">
      <c r="B73" s="118">
        <v>25</v>
      </c>
      <c r="C73" s="113" t="s">
        <v>4</v>
      </c>
      <c r="D73" s="119" t="s">
        <v>111</v>
      </c>
      <c r="E73" s="120"/>
      <c r="F73" s="128">
        <f t="shared" si="58"/>
        <v>0</v>
      </c>
      <c r="G73" s="139">
        <v>0.4375</v>
      </c>
      <c r="H73" s="140">
        <v>0.9375</v>
      </c>
      <c r="I73" s="142">
        <f t="shared" si="59"/>
        <v>0.5</v>
      </c>
      <c r="J73" s="119" t="s">
        <v>111</v>
      </c>
      <c r="K73" s="120"/>
      <c r="L73" s="128">
        <f t="shared" si="60"/>
        <v>0</v>
      </c>
      <c r="M73" s="119" t="s">
        <v>111</v>
      </c>
      <c r="N73" s="120"/>
      <c r="O73" s="121">
        <f t="shared" si="61"/>
        <v>0</v>
      </c>
      <c r="P73" s="119" t="s">
        <v>111</v>
      </c>
      <c r="Q73" s="120"/>
      <c r="R73" s="128">
        <f t="shared" si="62"/>
        <v>0</v>
      </c>
      <c r="S73" s="119">
        <v>0.4375</v>
      </c>
      <c r="T73" s="120">
        <v>0.9375</v>
      </c>
      <c r="U73" s="128">
        <f t="shared" si="63"/>
        <v>0.5</v>
      </c>
      <c r="V73" s="119" t="s">
        <v>111</v>
      </c>
      <c r="W73" s="120"/>
      <c r="X73" s="128">
        <f t="shared" si="64"/>
        <v>0</v>
      </c>
      <c r="Y73" s="119" t="s">
        <v>111</v>
      </c>
      <c r="Z73" s="120"/>
      <c r="AA73" s="128">
        <f>(IF(Y73="u",0.333333333,IF(Y73="W",0,IF(Y73="C",AA73,IF(Y73="op",AA73,(Z73-Y73))))))</f>
        <v>0</v>
      </c>
      <c r="AB73" s="119" t="s">
        <v>111</v>
      </c>
      <c r="AC73" s="120"/>
      <c r="AD73" s="121">
        <f t="shared" si="66"/>
        <v>0</v>
      </c>
      <c r="AE73" s="119" t="s">
        <v>111</v>
      </c>
      <c r="AF73" s="120"/>
      <c r="AG73" s="121">
        <f t="shared" si="67"/>
        <v>0</v>
      </c>
      <c r="AH73" s="119">
        <v>0.4375</v>
      </c>
      <c r="AI73" s="120">
        <v>0.9375</v>
      </c>
      <c r="AJ73" s="128">
        <f t="shared" si="68"/>
        <v>0.5</v>
      </c>
      <c r="AK73" s="119"/>
      <c r="AL73" s="120"/>
      <c r="AM73" s="128">
        <f t="shared" si="69"/>
        <v>0</v>
      </c>
      <c r="AN73" s="118">
        <v>25</v>
      </c>
      <c r="AO73" s="113" t="s">
        <v>4</v>
      </c>
    </row>
    <row r="74" spans="1:41" ht="15" customHeight="1">
      <c r="B74" s="86">
        <v>26</v>
      </c>
      <c r="C74" s="87" t="s">
        <v>5</v>
      </c>
      <c r="D74" s="88">
        <v>0.66666666666666663</v>
      </c>
      <c r="E74" s="89">
        <v>1.1666666666666667</v>
      </c>
      <c r="F74" s="93">
        <f t="shared" si="58"/>
        <v>0.50000000000000011</v>
      </c>
      <c r="G74" s="88" t="s">
        <v>111</v>
      </c>
      <c r="H74" s="89"/>
      <c r="I74" s="92">
        <f t="shared" si="59"/>
        <v>0</v>
      </c>
      <c r="J74" s="88" t="s">
        <v>111</v>
      </c>
      <c r="K74" s="89"/>
      <c r="L74" s="92">
        <f t="shared" si="60"/>
        <v>0</v>
      </c>
      <c r="M74" s="88">
        <v>0.16666666666666666</v>
      </c>
      <c r="N74" s="89">
        <v>0.66666666666666663</v>
      </c>
      <c r="O74" s="90">
        <f t="shared" si="61"/>
        <v>0.5</v>
      </c>
      <c r="P74" s="88" t="s">
        <v>111</v>
      </c>
      <c r="Q74" s="89"/>
      <c r="R74" s="92">
        <f t="shared" si="62"/>
        <v>0</v>
      </c>
      <c r="S74" s="88">
        <v>0.66666666666666663</v>
      </c>
      <c r="T74" s="89">
        <v>1.1666666666666667</v>
      </c>
      <c r="U74" s="92">
        <f t="shared" si="63"/>
        <v>0.50000000000000011</v>
      </c>
      <c r="V74" s="88">
        <v>0.16666666666666666</v>
      </c>
      <c r="W74" s="89">
        <v>0.66666666666666663</v>
      </c>
      <c r="X74" s="92">
        <f t="shared" si="64"/>
        <v>0.5</v>
      </c>
      <c r="Y74" s="88" t="s">
        <v>111</v>
      </c>
      <c r="Z74" s="89"/>
      <c r="AA74" s="92">
        <f>(IF(Y74="u",0.333333333,IF(Y74="W",0,IF(Y74="C",AA74,IF(Y74="op",AA74,(Z74-Y74))))))</f>
        <v>0</v>
      </c>
      <c r="AB74" s="88" t="s">
        <v>111</v>
      </c>
      <c r="AC74" s="89"/>
      <c r="AD74" s="90">
        <f t="shared" si="66"/>
        <v>0</v>
      </c>
      <c r="AE74" s="88" t="s">
        <v>111</v>
      </c>
      <c r="AF74" s="89"/>
      <c r="AG74" s="90">
        <f t="shared" si="67"/>
        <v>0</v>
      </c>
      <c r="AH74" s="88" t="s">
        <v>111</v>
      </c>
      <c r="AI74" s="89"/>
      <c r="AJ74" s="92">
        <f t="shared" si="68"/>
        <v>0</v>
      </c>
      <c r="AK74" s="88"/>
      <c r="AL74" s="89"/>
      <c r="AM74" s="92">
        <f t="shared" si="69"/>
        <v>0</v>
      </c>
      <c r="AN74" s="86">
        <v>26</v>
      </c>
      <c r="AO74" s="87" t="s">
        <v>5</v>
      </c>
    </row>
    <row r="75" spans="1:41" ht="14.4">
      <c r="A75" t="s">
        <v>35</v>
      </c>
      <c r="B75" s="86">
        <v>27</v>
      </c>
      <c r="C75" s="87" t="s">
        <v>6</v>
      </c>
      <c r="D75" s="88">
        <v>0.625</v>
      </c>
      <c r="E75" s="89">
        <v>1.0833333333333333</v>
      </c>
      <c r="F75" s="93">
        <f t="shared" si="58"/>
        <v>0.45833333333333326</v>
      </c>
      <c r="G75" s="88" t="s">
        <v>111</v>
      </c>
      <c r="H75" s="89"/>
      <c r="I75" s="92">
        <f t="shared" si="59"/>
        <v>0</v>
      </c>
      <c r="J75" s="88" t="s">
        <v>111</v>
      </c>
      <c r="K75" s="89"/>
      <c r="L75" s="92">
        <f t="shared" si="60"/>
        <v>0</v>
      </c>
      <c r="M75" s="88" t="s">
        <v>111</v>
      </c>
      <c r="N75" s="89"/>
      <c r="O75" s="90">
        <f t="shared" si="61"/>
        <v>0</v>
      </c>
      <c r="P75" s="139">
        <v>0.41666666666666669</v>
      </c>
      <c r="Q75" s="140">
        <v>0.875</v>
      </c>
      <c r="R75" s="142">
        <f t="shared" si="62"/>
        <v>0.45833333333333331</v>
      </c>
      <c r="S75" s="88" t="s">
        <v>111</v>
      </c>
      <c r="T75" s="89"/>
      <c r="U75" s="92">
        <f t="shared" si="63"/>
        <v>0</v>
      </c>
      <c r="V75" s="88" t="s">
        <v>111</v>
      </c>
      <c r="W75" s="89"/>
      <c r="X75" s="92">
        <f t="shared" si="64"/>
        <v>0</v>
      </c>
      <c r="Y75" s="88" t="s">
        <v>111</v>
      </c>
      <c r="Z75" s="89"/>
      <c r="AA75" s="92">
        <f t="shared" ref="AA75:AA79" si="70">(IF(Y75="u",0.333333333,IF(Y75="W",0,IF(Y75="C",AA75,IF(Y75="op",AA75,(Z75-Y75))))))</f>
        <v>0</v>
      </c>
      <c r="AB75" s="88" t="s">
        <v>111</v>
      </c>
      <c r="AC75" s="89"/>
      <c r="AD75" s="90">
        <f t="shared" si="66"/>
        <v>0</v>
      </c>
      <c r="AE75" s="88" t="s">
        <v>111</v>
      </c>
      <c r="AF75" s="89"/>
      <c r="AG75" s="90">
        <f t="shared" si="67"/>
        <v>0</v>
      </c>
      <c r="AH75" s="88" t="s">
        <v>111</v>
      </c>
      <c r="AI75" s="89"/>
      <c r="AJ75" s="92">
        <f t="shared" si="68"/>
        <v>0</v>
      </c>
      <c r="AK75" s="88"/>
      <c r="AL75" s="89"/>
      <c r="AM75" s="92">
        <f t="shared" si="69"/>
        <v>0</v>
      </c>
      <c r="AN75" s="86">
        <v>27</v>
      </c>
      <c r="AO75" s="87" t="s">
        <v>6</v>
      </c>
    </row>
    <row r="76" spans="1:41" ht="14.4">
      <c r="B76" s="118">
        <v>28</v>
      </c>
      <c r="C76" s="113" t="s">
        <v>7</v>
      </c>
      <c r="D76" s="139">
        <v>0.58333333333333337</v>
      </c>
      <c r="E76" s="140">
        <v>1.0833333333333333</v>
      </c>
      <c r="F76" s="146">
        <f t="shared" si="58"/>
        <v>0.49999999999999989</v>
      </c>
      <c r="G76" s="119" t="s">
        <v>111</v>
      </c>
      <c r="H76" s="120"/>
      <c r="I76" s="128">
        <f t="shared" si="59"/>
        <v>0</v>
      </c>
      <c r="J76" s="119">
        <v>0.125</v>
      </c>
      <c r="K76" s="120">
        <v>0.52083333333333337</v>
      </c>
      <c r="L76" s="128">
        <f t="shared" si="60"/>
        <v>0.39583333333333337</v>
      </c>
      <c r="M76" s="139">
        <v>0.16666666666666666</v>
      </c>
      <c r="N76" s="140">
        <v>0.66666666666666663</v>
      </c>
      <c r="O76" s="141">
        <f t="shared" si="61"/>
        <v>0.5</v>
      </c>
      <c r="P76" s="119">
        <v>0.5</v>
      </c>
      <c r="Q76" s="120">
        <v>0.875</v>
      </c>
      <c r="R76" s="128">
        <f t="shared" si="62"/>
        <v>0.375</v>
      </c>
      <c r="S76" s="119" t="s">
        <v>111</v>
      </c>
      <c r="T76" s="120"/>
      <c r="U76" s="128">
        <f t="shared" si="63"/>
        <v>0</v>
      </c>
      <c r="V76" s="119" t="s">
        <v>111</v>
      </c>
      <c r="W76" s="120"/>
      <c r="X76" s="128">
        <f t="shared" si="64"/>
        <v>0</v>
      </c>
      <c r="Y76" s="119">
        <v>0.45833333333333331</v>
      </c>
      <c r="Z76" s="120">
        <v>0.875</v>
      </c>
      <c r="AA76" s="128">
        <f t="shared" si="70"/>
        <v>0.41666666666666669</v>
      </c>
      <c r="AB76" s="119" t="s">
        <v>111</v>
      </c>
      <c r="AC76" s="120"/>
      <c r="AD76" s="121">
        <f t="shared" si="66"/>
        <v>0</v>
      </c>
      <c r="AE76" s="119" t="s">
        <v>111</v>
      </c>
      <c r="AF76" s="120"/>
      <c r="AG76" s="121">
        <f t="shared" si="67"/>
        <v>0</v>
      </c>
      <c r="AH76" s="119" t="s">
        <v>111</v>
      </c>
      <c r="AI76" s="120"/>
      <c r="AJ76" s="128">
        <f t="shared" si="68"/>
        <v>0</v>
      </c>
      <c r="AK76" s="119"/>
      <c r="AL76" s="120"/>
      <c r="AM76" s="128">
        <f t="shared" si="69"/>
        <v>0</v>
      </c>
      <c r="AN76" s="118">
        <v>28</v>
      </c>
      <c r="AO76" s="113" t="s">
        <v>7</v>
      </c>
    </row>
    <row r="77" spans="1:41" ht="14.4">
      <c r="B77" s="118">
        <v>29</v>
      </c>
      <c r="C77" s="113" t="s">
        <v>8</v>
      </c>
      <c r="D77" s="119">
        <v>0.58333333333333337</v>
      </c>
      <c r="E77" s="120">
        <v>1.0833333333333333</v>
      </c>
      <c r="F77" s="129">
        <f t="shared" si="58"/>
        <v>0.49999999999999989</v>
      </c>
      <c r="G77" s="119">
        <v>0.45833333333333331</v>
      </c>
      <c r="H77" s="120">
        <v>0.875</v>
      </c>
      <c r="I77" s="128">
        <f t="shared" si="59"/>
        <v>0.41666666666666669</v>
      </c>
      <c r="J77" s="119">
        <v>0.16666666666666666</v>
      </c>
      <c r="K77" s="120">
        <v>0.66666666666666663</v>
      </c>
      <c r="L77" s="128">
        <f t="shared" si="60"/>
        <v>0.5</v>
      </c>
      <c r="M77" s="119" t="s">
        <v>111</v>
      </c>
      <c r="N77" s="120"/>
      <c r="O77" s="121">
        <f t="shared" si="61"/>
        <v>0</v>
      </c>
      <c r="P77" s="119">
        <v>0.45833333333333331</v>
      </c>
      <c r="Q77" s="120">
        <v>0.875</v>
      </c>
      <c r="R77" s="128">
        <f t="shared" si="62"/>
        <v>0.41666666666666669</v>
      </c>
      <c r="S77" s="119" t="s">
        <v>111</v>
      </c>
      <c r="T77" s="120"/>
      <c r="U77" s="128">
        <f t="shared" si="63"/>
        <v>0</v>
      </c>
      <c r="V77" s="119" t="s">
        <v>111</v>
      </c>
      <c r="W77" s="120"/>
      <c r="X77" s="128">
        <f t="shared" si="64"/>
        <v>0</v>
      </c>
      <c r="Y77" s="119">
        <v>0.45833333333333331</v>
      </c>
      <c r="Z77" s="120">
        <v>0.875</v>
      </c>
      <c r="AA77" s="128">
        <f t="shared" si="70"/>
        <v>0.41666666666666669</v>
      </c>
      <c r="AB77" s="119" t="s">
        <v>111</v>
      </c>
      <c r="AC77" s="120"/>
      <c r="AD77" s="121">
        <f t="shared" si="66"/>
        <v>0</v>
      </c>
      <c r="AE77" s="119" t="s">
        <v>111</v>
      </c>
      <c r="AF77" s="120"/>
      <c r="AG77" s="121">
        <f t="shared" si="67"/>
        <v>0</v>
      </c>
      <c r="AH77" s="119" t="s">
        <v>111</v>
      </c>
      <c r="AI77" s="120"/>
      <c r="AJ77" s="128">
        <f t="shared" si="68"/>
        <v>0</v>
      </c>
      <c r="AK77" s="119"/>
      <c r="AL77" s="120"/>
      <c r="AM77" s="128">
        <f t="shared" si="69"/>
        <v>0</v>
      </c>
      <c r="AN77" s="118">
        <v>29</v>
      </c>
      <c r="AO77" s="113" t="s">
        <v>8</v>
      </c>
    </row>
    <row r="78" spans="1:41" ht="14.4">
      <c r="B78" s="118">
        <v>30</v>
      </c>
      <c r="C78" s="113" t="s">
        <v>12</v>
      </c>
      <c r="D78" s="119"/>
      <c r="E78" s="120"/>
      <c r="F78" s="129">
        <f t="shared" si="58"/>
        <v>0</v>
      </c>
      <c r="G78" s="119">
        <v>0.4375</v>
      </c>
      <c r="H78" s="120">
        <v>0.9375</v>
      </c>
      <c r="I78" s="128">
        <f t="shared" si="59"/>
        <v>0.5</v>
      </c>
      <c r="J78" s="119">
        <v>0.16666666666666666</v>
      </c>
      <c r="K78" s="120">
        <v>0.66666666666666663</v>
      </c>
      <c r="L78" s="128">
        <f t="shared" si="60"/>
        <v>0.5</v>
      </c>
      <c r="M78" s="119" t="s">
        <v>111</v>
      </c>
      <c r="N78" s="120"/>
      <c r="O78" s="121">
        <f t="shared" si="61"/>
        <v>0</v>
      </c>
      <c r="P78" s="119">
        <v>0.4375</v>
      </c>
      <c r="Q78" s="120">
        <v>0.9375</v>
      </c>
      <c r="R78" s="128">
        <f t="shared" si="62"/>
        <v>0.5</v>
      </c>
      <c r="S78" s="119" t="s">
        <v>111</v>
      </c>
      <c r="T78" s="120"/>
      <c r="U78" s="128">
        <f t="shared" si="63"/>
        <v>0</v>
      </c>
      <c r="V78" s="119" t="s">
        <v>111</v>
      </c>
      <c r="W78" s="120"/>
      <c r="X78" s="128">
        <f t="shared" si="64"/>
        <v>0</v>
      </c>
      <c r="Y78" s="119">
        <v>0.4375</v>
      </c>
      <c r="Z78" s="120">
        <v>0.9375</v>
      </c>
      <c r="AA78" s="128">
        <f t="shared" si="70"/>
        <v>0.5</v>
      </c>
      <c r="AB78" s="119">
        <v>0.75</v>
      </c>
      <c r="AC78" s="120">
        <v>1.25</v>
      </c>
      <c r="AD78" s="121">
        <f t="shared" si="66"/>
        <v>0.5</v>
      </c>
      <c r="AE78" s="119" t="s">
        <v>111</v>
      </c>
      <c r="AF78" s="120"/>
      <c r="AG78" s="121">
        <f t="shared" si="67"/>
        <v>0</v>
      </c>
      <c r="AH78" s="119" t="s">
        <v>111</v>
      </c>
      <c r="AI78" s="120"/>
      <c r="AJ78" s="128">
        <f t="shared" si="68"/>
        <v>0</v>
      </c>
      <c r="AK78" s="119"/>
      <c r="AL78" s="120"/>
      <c r="AM78" s="128">
        <f t="shared" si="69"/>
        <v>0</v>
      </c>
      <c r="AN78" s="118">
        <v>30</v>
      </c>
      <c r="AO78" s="113" t="s">
        <v>12</v>
      </c>
    </row>
    <row r="79" spans="1:41" ht="14.4">
      <c r="B79" s="118">
        <v>31</v>
      </c>
      <c r="C79" s="113" t="s">
        <v>85</v>
      </c>
      <c r="D79" s="119">
        <v>0.58333333333333337</v>
      </c>
      <c r="E79" s="120">
        <v>1.0833333333333333</v>
      </c>
      <c r="F79" s="129">
        <f t="shared" si="58"/>
        <v>0.49999999999999989</v>
      </c>
      <c r="G79" s="119" t="s">
        <v>111</v>
      </c>
      <c r="H79" s="120"/>
      <c r="I79" s="128">
        <f t="shared" si="59"/>
        <v>0</v>
      </c>
      <c r="J79" s="119">
        <v>0.4375</v>
      </c>
      <c r="K79" s="120">
        <v>0.9375</v>
      </c>
      <c r="L79" s="128">
        <f t="shared" si="60"/>
        <v>0.5</v>
      </c>
      <c r="M79" s="119" t="s">
        <v>111</v>
      </c>
      <c r="N79" s="120"/>
      <c r="O79" s="123">
        <f t="shared" si="61"/>
        <v>0</v>
      </c>
      <c r="P79" s="119">
        <v>0.4375</v>
      </c>
      <c r="Q79" s="120">
        <v>0.9375</v>
      </c>
      <c r="R79" s="128">
        <f t="shared" si="62"/>
        <v>0.5</v>
      </c>
      <c r="S79" s="119" t="s">
        <v>111</v>
      </c>
      <c r="T79" s="120"/>
      <c r="U79" s="128">
        <f t="shared" si="63"/>
        <v>0</v>
      </c>
      <c r="V79" s="119" t="s">
        <v>111</v>
      </c>
      <c r="W79" s="120"/>
      <c r="X79" s="128">
        <f t="shared" si="64"/>
        <v>0</v>
      </c>
      <c r="Y79" s="119">
        <v>0.4375</v>
      </c>
      <c r="Z79" s="120">
        <v>0.9375</v>
      </c>
      <c r="AA79" s="128">
        <f t="shared" si="70"/>
        <v>0.5</v>
      </c>
      <c r="AB79" s="119">
        <v>0.75</v>
      </c>
      <c r="AC79" s="120">
        <v>1.25</v>
      </c>
      <c r="AD79" s="121">
        <f t="shared" si="66"/>
        <v>0.5</v>
      </c>
      <c r="AE79" s="119" t="s">
        <v>111</v>
      </c>
      <c r="AF79" s="120"/>
      <c r="AG79" s="121">
        <f t="shared" si="67"/>
        <v>0</v>
      </c>
      <c r="AH79" s="119">
        <v>0.4375</v>
      </c>
      <c r="AI79" s="120">
        <v>0.9375</v>
      </c>
      <c r="AJ79" s="128">
        <f t="shared" si="68"/>
        <v>0.5</v>
      </c>
      <c r="AK79" s="119"/>
      <c r="AL79" s="120"/>
      <c r="AM79" s="128">
        <f t="shared" si="69"/>
        <v>0</v>
      </c>
      <c r="AN79" s="118">
        <v>31</v>
      </c>
      <c r="AO79" s="113" t="s">
        <v>85</v>
      </c>
    </row>
    <row r="80" spans="1:41" thickBot="1">
      <c r="B80" s="85"/>
      <c r="C80" s="39"/>
      <c r="D80" s="77"/>
      <c r="E80" s="78"/>
      <c r="F80" s="84"/>
      <c r="G80" s="77"/>
      <c r="H80" s="78"/>
      <c r="I80" s="50"/>
      <c r="J80" s="77"/>
      <c r="K80" s="78"/>
      <c r="L80" s="50"/>
      <c r="M80" s="110"/>
      <c r="N80" s="111"/>
      <c r="O80" s="106"/>
      <c r="P80" s="77"/>
      <c r="Q80" s="78"/>
      <c r="R80" s="50"/>
      <c r="S80" s="77"/>
      <c r="T80" s="78"/>
      <c r="U80" s="50"/>
      <c r="V80" s="77"/>
      <c r="W80" s="78"/>
      <c r="X80" s="50"/>
      <c r="Y80" s="77"/>
      <c r="Z80" s="78"/>
      <c r="AA80" s="50"/>
      <c r="AB80" s="77"/>
      <c r="AC80" s="78"/>
      <c r="AD80" s="81"/>
      <c r="AE80" s="77"/>
      <c r="AF80" s="78"/>
      <c r="AG80" s="81"/>
      <c r="AH80" s="77"/>
      <c r="AI80" s="78"/>
      <c r="AJ80" s="50"/>
      <c r="AK80" s="77"/>
      <c r="AL80" s="78"/>
      <c r="AM80" s="50"/>
      <c r="AN80" s="85"/>
      <c r="AO80" s="39"/>
    </row>
    <row r="81" spans="2:42" ht="15.75" customHeight="1" thickBot="1">
      <c r="B81" s="168" t="s">
        <v>0</v>
      </c>
      <c r="C81" s="173" t="s">
        <v>1</v>
      </c>
      <c r="D81" s="286" t="s">
        <v>72</v>
      </c>
      <c r="E81" s="243"/>
      <c r="F81" s="244"/>
      <c r="G81" s="273" t="s">
        <v>38</v>
      </c>
      <c r="H81" s="274"/>
      <c r="I81" s="275"/>
      <c r="J81" s="273" t="s">
        <v>52</v>
      </c>
      <c r="K81" s="274"/>
      <c r="L81" s="274"/>
      <c r="M81" s="291" t="s">
        <v>18</v>
      </c>
      <c r="N81" s="292"/>
      <c r="O81" s="293"/>
      <c r="P81" s="243" t="s">
        <v>42</v>
      </c>
      <c r="Q81" s="243"/>
      <c r="R81" s="244"/>
      <c r="S81" s="286" t="s">
        <v>149</v>
      </c>
      <c r="T81" s="243"/>
      <c r="U81" s="244"/>
      <c r="V81" s="234" t="s">
        <v>25</v>
      </c>
      <c r="W81" s="235"/>
      <c r="X81" s="236"/>
      <c r="Y81" s="234" t="s">
        <v>17</v>
      </c>
      <c r="Z81" s="235"/>
      <c r="AA81" s="236"/>
      <c r="AB81" s="218" t="s">
        <v>51</v>
      </c>
      <c r="AC81" s="219"/>
      <c r="AD81" s="251"/>
      <c r="AE81" s="234" t="s">
        <v>32</v>
      </c>
      <c r="AF81" s="235"/>
      <c r="AG81" s="257"/>
      <c r="AH81" s="234" t="s">
        <v>23</v>
      </c>
      <c r="AI81" s="235"/>
      <c r="AJ81" s="236"/>
      <c r="AK81" s="234"/>
      <c r="AL81" s="235"/>
      <c r="AM81" s="236"/>
      <c r="AN81" s="173" t="s">
        <v>0</v>
      </c>
      <c r="AO81" s="173" t="s">
        <v>1</v>
      </c>
    </row>
    <row r="82" spans="2:42" ht="15.75" customHeight="1" thickBot="1">
      <c r="B82" s="168"/>
      <c r="C82" s="168"/>
      <c r="D82" s="287"/>
      <c r="E82" s="245"/>
      <c r="F82" s="246"/>
      <c r="G82" s="276"/>
      <c r="H82" s="277"/>
      <c r="I82" s="278"/>
      <c r="J82" s="276"/>
      <c r="K82" s="277"/>
      <c r="L82" s="277"/>
      <c r="M82" s="294"/>
      <c r="N82" s="295"/>
      <c r="O82" s="296"/>
      <c r="P82" s="245"/>
      <c r="Q82" s="245"/>
      <c r="R82" s="246"/>
      <c r="S82" s="287"/>
      <c r="T82" s="245"/>
      <c r="U82" s="246"/>
      <c r="V82" s="237"/>
      <c r="W82" s="238"/>
      <c r="X82" s="239"/>
      <c r="Y82" s="237"/>
      <c r="Z82" s="238"/>
      <c r="AA82" s="239"/>
      <c r="AB82" s="221"/>
      <c r="AC82" s="222"/>
      <c r="AD82" s="223"/>
      <c r="AE82" s="237"/>
      <c r="AF82" s="238"/>
      <c r="AG82" s="239"/>
      <c r="AH82" s="237"/>
      <c r="AI82" s="238"/>
      <c r="AJ82" s="239"/>
      <c r="AK82" s="237"/>
      <c r="AL82" s="238"/>
      <c r="AM82" s="239"/>
      <c r="AN82" s="168"/>
      <c r="AO82" s="168"/>
    </row>
    <row r="83" spans="2:42" ht="15.75" customHeight="1" thickBot="1">
      <c r="B83" s="168"/>
      <c r="C83" s="168"/>
      <c r="D83" s="169"/>
      <c r="E83" s="170"/>
      <c r="F83" s="171"/>
      <c r="G83" s="169"/>
      <c r="H83" s="170"/>
      <c r="I83" s="171"/>
      <c r="J83" s="55"/>
      <c r="K83" s="56"/>
      <c r="L83" s="57"/>
      <c r="M83" s="267"/>
      <c r="N83" s="268"/>
      <c r="O83" s="269"/>
      <c r="P83" s="169"/>
      <c r="Q83" s="170"/>
      <c r="R83" s="171"/>
      <c r="S83" s="169"/>
      <c r="T83" s="170"/>
      <c r="U83" s="171"/>
      <c r="V83" s="169"/>
      <c r="W83" s="170"/>
      <c r="X83" s="171"/>
      <c r="Y83" s="169"/>
      <c r="Z83" s="170"/>
      <c r="AA83" s="171"/>
      <c r="AB83" s="169"/>
      <c r="AC83" s="170"/>
      <c r="AD83" s="171"/>
      <c r="AE83" s="169"/>
      <c r="AF83" s="170"/>
      <c r="AG83" s="171"/>
      <c r="AH83" s="169"/>
      <c r="AI83" s="170"/>
      <c r="AJ83" s="171"/>
      <c r="AK83" s="169"/>
      <c r="AL83" s="170"/>
      <c r="AM83" s="171"/>
      <c r="AN83" s="168"/>
      <c r="AO83" s="168"/>
    </row>
    <row r="84" spans="2:42" thickBot="1">
      <c r="B84" s="168"/>
      <c r="C84" s="168"/>
      <c r="D84" s="5"/>
      <c r="E84" s="6"/>
      <c r="F84" s="7"/>
      <c r="G84" s="5"/>
      <c r="H84" s="6"/>
      <c r="I84" s="7"/>
      <c r="J84" s="58"/>
      <c r="K84" s="59"/>
      <c r="L84" s="60"/>
      <c r="M84" s="9"/>
      <c r="N84" s="6"/>
      <c r="O84" s="7"/>
      <c r="P84" s="9"/>
      <c r="Q84" s="6"/>
      <c r="R84" s="7"/>
      <c r="S84" s="9"/>
      <c r="T84" s="6"/>
      <c r="U84" s="7"/>
      <c r="V84" s="9"/>
      <c r="W84" s="6"/>
      <c r="X84" s="7"/>
      <c r="Y84" s="9"/>
      <c r="Z84" s="6"/>
      <c r="AA84" s="7"/>
      <c r="AB84" s="5"/>
      <c r="AC84" s="6"/>
      <c r="AD84" s="7"/>
      <c r="AE84" s="5"/>
      <c r="AF84" s="6"/>
      <c r="AG84" s="7"/>
      <c r="AH84" s="5"/>
      <c r="AI84" s="6"/>
      <c r="AJ84" s="7"/>
      <c r="AK84" s="5"/>
      <c r="AL84" s="6"/>
      <c r="AM84" s="7"/>
      <c r="AN84" s="168"/>
      <c r="AO84" s="168"/>
    </row>
    <row r="85" spans="2:42" thickBot="1"/>
    <row r="86" spans="2:42" thickBot="1">
      <c r="B86" s="168" t="s">
        <v>0</v>
      </c>
      <c r="C86" s="168" t="s">
        <v>1</v>
      </c>
      <c r="D86" s="218" t="s">
        <v>33</v>
      </c>
      <c r="E86" s="219"/>
      <c r="F86" s="220"/>
      <c r="G86" s="234" t="s">
        <v>31</v>
      </c>
      <c r="H86" s="235"/>
      <c r="I86" s="236"/>
      <c r="J86" s="234" t="s">
        <v>28</v>
      </c>
      <c r="K86" s="235"/>
      <c r="L86" s="236"/>
      <c r="M86" s="234" t="s">
        <v>89</v>
      </c>
      <c r="N86" s="235"/>
      <c r="O86" s="236"/>
      <c r="P86" s="218" t="s">
        <v>50</v>
      </c>
      <c r="Q86" s="219"/>
      <c r="R86" s="220"/>
      <c r="S86" s="234" t="s">
        <v>46</v>
      </c>
      <c r="T86" s="235"/>
      <c r="U86" s="236"/>
      <c r="V86" s="218" t="s">
        <v>29</v>
      </c>
      <c r="W86" s="219"/>
      <c r="X86" s="220"/>
      <c r="Y86" s="218" t="s">
        <v>76</v>
      </c>
      <c r="Z86" s="219"/>
      <c r="AA86" s="220"/>
      <c r="AB86" s="218" t="s">
        <v>103</v>
      </c>
      <c r="AC86" s="219"/>
      <c r="AD86" s="220"/>
      <c r="AE86" s="234" t="s">
        <v>70</v>
      </c>
      <c r="AF86" s="235"/>
      <c r="AG86" s="236"/>
      <c r="AH86" s="218" t="s">
        <v>60</v>
      </c>
      <c r="AI86" s="219"/>
      <c r="AJ86" s="220"/>
      <c r="AK86" s="218" t="s">
        <v>53</v>
      </c>
      <c r="AL86" s="219"/>
      <c r="AM86" s="220"/>
      <c r="AN86" s="168" t="s">
        <v>0</v>
      </c>
      <c r="AO86" s="168" t="s">
        <v>1</v>
      </c>
    </row>
    <row r="87" spans="2:42" thickBot="1">
      <c r="B87" s="168"/>
      <c r="C87" s="168"/>
      <c r="D87" s="221"/>
      <c r="E87" s="222"/>
      <c r="F87" s="223"/>
      <c r="G87" s="237"/>
      <c r="H87" s="238"/>
      <c r="I87" s="239"/>
      <c r="J87" s="237"/>
      <c r="K87" s="238"/>
      <c r="L87" s="239"/>
      <c r="M87" s="237"/>
      <c r="N87" s="238"/>
      <c r="O87" s="239"/>
      <c r="P87" s="221"/>
      <c r="Q87" s="222"/>
      <c r="R87" s="223"/>
      <c r="S87" s="237"/>
      <c r="T87" s="238"/>
      <c r="U87" s="239"/>
      <c r="V87" s="221"/>
      <c r="W87" s="222"/>
      <c r="X87" s="223"/>
      <c r="Y87" s="221"/>
      <c r="Z87" s="222"/>
      <c r="AA87" s="223"/>
      <c r="AB87" s="221"/>
      <c r="AC87" s="222"/>
      <c r="AD87" s="223"/>
      <c r="AE87" s="255"/>
      <c r="AF87" s="256"/>
      <c r="AG87" s="257"/>
      <c r="AH87" s="221"/>
      <c r="AI87" s="222"/>
      <c r="AJ87" s="223"/>
      <c r="AK87" s="221"/>
      <c r="AL87" s="222"/>
      <c r="AM87" s="223"/>
      <c r="AN87" s="168"/>
      <c r="AO87" s="168"/>
    </row>
    <row r="88" spans="2:42" thickBot="1">
      <c r="B88" s="168"/>
      <c r="C88" s="168"/>
      <c r="D88" s="229">
        <v>25</v>
      </c>
      <c r="E88" s="224"/>
      <c r="F88" s="225"/>
      <c r="G88" s="229">
        <v>26</v>
      </c>
      <c r="H88" s="224"/>
      <c r="I88" s="225"/>
      <c r="J88" s="169">
        <v>27</v>
      </c>
      <c r="K88" s="170"/>
      <c r="L88" s="171"/>
      <c r="M88" s="169">
        <v>28</v>
      </c>
      <c r="N88" s="170"/>
      <c r="O88" s="171"/>
      <c r="P88" s="229">
        <v>29</v>
      </c>
      <c r="Q88" s="224"/>
      <c r="R88" s="225"/>
      <c r="S88" s="169">
        <v>30</v>
      </c>
      <c r="T88" s="170"/>
      <c r="U88" s="171"/>
      <c r="V88" s="229">
        <v>31</v>
      </c>
      <c r="W88" s="224"/>
      <c r="X88" s="225"/>
      <c r="Y88" s="169">
        <v>32</v>
      </c>
      <c r="Z88" s="170"/>
      <c r="AA88" s="171"/>
      <c r="AB88" s="169">
        <v>33</v>
      </c>
      <c r="AC88" s="170"/>
      <c r="AD88" s="170"/>
      <c r="AE88" s="247">
        <v>34</v>
      </c>
      <c r="AF88" s="248"/>
      <c r="AG88" s="249"/>
      <c r="AH88" s="224">
        <v>35</v>
      </c>
      <c r="AI88" s="224"/>
      <c r="AJ88" s="225"/>
      <c r="AK88" s="224">
        <v>36</v>
      </c>
      <c r="AL88" s="224"/>
      <c r="AM88" s="225"/>
      <c r="AN88" s="168"/>
      <c r="AO88" s="168"/>
      <c r="AP88" s="19"/>
    </row>
    <row r="89" spans="2:42" thickBot="1">
      <c r="B89" s="168"/>
      <c r="C89" s="168"/>
      <c r="D89" s="2"/>
      <c r="E89" s="3"/>
      <c r="F89" s="4"/>
      <c r="G89" s="5"/>
      <c r="H89" s="6"/>
      <c r="I89" s="7"/>
      <c r="J89" s="5"/>
      <c r="K89" s="6"/>
      <c r="L89" s="7"/>
      <c r="M89" s="3"/>
      <c r="N89" s="3"/>
      <c r="O89" s="4"/>
      <c r="P89" s="2"/>
      <c r="Q89" s="3"/>
      <c r="R89" s="4"/>
      <c r="S89" s="5"/>
      <c r="T89" s="6"/>
      <c r="U89" s="7"/>
      <c r="V89" s="2"/>
      <c r="W89" s="3"/>
      <c r="X89" s="4"/>
      <c r="Y89" s="5"/>
      <c r="Z89" s="6"/>
      <c r="AA89" s="7"/>
      <c r="AB89" s="231"/>
      <c r="AC89" s="232"/>
      <c r="AD89" s="233"/>
      <c r="AE89" s="258"/>
      <c r="AF89" s="259"/>
      <c r="AG89" s="260"/>
      <c r="AH89" s="3"/>
      <c r="AI89" s="3"/>
      <c r="AJ89" s="4"/>
      <c r="AK89" s="5"/>
      <c r="AL89" s="6"/>
      <c r="AM89" s="7"/>
      <c r="AN89" s="168"/>
      <c r="AO89" s="168"/>
    </row>
    <row r="90" spans="2:42" thickBot="1">
      <c r="B90" s="1"/>
      <c r="C90" s="1"/>
      <c r="D90" s="162">
        <f>SUM(F91:F122)</f>
        <v>3.4999999999999996</v>
      </c>
      <c r="E90" s="163"/>
      <c r="F90" s="250"/>
      <c r="G90" s="162">
        <f t="shared" ref="G90" si="71">SUM(I91:I122)</f>
        <v>6.7916666666666661</v>
      </c>
      <c r="H90" s="163"/>
      <c r="I90" s="250"/>
      <c r="J90" s="162">
        <f t="shared" ref="J90" si="72">SUM(L91:L122)</f>
        <v>7.8333333333333321</v>
      </c>
      <c r="K90" s="163"/>
      <c r="L90" s="250"/>
      <c r="M90" s="162">
        <f t="shared" ref="M90" si="73">SUM(O91:O122)</f>
        <v>2</v>
      </c>
      <c r="N90" s="163"/>
      <c r="O90" s="250"/>
      <c r="P90" s="162">
        <f t="shared" ref="P90" si="74">SUM(R91:R122)</f>
        <v>4.8541666666666661</v>
      </c>
      <c r="Q90" s="163"/>
      <c r="R90" s="250"/>
      <c r="S90" s="216">
        <f t="shared" ref="S90" si="75">SUM(U91:U122)</f>
        <v>7.791666666666667</v>
      </c>
      <c r="T90" s="194"/>
      <c r="U90" s="195"/>
      <c r="V90" s="162">
        <f t="shared" ref="V90" si="76">SUM(X91:X122)</f>
        <v>0.45833333333333337</v>
      </c>
      <c r="W90" s="163"/>
      <c r="X90" s="164"/>
      <c r="Y90" s="162">
        <f t="shared" ref="Y90" si="77">SUM(AA91:AA122)</f>
        <v>1.875</v>
      </c>
      <c r="Z90" s="163"/>
      <c r="AA90" s="250"/>
      <c r="AB90" s="162">
        <f t="shared" ref="AB90" si="78">SUM(AD91:AD122)</f>
        <v>2.375</v>
      </c>
      <c r="AC90" s="163"/>
      <c r="AD90" s="250"/>
      <c r="AE90" s="162">
        <f t="shared" ref="AE90" si="79">SUM(AG91:AG122)</f>
        <v>4</v>
      </c>
      <c r="AF90" s="163"/>
      <c r="AG90" s="250"/>
      <c r="AH90" s="162">
        <f t="shared" ref="AH90" si="80">SUM(AJ91:AJ122)</f>
        <v>5.375</v>
      </c>
      <c r="AI90" s="163"/>
      <c r="AJ90" s="250"/>
      <c r="AK90" s="162">
        <f t="shared" ref="AK90" si="81">SUM(AM91:AM122)</f>
        <v>4.6666666666666661</v>
      </c>
      <c r="AL90" s="163"/>
      <c r="AM90" s="250"/>
      <c r="AN90" s="8"/>
      <c r="AO90" s="45"/>
      <c r="AP90" s="19">
        <f>SUM(D90:AO90)</f>
        <v>51.520833333333329</v>
      </c>
    </row>
    <row r="91" spans="2:42" ht="14.4">
      <c r="B91" s="112">
        <v>1</v>
      </c>
      <c r="C91" s="113" t="s">
        <v>8</v>
      </c>
      <c r="D91" s="114"/>
      <c r="E91" s="115"/>
      <c r="F91" s="127">
        <f>(IF(D91="u",0.333333333,IF(D91="W",0,IF(D91="C",F91,IF(D91="op",F91,(E91-D91))))))</f>
        <v>0</v>
      </c>
      <c r="G91" s="114" t="s">
        <v>111</v>
      </c>
      <c r="H91" s="115"/>
      <c r="I91" s="127">
        <f>(IF(G91="u",0.333333333,IF(G91="W",0,IF(G91="C",I91,IF(G91="op",I91,(H91-G91))))))</f>
        <v>0</v>
      </c>
      <c r="J91" s="114">
        <v>0.16666666666666666</v>
      </c>
      <c r="K91" s="115">
        <v>0.66666666666666663</v>
      </c>
      <c r="L91" s="127">
        <f>(IF(J91="u",0.333333333,IF(J91="W",0,IF(J91="C",L91,IF(J91="op",L91,(K91-J91))))))</f>
        <v>0.5</v>
      </c>
      <c r="M91" s="114" t="s">
        <v>111</v>
      </c>
      <c r="N91" s="115"/>
      <c r="O91" s="127">
        <f>(IF(M91="u",0.333333333,IF(M91="W",0,IF(M91="C",O91,IF(M91="op",O91,(N91-M91))))))</f>
        <v>0</v>
      </c>
      <c r="P91" s="114" t="s">
        <v>111</v>
      </c>
      <c r="Q91" s="115"/>
      <c r="R91" s="126">
        <f>(IF(P91="u",0.333333333,IF(P91="W",0,IF(P91="C",R91,IF(P91="op",R91,(Q91-P91))))))</f>
        <v>0</v>
      </c>
      <c r="S91" s="114" t="s">
        <v>111</v>
      </c>
      <c r="T91" s="115"/>
      <c r="U91" s="116">
        <f>(IF(S91="u",0.333333333,IF(S91="W",0,IF(S91="C",U91,IF(S91="op",U91,(T91-S91))))))</f>
        <v>0</v>
      </c>
      <c r="V91" s="114">
        <v>0.125</v>
      </c>
      <c r="W91" s="115">
        <v>0.58333333333333337</v>
      </c>
      <c r="X91" s="126">
        <f>(IF(V91="u",0.333333333,IF(V91="W",0,IF(V91="C",X91,IF(V91="op",X91,(W91-V91))))))</f>
        <v>0.45833333333333337</v>
      </c>
      <c r="Y91" s="114" t="s">
        <v>111</v>
      </c>
      <c r="Z91" s="115"/>
      <c r="AA91" s="127">
        <f>(IF(Y91="u",0.333333333,IF(Y91="W",0,IF(Y91="C",AA91,IF(Y91="op",AA91,(Z91-Y91))))))</f>
        <v>0</v>
      </c>
      <c r="AB91" s="114" t="s">
        <v>111</v>
      </c>
      <c r="AC91" s="115"/>
      <c r="AD91" s="126">
        <f>(IF(AB91="u",0.333333333,IF(AB91="W",0,IF(AB91="C",AD91,IF(AB91="op",AD91,(AC91-AB91))))))</f>
        <v>0</v>
      </c>
      <c r="AE91" s="114" t="s">
        <v>111</v>
      </c>
      <c r="AF91" s="115"/>
      <c r="AG91" s="127">
        <f>(IF(AE91="u",0.333333333,IF(AE91="W",0,IF(AE91="C",AG91,IF(AE91="op",AG91,(AF91-AE91))))))</f>
        <v>0</v>
      </c>
      <c r="AH91" s="114" t="s">
        <v>111</v>
      </c>
      <c r="AI91" s="115"/>
      <c r="AJ91" s="126">
        <f>(IF(AH91="u",0.333333333,IF(AH91="W",0,IF(AH91="C",AJ91,IF(AH91="op",AJ91,(AI91-AH91))))))</f>
        <v>0</v>
      </c>
      <c r="AK91" s="114">
        <v>0.625</v>
      </c>
      <c r="AL91" s="115">
        <v>1.125</v>
      </c>
      <c r="AM91" s="127">
        <f>(IF(AK91="u",0.333333333,IF(AK91="W",0,IF(AK91="C",AM91,IF(AK91="op",AM91,(AL91-AK91))))))</f>
        <v>0.5</v>
      </c>
      <c r="AN91" s="112">
        <v>1</v>
      </c>
      <c r="AO91" s="113" t="s">
        <v>8</v>
      </c>
    </row>
    <row r="92" spans="2:42" ht="14.4">
      <c r="B92" s="118">
        <v>2</v>
      </c>
      <c r="C92" s="113" t="s">
        <v>12</v>
      </c>
      <c r="D92" s="119">
        <v>0.625</v>
      </c>
      <c r="E92" s="120">
        <v>1.125</v>
      </c>
      <c r="F92" s="128">
        <f>(IF(D92="u",0.333333333,IF(D92="W",0,IF(D92="C",F92,IF(D92="op",F92,(E92-D92))))))</f>
        <v>0.5</v>
      </c>
      <c r="G92" s="119" t="s">
        <v>111</v>
      </c>
      <c r="H92" s="120"/>
      <c r="I92" s="128">
        <f>(IF(G92="u",0.333333333,IF(G92="W",0,IF(G92="C",I92,IF(G92="op",I92,(H92-G92))))))</f>
        <v>0</v>
      </c>
      <c r="J92" s="119">
        <v>0.16666666666666666</v>
      </c>
      <c r="K92" s="120">
        <v>0.66666666666666663</v>
      </c>
      <c r="L92" s="128">
        <f>(IF(J92="u",0.333333333,IF(J92="W",0,IF(J92="C",L92,IF(J92="op",L92,(K92-J92))))))</f>
        <v>0.5</v>
      </c>
      <c r="M92" s="119" t="s">
        <v>111</v>
      </c>
      <c r="N92" s="120"/>
      <c r="O92" s="128">
        <f>(IF(M92="u",0.333333333,IF(M92="W",0,IF(M92="C",O92,IF(M92="op",O92,(N92-M92))))))</f>
        <v>0</v>
      </c>
      <c r="P92" s="119" t="s">
        <v>111</v>
      </c>
      <c r="Q92" s="120"/>
      <c r="R92" s="129">
        <f>(IF(P92="u",0.333333333,IF(P92="W",0,IF(P92="C",R92,IF(P92="op",R92,(Q92-P92))))))</f>
        <v>0</v>
      </c>
      <c r="S92" s="119"/>
      <c r="T92" s="120"/>
      <c r="U92" s="121">
        <f>(IF(S92="u",0.333333333,IF(S92="W",0,IF(S92="C",U92,IF(S92="op",U92,(T92-S92))))))</f>
        <v>0</v>
      </c>
      <c r="V92" s="119" t="s">
        <v>111</v>
      </c>
      <c r="W92" s="120"/>
      <c r="X92" s="129">
        <f>(IF(V92="u",0.333333333,IF(V92="W",0,IF(V92="C",X92,IF(V92="op",X92,(W92-V92))))))</f>
        <v>0</v>
      </c>
      <c r="Y92" s="119" t="s">
        <v>111</v>
      </c>
      <c r="Z92" s="120"/>
      <c r="AA92" s="128">
        <f>(IF(Y92="u",0.333333333,IF(Y92="W",0,IF(Y92="C",AA92,IF(Y92="op",AA92,(Z92-Y92))))))</f>
        <v>0</v>
      </c>
      <c r="AB92" s="119" t="s">
        <v>111</v>
      </c>
      <c r="AC92" s="120"/>
      <c r="AD92" s="129">
        <f>(IF(AB92="u",0.333333333,IF(AB92="W",0,IF(AB92="C",AD92,IF(AB92="op",AD92,(AC92-AB92))))))</f>
        <v>0</v>
      </c>
      <c r="AE92" s="119" t="s">
        <v>111</v>
      </c>
      <c r="AF92" s="120"/>
      <c r="AG92" s="128">
        <f>(IF(AE92="u",0.333333333,IF(AE92="W",0,IF(AE92="C",AG92,IF(AE92="op",AG92,(AF92-AE92))))))</f>
        <v>0</v>
      </c>
      <c r="AH92" s="119" t="s">
        <v>111</v>
      </c>
      <c r="AI92" s="120"/>
      <c r="AJ92" s="129">
        <f>(IF(AH92="u",0.333333333,IF(AH92="W",0,IF(AH92="C",AJ92,IF(AH92="op",AJ92,(AI92-AH92))))))</f>
        <v>0</v>
      </c>
      <c r="AK92" s="119" t="s">
        <v>111</v>
      </c>
      <c r="AL92" s="120"/>
      <c r="AM92" s="128">
        <f>(IF(AK92="u",0.333333333,IF(AK92="W",0,IF(AK92="C",AM92,IF(AK92="op",AM92,(AL92-AK92))))))</f>
        <v>0</v>
      </c>
      <c r="AN92" s="118">
        <v>2</v>
      </c>
      <c r="AO92" s="113" t="s">
        <v>12</v>
      </c>
    </row>
    <row r="93" spans="2:42" ht="14.4">
      <c r="B93" s="118">
        <v>3</v>
      </c>
      <c r="C93" s="113" t="s">
        <v>85</v>
      </c>
      <c r="D93" s="119" t="s">
        <v>111</v>
      </c>
      <c r="E93" s="120"/>
      <c r="F93" s="128">
        <f t="shared" ref="F93:F94" si="82">(IF(D93="u",0.333333333,IF(D93="W",0,IF(D93="C",F93,IF(D93="op",F93,(E93-D93))))))</f>
        <v>0</v>
      </c>
      <c r="G93" s="119" t="s">
        <v>111</v>
      </c>
      <c r="H93" s="120"/>
      <c r="I93" s="128">
        <f t="shared" ref="I93:I94" si="83">(IF(G93="u",0.333333333,IF(G93="W",0,IF(G93="C",I93,IF(G93="op",I93,(H93-G93))))))</f>
        <v>0</v>
      </c>
      <c r="J93" s="119" t="s">
        <v>111</v>
      </c>
      <c r="K93" s="120"/>
      <c r="L93" s="128">
        <f t="shared" ref="L93:L94" si="84">(IF(J93="u",0.333333333,IF(J93="W",0,IF(J93="C",L93,IF(J93="op",L93,(K93-J93))))))</f>
        <v>0</v>
      </c>
      <c r="M93" s="119" t="s">
        <v>111</v>
      </c>
      <c r="N93" s="120"/>
      <c r="O93" s="128">
        <f t="shared" ref="O93:O94" si="85">(IF(M93="u",0.333333333,IF(M93="W",0,IF(M93="C",O93,IF(M93="op",O93,(N93-M93))))))</f>
        <v>0</v>
      </c>
      <c r="P93" s="119" t="s">
        <v>111</v>
      </c>
      <c r="Q93" s="120"/>
      <c r="R93" s="129">
        <f t="shared" ref="R93:R94" si="86">(IF(P93="u",0.333333333,IF(P93="W",0,IF(P93="C",R93,IF(P93="op",R93,(Q93-P93))))))</f>
        <v>0</v>
      </c>
      <c r="S93" s="119">
        <v>0.625</v>
      </c>
      <c r="T93" s="120">
        <v>1.125</v>
      </c>
      <c r="U93" s="121">
        <f t="shared" ref="U93:U94" si="87">(IF(S93="u",0.333333333,IF(S93="W",0,IF(S93="C",U93,IF(S93="op",U93,(T93-S93))))))</f>
        <v>0.5</v>
      </c>
      <c r="V93" s="119" t="s">
        <v>111</v>
      </c>
      <c r="W93" s="120"/>
      <c r="X93" s="129">
        <f t="shared" ref="X93:X94" si="88">(IF(V93="u",0.333333333,IF(V93="W",0,IF(V93="C",X93,IF(V93="op",X93,(W93-V93))))))</f>
        <v>0</v>
      </c>
      <c r="Y93" s="119" t="s">
        <v>111</v>
      </c>
      <c r="Z93" s="120"/>
      <c r="AA93" s="128">
        <f t="shared" ref="AA93:AA94" si="89">(IF(Y93="u",0.333333333,IF(Y93="W",0,IF(Y93="C",AA93,IF(Y93="op",AA93,(Z93-Y93))))))</f>
        <v>0</v>
      </c>
      <c r="AB93" s="119" t="s">
        <v>111</v>
      </c>
      <c r="AC93" s="120"/>
      <c r="AD93" s="129">
        <f t="shared" ref="AD93:AD94" si="90">(IF(AB93="u",0.333333333,IF(AB93="W",0,IF(AB93="C",AD93,IF(AB93="op",AD93,(AC93-AB93))))))</f>
        <v>0</v>
      </c>
      <c r="AE93" s="119" t="s">
        <v>111</v>
      </c>
      <c r="AF93" s="120"/>
      <c r="AG93" s="128">
        <f t="shared" ref="AG93:AG94" si="91">(IF(AE93="u",0.333333333,IF(AE93="W",0,IF(AE93="C",AG93,IF(AE93="op",AG93,(AF93-AE93))))))</f>
        <v>0</v>
      </c>
      <c r="AH93" s="119" t="s">
        <v>111</v>
      </c>
      <c r="AI93" s="120"/>
      <c r="AJ93" s="129">
        <f t="shared" ref="AJ93:AJ94" si="92">(IF(AH93="u",0.333333333,IF(AH93="W",0,IF(AH93="C",AJ93,IF(AH93="op",AJ93,(AI93-AH93))))))</f>
        <v>0</v>
      </c>
      <c r="AK93" s="119" t="s">
        <v>111</v>
      </c>
      <c r="AL93" s="120"/>
      <c r="AM93" s="128">
        <f t="shared" ref="AM93:AM94" si="93">(IF(AK93="u",0.333333333,IF(AK93="W",0,IF(AK93="C",AM93,IF(AK93="op",AM93,(AL93-AK93))))))</f>
        <v>0</v>
      </c>
      <c r="AN93" s="118">
        <v>3</v>
      </c>
      <c r="AO93" s="113" t="s">
        <v>85</v>
      </c>
    </row>
    <row r="94" spans="2:42" ht="14.4">
      <c r="B94" s="118">
        <v>4</v>
      </c>
      <c r="C94" s="113" t="s">
        <v>4</v>
      </c>
      <c r="D94" s="119" t="s">
        <v>111</v>
      </c>
      <c r="E94" s="120"/>
      <c r="F94" s="128">
        <f t="shared" si="82"/>
        <v>0</v>
      </c>
      <c r="G94" s="119" t="s">
        <v>111</v>
      </c>
      <c r="H94" s="120"/>
      <c r="I94" s="128">
        <f t="shared" si="83"/>
        <v>0</v>
      </c>
      <c r="J94" s="119" t="s">
        <v>111</v>
      </c>
      <c r="K94" s="120"/>
      <c r="L94" s="128">
        <f t="shared" si="84"/>
        <v>0</v>
      </c>
      <c r="M94" s="119" t="s">
        <v>111</v>
      </c>
      <c r="N94" s="120"/>
      <c r="O94" s="128">
        <f t="shared" si="85"/>
        <v>0</v>
      </c>
      <c r="P94" s="119" t="s">
        <v>111</v>
      </c>
      <c r="Q94" s="120"/>
      <c r="R94" s="129">
        <f t="shared" si="86"/>
        <v>0</v>
      </c>
      <c r="S94" s="119" t="s">
        <v>111</v>
      </c>
      <c r="T94" s="120"/>
      <c r="U94" s="121">
        <f t="shared" si="87"/>
        <v>0</v>
      </c>
      <c r="V94" s="119" t="s">
        <v>111</v>
      </c>
      <c r="W94" s="120"/>
      <c r="X94" s="129">
        <f t="shared" si="88"/>
        <v>0</v>
      </c>
      <c r="Y94" s="119" t="s">
        <v>111</v>
      </c>
      <c r="Z94" s="120"/>
      <c r="AA94" s="128">
        <f t="shared" si="89"/>
        <v>0</v>
      </c>
      <c r="AB94" s="119" t="s">
        <v>111</v>
      </c>
      <c r="AC94" s="120"/>
      <c r="AD94" s="129">
        <f t="shared" si="90"/>
        <v>0</v>
      </c>
      <c r="AE94" s="119" t="s">
        <v>111</v>
      </c>
      <c r="AF94" s="120"/>
      <c r="AG94" s="128">
        <f t="shared" si="91"/>
        <v>0</v>
      </c>
      <c r="AH94" s="119" t="s">
        <v>111</v>
      </c>
      <c r="AI94" s="120"/>
      <c r="AJ94" s="129">
        <f t="shared" si="92"/>
        <v>0</v>
      </c>
      <c r="AK94" s="119">
        <v>0.125</v>
      </c>
      <c r="AL94" s="120">
        <v>0.54166666666666663</v>
      </c>
      <c r="AM94" s="128">
        <f t="shared" si="93"/>
        <v>0.41666666666666663</v>
      </c>
      <c r="AN94" s="118">
        <v>4</v>
      </c>
      <c r="AO94" s="113" t="s">
        <v>4</v>
      </c>
    </row>
    <row r="95" spans="2:42" ht="14.4">
      <c r="B95" s="86">
        <v>5</v>
      </c>
      <c r="C95" s="87" t="s">
        <v>5</v>
      </c>
      <c r="D95" s="88" t="s">
        <v>111</v>
      </c>
      <c r="E95" s="89"/>
      <c r="F95" s="92">
        <f>(IF(D95="u",0.333333333,IF(D95="W",0,IF(D95="C",F95,IF(D95="op",F95,(E95-D95))))))</f>
        <v>0</v>
      </c>
      <c r="G95" s="88" t="s">
        <v>111</v>
      </c>
      <c r="H95" s="89"/>
      <c r="I95" s="92">
        <f>(IF(G95="u",0.333333333,IF(G95="W",0,IF(G95="C",I95,IF(G95="op",I95,(H95-G95))))))</f>
        <v>0</v>
      </c>
      <c r="J95" s="88">
        <v>0.16666666666666666</v>
      </c>
      <c r="K95" s="89">
        <v>0.66666666666666663</v>
      </c>
      <c r="L95" s="92">
        <f>(IF(J95="u",0.333333333,IF(J95="W",0,IF(J95="C",L95,IF(J95="op",L95,(K95-J95))))))</f>
        <v>0.5</v>
      </c>
      <c r="M95" s="88">
        <v>0.16666666666666666</v>
      </c>
      <c r="N95" s="89">
        <v>0.66666666666666663</v>
      </c>
      <c r="O95" s="92">
        <f>(IF(M95="u",0.333333333,IF(M95="W",0,IF(M95="C",O95,IF(M95="op",O95,(N95-M95))))))</f>
        <v>0.5</v>
      </c>
      <c r="P95" s="88">
        <v>0.16666666666666666</v>
      </c>
      <c r="Q95" s="89">
        <v>0.66666666666666663</v>
      </c>
      <c r="R95" s="93">
        <f>(IF(P95="u",0.333333333,IF(P95="W",0,IF(P95="C",R95,IF(P95="op",R95,(Q95-P95))))))</f>
        <v>0.5</v>
      </c>
      <c r="S95" s="88" t="s">
        <v>111</v>
      </c>
      <c r="T95" s="89"/>
      <c r="U95" s="90">
        <f>(IF(S95="u",0.333333333,IF(S95="W",0,IF(S95="C",U95,IF(S95="op",U95,(T95-S95))))))</f>
        <v>0</v>
      </c>
      <c r="V95" s="88"/>
      <c r="W95" s="89"/>
      <c r="X95" s="93">
        <f>(IF(V95="u",0.333333333,IF(V95="W",0,IF(V95="C",X95,IF(V95="op",X95,(W95-V95))))))</f>
        <v>0</v>
      </c>
      <c r="Y95" s="88" t="s">
        <v>111</v>
      </c>
      <c r="Z95" s="89"/>
      <c r="AA95" s="92">
        <f>(IF(Y95="u",0.333333333,IF(Y95="W",0,IF(Y95="C",AA95,IF(Y95="op",AA95,(Z95-Y95))))))</f>
        <v>0</v>
      </c>
      <c r="AB95" s="88" t="s">
        <v>111</v>
      </c>
      <c r="AC95" s="89"/>
      <c r="AD95" s="93">
        <f>(IF(AB95="u",0.333333333,IF(AB95="W",0,IF(AB95="C",AD95,IF(AB95="op",AD95,(AC95-AB95))))))</f>
        <v>0</v>
      </c>
      <c r="AE95" s="88">
        <v>0.14583333333333334</v>
      </c>
      <c r="AF95" s="89">
        <v>0.64583333333333337</v>
      </c>
      <c r="AG95" s="92">
        <f>(IF(AE95="u",0.333333333,IF(AE95="W",0,IF(AE95="C",AG95,IF(AE95="op",AG95,(AF95-AE95))))))</f>
        <v>0.5</v>
      </c>
      <c r="AH95" s="88">
        <v>0.125</v>
      </c>
      <c r="AI95" s="89">
        <v>0.54166666666666663</v>
      </c>
      <c r="AJ95" s="93">
        <f>(IF(AH95="u",0.333333333,IF(AH95="W",0,IF(AH95="C",AJ95,IF(AH95="op",AJ95,(AI95-AH95))))))</f>
        <v>0.41666666666666663</v>
      </c>
      <c r="AK95" s="88" t="s">
        <v>111</v>
      </c>
      <c r="AL95" s="89"/>
      <c r="AM95" s="92">
        <f>(IF(AK95="u",0.333333333,IF(AK95="W",0,IF(AK95="C",AM95,IF(AK95="op",AM95,(AL95-AK95))))))</f>
        <v>0</v>
      </c>
      <c r="AN95" s="86">
        <v>5</v>
      </c>
      <c r="AO95" s="87" t="s">
        <v>5</v>
      </c>
    </row>
    <row r="96" spans="2:42" ht="14.4">
      <c r="B96" s="86">
        <v>6</v>
      </c>
      <c r="C96" s="87" t="s">
        <v>6</v>
      </c>
      <c r="D96" s="88" t="s">
        <v>111</v>
      </c>
      <c r="E96" s="89"/>
      <c r="F96" s="92">
        <f t="shared" ref="F96:F104" si="94">(IF(D96="u",0.333333333,IF(D96="W",0,IF(D96="C",F96,IF(D96="op",F96,(E96-D96))))))</f>
        <v>0</v>
      </c>
      <c r="G96" s="88" t="s">
        <v>111</v>
      </c>
      <c r="H96" s="89"/>
      <c r="I96" s="92">
        <f t="shared" ref="I96:I104" si="95">(IF(G96="u",0.333333333,IF(G96="W",0,IF(G96="C",I96,IF(G96="op",I96,(H96-G96))))))</f>
        <v>0</v>
      </c>
      <c r="J96" s="88" t="s">
        <v>111</v>
      </c>
      <c r="K96" s="89"/>
      <c r="L96" s="92">
        <f t="shared" ref="L96:L104" si="96">(IF(J96="u",0.333333333,IF(J96="W",0,IF(J96="C",L96,IF(J96="op",L96,(K96-J96))))))</f>
        <v>0</v>
      </c>
      <c r="M96" s="88" t="s">
        <v>111</v>
      </c>
      <c r="N96" s="89"/>
      <c r="O96" s="92">
        <f t="shared" ref="O96:O104" si="97">(IF(M96="u",0.333333333,IF(M96="W",0,IF(M96="C",O96,IF(M96="op",O96,(N96-M96))))))</f>
        <v>0</v>
      </c>
      <c r="P96" s="88">
        <v>0.66666666666666663</v>
      </c>
      <c r="Q96" s="89">
        <v>1.1666666666666667</v>
      </c>
      <c r="R96" s="93">
        <f t="shared" ref="R96:R104" si="98">(IF(P96="u",0.333333333,IF(P96="W",0,IF(P96="C",R96,IF(P96="op",R96,(Q96-P96))))))</f>
        <v>0.50000000000000011</v>
      </c>
      <c r="S96" s="88">
        <v>0.625</v>
      </c>
      <c r="T96" s="89">
        <v>1.125</v>
      </c>
      <c r="U96" s="90">
        <f t="shared" ref="U96:U104" si="99">(IF(S96="u",0.333333333,IF(S96="W",0,IF(S96="C",U96,IF(S96="op",U96,(T96-S96))))))</f>
        <v>0.5</v>
      </c>
      <c r="V96" s="88" t="s">
        <v>111</v>
      </c>
      <c r="W96" s="89"/>
      <c r="X96" s="93">
        <f t="shared" ref="X96:X104" si="100">(IF(V96="u",0.333333333,IF(V96="W",0,IF(V96="C",X96,IF(V96="op",X96,(W96-V96))))))</f>
        <v>0</v>
      </c>
      <c r="Y96" s="88"/>
      <c r="Z96" s="89"/>
      <c r="AA96" s="92">
        <f t="shared" ref="AA96:AA104" si="101">(IF(Y96="u",0.333333333,IF(Y96="W",0,IF(Y96="C",AA96,IF(Y96="op",AA96,(Z96-Y96))))))</f>
        <v>0</v>
      </c>
      <c r="AB96" s="88" t="s">
        <v>111</v>
      </c>
      <c r="AC96" s="89"/>
      <c r="AD96" s="93">
        <f t="shared" ref="AD96:AD104" si="102">(IF(AB96="u",0.333333333,IF(AB96="W",0,IF(AB96="C",AD96,IF(AB96="op",AD96,(AC96-AB96))))))</f>
        <v>0</v>
      </c>
      <c r="AE96" s="88">
        <v>0.66666666666666663</v>
      </c>
      <c r="AF96" s="89">
        <v>1.1666666666666667</v>
      </c>
      <c r="AG96" s="92">
        <f t="shared" ref="AG96:AG104" si="103">(IF(AE96="u",0.333333333,IF(AE96="W",0,IF(AE96="C",AG96,IF(AE96="op",AG96,(AF96-AE96))))))</f>
        <v>0.50000000000000011</v>
      </c>
      <c r="AH96" s="88">
        <v>0.14583333333333334</v>
      </c>
      <c r="AI96" s="89">
        <v>0.64583333333333337</v>
      </c>
      <c r="AJ96" s="93">
        <f t="shared" ref="AJ96:AJ104" si="104">(IF(AH96="u",0.333333333,IF(AH96="W",0,IF(AH96="C",AJ96,IF(AH96="op",AJ96,(AI96-AH96))))))</f>
        <v>0.5</v>
      </c>
      <c r="AK96" s="88">
        <v>0.125</v>
      </c>
      <c r="AL96" s="89">
        <v>0.54166666666666663</v>
      </c>
      <c r="AM96" s="92">
        <f t="shared" ref="AM96:AM103" si="105">(IF(AK96="u",0.333333333,IF(AK96="W",0,IF(AK96="C",AM96,IF(AK96="op",AM96,(AL96-AK96))))))</f>
        <v>0.41666666666666663</v>
      </c>
      <c r="AN96" s="86">
        <v>6</v>
      </c>
      <c r="AO96" s="87" t="s">
        <v>6</v>
      </c>
    </row>
    <row r="97" spans="1:42" ht="14.4">
      <c r="B97" s="118">
        <v>7</v>
      </c>
      <c r="C97" s="113" t="s">
        <v>7</v>
      </c>
      <c r="D97" s="119"/>
      <c r="E97" s="120"/>
      <c r="F97" s="128">
        <f t="shared" si="94"/>
        <v>0</v>
      </c>
      <c r="G97" s="119" t="s">
        <v>111</v>
      </c>
      <c r="H97" s="120"/>
      <c r="I97" s="128">
        <f t="shared" si="95"/>
        <v>0</v>
      </c>
      <c r="J97" s="119">
        <v>0.14583333333333334</v>
      </c>
      <c r="K97" s="120">
        <v>0.64583333333333337</v>
      </c>
      <c r="L97" s="128">
        <f t="shared" si="96"/>
        <v>0.5</v>
      </c>
      <c r="M97" s="119" t="s">
        <v>111</v>
      </c>
      <c r="N97" s="120"/>
      <c r="O97" s="128">
        <f t="shared" si="97"/>
        <v>0</v>
      </c>
      <c r="P97" s="119" t="s">
        <v>111</v>
      </c>
      <c r="Q97" s="120"/>
      <c r="R97" s="129">
        <f t="shared" si="98"/>
        <v>0</v>
      </c>
      <c r="S97" s="119" t="s">
        <v>111</v>
      </c>
      <c r="T97" s="120"/>
      <c r="U97" s="121">
        <f t="shared" si="99"/>
        <v>0</v>
      </c>
      <c r="V97" s="119" t="s">
        <v>111</v>
      </c>
      <c r="W97" s="120"/>
      <c r="X97" s="129">
        <f t="shared" si="100"/>
        <v>0</v>
      </c>
      <c r="Y97" s="119" t="s">
        <v>111</v>
      </c>
      <c r="Z97" s="120"/>
      <c r="AA97" s="128">
        <f t="shared" si="101"/>
        <v>0</v>
      </c>
      <c r="AB97" s="119" t="s">
        <v>111</v>
      </c>
      <c r="AC97" s="120"/>
      <c r="AD97" s="129">
        <f t="shared" si="102"/>
        <v>0</v>
      </c>
      <c r="AE97" s="119" t="s">
        <v>111</v>
      </c>
      <c r="AF97" s="120"/>
      <c r="AG97" s="128">
        <f t="shared" si="103"/>
        <v>0</v>
      </c>
      <c r="AH97" s="119">
        <v>0.625</v>
      </c>
      <c r="AI97" s="120">
        <v>1.125</v>
      </c>
      <c r="AJ97" s="129">
        <f t="shared" si="104"/>
        <v>0.5</v>
      </c>
      <c r="AK97" s="119" t="s">
        <v>111</v>
      </c>
      <c r="AL97" s="120"/>
      <c r="AM97" s="128">
        <f t="shared" si="105"/>
        <v>0</v>
      </c>
      <c r="AN97" s="118">
        <v>7</v>
      </c>
      <c r="AO97" s="113" t="s">
        <v>7</v>
      </c>
    </row>
    <row r="98" spans="1:42" ht="14.4">
      <c r="B98" s="118">
        <v>8</v>
      </c>
      <c r="C98" s="113" t="s">
        <v>8</v>
      </c>
      <c r="D98" s="119">
        <v>0.5</v>
      </c>
      <c r="E98" s="120">
        <v>0.91666666666666663</v>
      </c>
      <c r="F98" s="128">
        <f t="shared" si="94"/>
        <v>0.41666666666666663</v>
      </c>
      <c r="G98" s="119">
        <v>0.625</v>
      </c>
      <c r="H98" s="120">
        <v>1.125</v>
      </c>
      <c r="I98" s="128">
        <f t="shared" si="95"/>
        <v>0.5</v>
      </c>
      <c r="J98" s="119">
        <v>0.125</v>
      </c>
      <c r="K98" s="120">
        <v>0.58333333333333337</v>
      </c>
      <c r="L98" s="128">
        <f t="shared" si="96"/>
        <v>0.45833333333333337</v>
      </c>
      <c r="M98" s="119" t="s">
        <v>111</v>
      </c>
      <c r="N98" s="120"/>
      <c r="O98" s="128">
        <f t="shared" si="97"/>
        <v>0</v>
      </c>
      <c r="P98" s="119"/>
      <c r="Q98" s="120"/>
      <c r="R98" s="129">
        <f t="shared" si="98"/>
        <v>0</v>
      </c>
      <c r="S98" s="119" t="s">
        <v>111</v>
      </c>
      <c r="T98" s="120"/>
      <c r="U98" s="121">
        <f t="shared" si="99"/>
        <v>0</v>
      </c>
      <c r="V98" s="119" t="s">
        <v>111</v>
      </c>
      <c r="W98" s="120"/>
      <c r="X98" s="129">
        <f t="shared" si="100"/>
        <v>0</v>
      </c>
      <c r="Y98" s="119" t="s">
        <v>111</v>
      </c>
      <c r="Z98" s="120"/>
      <c r="AA98" s="128">
        <f t="shared" si="101"/>
        <v>0</v>
      </c>
      <c r="AB98" s="119" t="s">
        <v>111</v>
      </c>
      <c r="AC98" s="120"/>
      <c r="AD98" s="129">
        <f t="shared" si="102"/>
        <v>0</v>
      </c>
      <c r="AE98" s="119" t="s">
        <v>111</v>
      </c>
      <c r="AF98" s="120"/>
      <c r="AG98" s="128">
        <f t="shared" si="103"/>
        <v>0</v>
      </c>
      <c r="AH98" s="119" t="s">
        <v>111</v>
      </c>
      <c r="AI98" s="120"/>
      <c r="AJ98" s="129">
        <f t="shared" si="104"/>
        <v>0</v>
      </c>
      <c r="AK98" s="119" t="s">
        <v>111</v>
      </c>
      <c r="AL98" s="120"/>
      <c r="AM98" s="128">
        <f t="shared" si="105"/>
        <v>0</v>
      </c>
      <c r="AN98" s="118">
        <v>8</v>
      </c>
      <c r="AO98" s="113" t="s">
        <v>8</v>
      </c>
    </row>
    <row r="99" spans="1:42" ht="15.75" customHeight="1">
      <c r="B99" s="118">
        <v>9</v>
      </c>
      <c r="C99" s="113" t="s">
        <v>12</v>
      </c>
      <c r="D99" s="119"/>
      <c r="E99" s="120"/>
      <c r="F99" s="128">
        <f t="shared" si="94"/>
        <v>0</v>
      </c>
      <c r="G99" s="119">
        <v>0.66666666666666663</v>
      </c>
      <c r="H99" s="120">
        <v>1.1666666666666667</v>
      </c>
      <c r="I99" s="128">
        <f t="shared" si="95"/>
        <v>0.50000000000000011</v>
      </c>
      <c r="J99" s="119" t="s">
        <v>111</v>
      </c>
      <c r="K99" s="120"/>
      <c r="L99" s="128">
        <f t="shared" si="96"/>
        <v>0</v>
      </c>
      <c r="M99" s="119" t="s">
        <v>111</v>
      </c>
      <c r="N99" s="120"/>
      <c r="O99" s="128">
        <f t="shared" si="97"/>
        <v>0</v>
      </c>
      <c r="P99" s="119" t="s">
        <v>111</v>
      </c>
      <c r="Q99" s="120"/>
      <c r="R99" s="129">
        <f t="shared" si="98"/>
        <v>0</v>
      </c>
      <c r="S99" s="119">
        <v>0.66666666666666663</v>
      </c>
      <c r="T99" s="120">
        <v>1.1666666666666667</v>
      </c>
      <c r="U99" s="121">
        <f t="shared" si="99"/>
        <v>0.50000000000000011</v>
      </c>
      <c r="V99" s="119" t="s">
        <v>111</v>
      </c>
      <c r="W99" s="120"/>
      <c r="X99" s="129">
        <f t="shared" si="100"/>
        <v>0</v>
      </c>
      <c r="Y99" s="119" t="s">
        <v>111</v>
      </c>
      <c r="Z99" s="120"/>
      <c r="AA99" s="128">
        <f t="shared" si="101"/>
        <v>0</v>
      </c>
      <c r="AB99" s="119" t="s">
        <v>111</v>
      </c>
      <c r="AC99" s="120"/>
      <c r="AD99" s="129">
        <f t="shared" si="102"/>
        <v>0</v>
      </c>
      <c r="AE99" s="119" t="s">
        <v>111</v>
      </c>
      <c r="AF99" s="120"/>
      <c r="AG99" s="128">
        <f t="shared" si="103"/>
        <v>0</v>
      </c>
      <c r="AH99" s="119" t="s">
        <v>111</v>
      </c>
      <c r="AI99" s="120"/>
      <c r="AJ99" s="129">
        <f t="shared" si="104"/>
        <v>0</v>
      </c>
      <c r="AK99" s="119" t="s">
        <v>111</v>
      </c>
      <c r="AL99" s="120"/>
      <c r="AM99" s="128">
        <f t="shared" si="105"/>
        <v>0</v>
      </c>
      <c r="AN99" s="118">
        <v>9</v>
      </c>
      <c r="AO99" s="113" t="s">
        <v>12</v>
      </c>
    </row>
    <row r="100" spans="1:42" ht="14.4">
      <c r="B100" s="118">
        <v>10</v>
      </c>
      <c r="C100" s="113" t="s">
        <v>85</v>
      </c>
      <c r="D100" s="119" t="s">
        <v>111</v>
      </c>
      <c r="E100" s="120"/>
      <c r="F100" s="128">
        <f t="shared" si="94"/>
        <v>0</v>
      </c>
      <c r="G100" s="119">
        <v>0.625</v>
      </c>
      <c r="H100" s="120">
        <v>1.125</v>
      </c>
      <c r="I100" s="128">
        <f t="shared" si="95"/>
        <v>0.5</v>
      </c>
      <c r="J100" s="119"/>
      <c r="K100" s="120"/>
      <c r="L100" s="128">
        <f t="shared" si="96"/>
        <v>0</v>
      </c>
      <c r="M100" s="119" t="s">
        <v>111</v>
      </c>
      <c r="N100" s="120"/>
      <c r="O100" s="128">
        <f t="shared" si="97"/>
        <v>0</v>
      </c>
      <c r="P100" s="119" t="s">
        <v>111</v>
      </c>
      <c r="Q100" s="120"/>
      <c r="R100" s="129">
        <f t="shared" si="98"/>
        <v>0</v>
      </c>
      <c r="S100" s="119">
        <v>0.66666666666666663</v>
      </c>
      <c r="T100" s="120">
        <v>1.1666666666666667</v>
      </c>
      <c r="U100" s="121">
        <f t="shared" si="99"/>
        <v>0.50000000000000011</v>
      </c>
      <c r="V100" s="119" t="s">
        <v>111</v>
      </c>
      <c r="W100" s="120"/>
      <c r="X100" s="129">
        <f t="shared" si="100"/>
        <v>0</v>
      </c>
      <c r="Y100" s="119">
        <v>0.5</v>
      </c>
      <c r="Z100" s="120">
        <v>0.95833333333333337</v>
      </c>
      <c r="AA100" s="128">
        <f t="shared" si="101"/>
        <v>0.45833333333333337</v>
      </c>
      <c r="AB100" s="119" t="s">
        <v>111</v>
      </c>
      <c r="AC100" s="120"/>
      <c r="AD100" s="129">
        <f t="shared" si="102"/>
        <v>0</v>
      </c>
      <c r="AE100" s="119" t="s">
        <v>111</v>
      </c>
      <c r="AF100" s="120"/>
      <c r="AG100" s="128">
        <f t="shared" si="103"/>
        <v>0</v>
      </c>
      <c r="AH100" s="119" t="s">
        <v>111</v>
      </c>
      <c r="AI100" s="120"/>
      <c r="AJ100" s="129">
        <f t="shared" si="104"/>
        <v>0</v>
      </c>
      <c r="AK100" s="119" t="s">
        <v>111</v>
      </c>
      <c r="AL100" s="120"/>
      <c r="AM100" s="128">
        <f t="shared" si="105"/>
        <v>0</v>
      </c>
      <c r="AN100" s="118">
        <v>10</v>
      </c>
      <c r="AO100" s="113" t="s">
        <v>85</v>
      </c>
    </row>
    <row r="101" spans="1:42" ht="14.4">
      <c r="B101" s="118">
        <v>11</v>
      </c>
      <c r="C101" s="113" t="s">
        <v>4</v>
      </c>
      <c r="D101" s="119" t="s">
        <v>111</v>
      </c>
      <c r="E101" s="120"/>
      <c r="F101" s="128">
        <f t="shared" si="94"/>
        <v>0</v>
      </c>
      <c r="G101" s="119">
        <v>0.625</v>
      </c>
      <c r="H101" s="120">
        <v>1.125</v>
      </c>
      <c r="I101" s="128">
        <f t="shared" si="95"/>
        <v>0.5</v>
      </c>
      <c r="J101" s="119">
        <v>0.5</v>
      </c>
      <c r="K101" s="120">
        <v>0.875</v>
      </c>
      <c r="L101" s="128">
        <f t="shared" si="96"/>
        <v>0.375</v>
      </c>
      <c r="M101" s="119" t="s">
        <v>111</v>
      </c>
      <c r="N101" s="120"/>
      <c r="O101" s="128">
        <f t="shared" si="97"/>
        <v>0</v>
      </c>
      <c r="P101" s="119" t="s">
        <v>111</v>
      </c>
      <c r="Q101" s="120"/>
      <c r="R101" s="129">
        <f t="shared" si="98"/>
        <v>0</v>
      </c>
      <c r="S101" s="119">
        <v>0.66666666666666663</v>
      </c>
      <c r="T101" s="120">
        <v>1.1666666666666667</v>
      </c>
      <c r="U101" s="121">
        <f t="shared" si="99"/>
        <v>0.50000000000000011</v>
      </c>
      <c r="V101" s="119" t="s">
        <v>111</v>
      </c>
      <c r="W101" s="120"/>
      <c r="X101" s="129">
        <f t="shared" si="100"/>
        <v>0</v>
      </c>
      <c r="Y101" s="119" t="s">
        <v>111</v>
      </c>
      <c r="Z101" s="120"/>
      <c r="AA101" s="128">
        <f t="shared" si="101"/>
        <v>0</v>
      </c>
      <c r="AB101" s="119" t="s">
        <v>111</v>
      </c>
      <c r="AC101" s="120"/>
      <c r="AD101" s="129">
        <f t="shared" si="102"/>
        <v>0</v>
      </c>
      <c r="AE101" s="119" t="s">
        <v>111</v>
      </c>
      <c r="AF101" s="120"/>
      <c r="AG101" s="128">
        <f t="shared" si="103"/>
        <v>0</v>
      </c>
      <c r="AH101" s="119" t="s">
        <v>111</v>
      </c>
      <c r="AI101" s="120"/>
      <c r="AJ101" s="129">
        <f t="shared" si="104"/>
        <v>0</v>
      </c>
      <c r="AK101" s="119">
        <v>0.16666666666666666</v>
      </c>
      <c r="AL101" s="120">
        <v>0.66666666666666663</v>
      </c>
      <c r="AM101" s="128">
        <f t="shared" si="105"/>
        <v>0.5</v>
      </c>
      <c r="AN101" s="118">
        <v>11</v>
      </c>
      <c r="AO101" s="113" t="s">
        <v>4</v>
      </c>
    </row>
    <row r="102" spans="1:42" ht="14.4">
      <c r="B102" s="86">
        <v>12</v>
      </c>
      <c r="C102" s="87" t="s">
        <v>5</v>
      </c>
      <c r="D102" s="88" t="s">
        <v>111</v>
      </c>
      <c r="E102" s="89"/>
      <c r="F102" s="92">
        <f t="shared" si="94"/>
        <v>0</v>
      </c>
      <c r="G102" s="88"/>
      <c r="H102" s="89"/>
      <c r="I102" s="92">
        <f t="shared" si="95"/>
        <v>0</v>
      </c>
      <c r="J102" s="88">
        <v>0.41666666666666669</v>
      </c>
      <c r="K102" s="89">
        <v>0.83333333333333337</v>
      </c>
      <c r="L102" s="92">
        <f t="shared" si="96"/>
        <v>0.41666666666666669</v>
      </c>
      <c r="M102" s="88"/>
      <c r="N102" s="89"/>
      <c r="O102" s="92">
        <f t="shared" si="97"/>
        <v>0</v>
      </c>
      <c r="P102" s="88">
        <v>0.14583333333333334</v>
      </c>
      <c r="Q102" s="89">
        <v>0.64583333333333337</v>
      </c>
      <c r="R102" s="93">
        <f t="shared" si="98"/>
        <v>0.5</v>
      </c>
      <c r="S102" s="88" t="s">
        <v>111</v>
      </c>
      <c r="T102" s="89"/>
      <c r="U102" s="90">
        <f t="shared" si="99"/>
        <v>0</v>
      </c>
      <c r="V102" s="88"/>
      <c r="W102" s="89"/>
      <c r="X102" s="93">
        <f t="shared" si="100"/>
        <v>0</v>
      </c>
      <c r="Y102" s="88"/>
      <c r="Z102" s="89"/>
      <c r="AA102" s="92">
        <f t="shared" si="101"/>
        <v>0</v>
      </c>
      <c r="AB102" s="88"/>
      <c r="AC102" s="89"/>
      <c r="AD102" s="93">
        <f t="shared" si="102"/>
        <v>0</v>
      </c>
      <c r="AE102" s="88">
        <v>0.14583333333333334</v>
      </c>
      <c r="AF102" s="89">
        <v>0.64583333333333337</v>
      </c>
      <c r="AG102" s="92">
        <f t="shared" si="103"/>
        <v>0.5</v>
      </c>
      <c r="AH102" s="88">
        <v>0.66666666666666663</v>
      </c>
      <c r="AI102" s="89">
        <v>1.1666666666666667</v>
      </c>
      <c r="AJ102" s="93">
        <f t="shared" si="104"/>
        <v>0.50000000000000011</v>
      </c>
      <c r="AK102" s="88"/>
      <c r="AL102" s="89"/>
      <c r="AM102" s="92">
        <f t="shared" si="105"/>
        <v>0</v>
      </c>
      <c r="AN102" s="86">
        <v>12</v>
      </c>
      <c r="AO102" s="87" t="s">
        <v>5</v>
      </c>
    </row>
    <row r="103" spans="1:42" ht="15.75" customHeight="1">
      <c r="A103" s="61"/>
      <c r="B103" s="86">
        <v>13</v>
      </c>
      <c r="C103" s="87" t="s">
        <v>6</v>
      </c>
      <c r="D103" s="88" t="s">
        <v>111</v>
      </c>
      <c r="E103" s="89"/>
      <c r="F103" s="92">
        <f t="shared" si="94"/>
        <v>0</v>
      </c>
      <c r="G103" s="88" t="s">
        <v>111</v>
      </c>
      <c r="H103" s="89"/>
      <c r="I103" s="92">
        <f t="shared" si="95"/>
        <v>0</v>
      </c>
      <c r="J103" s="88" t="s">
        <v>111</v>
      </c>
      <c r="K103" s="89"/>
      <c r="L103" s="92">
        <f t="shared" si="96"/>
        <v>0</v>
      </c>
      <c r="M103" s="88" t="s">
        <v>111</v>
      </c>
      <c r="N103" s="89"/>
      <c r="O103" s="92">
        <f t="shared" si="97"/>
        <v>0</v>
      </c>
      <c r="P103" s="88">
        <v>0.625</v>
      </c>
      <c r="Q103" s="89">
        <v>1.125</v>
      </c>
      <c r="R103" s="93">
        <f t="shared" si="98"/>
        <v>0.5</v>
      </c>
      <c r="S103" s="88" t="s">
        <v>111</v>
      </c>
      <c r="T103" s="89"/>
      <c r="U103" s="90">
        <f t="shared" si="99"/>
        <v>0</v>
      </c>
      <c r="V103" s="88" t="s">
        <v>111</v>
      </c>
      <c r="W103" s="89"/>
      <c r="X103" s="93">
        <f t="shared" si="100"/>
        <v>0</v>
      </c>
      <c r="Y103" s="88"/>
      <c r="Z103" s="89"/>
      <c r="AA103" s="92">
        <f t="shared" si="101"/>
        <v>0</v>
      </c>
      <c r="AB103" s="88" t="s">
        <v>111</v>
      </c>
      <c r="AC103" s="89"/>
      <c r="AD103" s="93">
        <f t="shared" si="102"/>
        <v>0</v>
      </c>
      <c r="AE103" s="88">
        <v>0.625</v>
      </c>
      <c r="AF103" s="89">
        <v>1.125</v>
      </c>
      <c r="AG103" s="92">
        <f t="shared" si="103"/>
        <v>0.5</v>
      </c>
      <c r="AH103" s="88">
        <v>0.625</v>
      </c>
      <c r="AI103" s="89">
        <v>1.125</v>
      </c>
      <c r="AJ103" s="93">
        <f t="shared" si="104"/>
        <v>0.5</v>
      </c>
      <c r="AK103" s="88">
        <v>0.125</v>
      </c>
      <c r="AL103" s="89">
        <v>0.54166666666666663</v>
      </c>
      <c r="AM103" s="92">
        <f t="shared" si="105"/>
        <v>0.41666666666666663</v>
      </c>
      <c r="AN103" s="86">
        <v>13</v>
      </c>
      <c r="AO103" s="87" t="s">
        <v>6</v>
      </c>
    </row>
    <row r="104" spans="1:42" ht="15.75" customHeight="1">
      <c r="B104" s="118">
        <v>14</v>
      </c>
      <c r="C104" s="113" t="s">
        <v>7</v>
      </c>
      <c r="D104" s="119">
        <v>0.5</v>
      </c>
      <c r="E104" s="120">
        <v>0.95833333333333337</v>
      </c>
      <c r="F104" s="128">
        <f t="shared" si="94"/>
        <v>0.45833333333333337</v>
      </c>
      <c r="G104" s="119" t="s">
        <v>111</v>
      </c>
      <c r="H104" s="120"/>
      <c r="I104" s="128">
        <f t="shared" si="95"/>
        <v>0</v>
      </c>
      <c r="J104" s="119" t="s">
        <v>111</v>
      </c>
      <c r="K104" s="120"/>
      <c r="L104" s="128">
        <f t="shared" si="96"/>
        <v>0</v>
      </c>
      <c r="M104" s="119" t="s">
        <v>111</v>
      </c>
      <c r="N104" s="120"/>
      <c r="O104" s="128">
        <f t="shared" si="97"/>
        <v>0</v>
      </c>
      <c r="P104" s="119" t="s">
        <v>111</v>
      </c>
      <c r="Q104" s="120"/>
      <c r="R104" s="129">
        <f t="shared" si="98"/>
        <v>0</v>
      </c>
      <c r="S104" s="119">
        <v>0.625</v>
      </c>
      <c r="T104" s="120">
        <v>1.125</v>
      </c>
      <c r="U104" s="121">
        <f t="shared" si="99"/>
        <v>0.5</v>
      </c>
      <c r="V104" s="119" t="s">
        <v>111</v>
      </c>
      <c r="W104" s="120"/>
      <c r="X104" s="129">
        <f t="shared" si="100"/>
        <v>0</v>
      </c>
      <c r="Y104" s="119" t="s">
        <v>111</v>
      </c>
      <c r="Z104" s="120"/>
      <c r="AA104" s="128">
        <f t="shared" si="101"/>
        <v>0</v>
      </c>
      <c r="AB104" s="119" t="s">
        <v>111</v>
      </c>
      <c r="AC104" s="120"/>
      <c r="AD104" s="129">
        <f t="shared" si="102"/>
        <v>0</v>
      </c>
      <c r="AE104" s="119" t="s">
        <v>111</v>
      </c>
      <c r="AF104" s="120"/>
      <c r="AG104" s="128">
        <f t="shared" si="103"/>
        <v>0</v>
      </c>
      <c r="AH104" s="119"/>
      <c r="AI104" s="120"/>
      <c r="AJ104" s="129">
        <f t="shared" si="104"/>
        <v>0</v>
      </c>
      <c r="AK104" s="119" t="s">
        <v>111</v>
      </c>
      <c r="AL104" s="120"/>
      <c r="AM104" s="128">
        <f t="shared" ref="AM104" si="106">(IF(AK104="u",0.333333333,IF(AK104="W",0,IF(AK104="C",AM104,IF(AK104="op",AM104,(AL104-AK104))))))</f>
        <v>0</v>
      </c>
      <c r="AN104" s="118">
        <v>14</v>
      </c>
      <c r="AO104" s="113" t="s">
        <v>7</v>
      </c>
    </row>
    <row r="105" spans="1:42" ht="14.4">
      <c r="B105" s="118">
        <v>15</v>
      </c>
      <c r="C105" s="113" t="s">
        <v>8</v>
      </c>
      <c r="D105" s="119">
        <v>0.5</v>
      </c>
      <c r="E105" s="120">
        <v>0.91666666666666663</v>
      </c>
      <c r="F105" s="128">
        <f>(IF(D105="u",0.333333333,IF(D105="W",0,IF(D105="C",F105,IF(D105="op",F105,(E105-D105))))))</f>
        <v>0.41666666666666663</v>
      </c>
      <c r="G105" s="119" t="s">
        <v>111</v>
      </c>
      <c r="H105" s="120"/>
      <c r="I105" s="128">
        <f>(IF(G105="u",0.333333333,IF(G105="W",0,IF(G105="C",I105,IF(G105="op",I105,(H105-G105))))))</f>
        <v>0</v>
      </c>
      <c r="J105" s="119" t="s">
        <v>111</v>
      </c>
      <c r="K105" s="120"/>
      <c r="L105" s="128">
        <f>(IF(J105="u",0.333333333,IF(J105="W",0,IF(J105="C",L105,IF(J105="op",L105,(K105-J105))))))</f>
        <v>0</v>
      </c>
      <c r="M105" s="119" t="s">
        <v>111</v>
      </c>
      <c r="N105" s="120"/>
      <c r="O105" s="128">
        <f>(IF(M105="u",0.333333333,IF(M105="W",0,IF(M105="C",O105,IF(M105="op",O105,(N105-M105))))))</f>
        <v>0</v>
      </c>
      <c r="P105" s="119" t="s">
        <v>111</v>
      </c>
      <c r="Q105" s="120"/>
      <c r="R105" s="129">
        <f>(IF(P105="u",0.333333333,IF(P105="W",0,IF(P105="C",R105,IF(P105="op",R105,(Q105-P105))))))</f>
        <v>0</v>
      </c>
      <c r="S105" s="119">
        <v>0.66666666666666663</v>
      </c>
      <c r="T105" s="120">
        <v>1.1666666666666667</v>
      </c>
      <c r="U105" s="121">
        <f>(IF(S105="u",0.333333333,IF(S105="W",0,IF(S105="C",U105,IF(S105="op",U105,(T105-S105))))))</f>
        <v>0.50000000000000011</v>
      </c>
      <c r="V105" s="119" t="s">
        <v>111</v>
      </c>
      <c r="W105" s="120"/>
      <c r="X105" s="129">
        <f>(IF(V105="u",0.333333333,IF(V105="W",0,IF(V105="C",X105,IF(V105="op",X105,(W105-V105))))))</f>
        <v>0</v>
      </c>
      <c r="Y105" s="119" t="s">
        <v>111</v>
      </c>
      <c r="Z105" s="120"/>
      <c r="AA105" s="128">
        <f>(IF(Y105="u",0.333333333,IF(Y105="W",0,IF(Y105="C",AA105,IF(Y105="op",AA105,(Z105-Y105))))))</f>
        <v>0</v>
      </c>
      <c r="AB105" s="119" t="s">
        <v>111</v>
      </c>
      <c r="AC105" s="120"/>
      <c r="AD105" s="129">
        <f>(IF(AB105="u",0.333333333,IF(AB105="W",0,IF(AB105="C",AD105,IF(AB105="op",AD105,(AC105-AB105))))))</f>
        <v>0</v>
      </c>
      <c r="AE105" s="119" t="s">
        <v>111</v>
      </c>
      <c r="AF105" s="120"/>
      <c r="AG105" s="128">
        <f>(IF(AE105="u",0.333333333,IF(AE105="W",0,IF(AE105="C",AG105,IF(AE105="op",AG105,(AF105-AE105))))))</f>
        <v>0</v>
      </c>
      <c r="AH105" s="119" t="s">
        <v>111</v>
      </c>
      <c r="AI105" s="120"/>
      <c r="AJ105" s="129">
        <f>(IF(AH105="u",0.333333333,IF(AH105="W",0,IF(AH105="C",AJ105,IF(AH105="op",AJ105,(AI105-AH105))))))</f>
        <v>0</v>
      </c>
      <c r="AK105" s="119" t="s">
        <v>111</v>
      </c>
      <c r="AL105" s="120"/>
      <c r="AM105" s="128">
        <f>(IF(AK105="u",0.333333333,IF(AK105="W",0,IF(AK105="C",AM105,IF(AK105="op",AM105,(AL105-AK105))))))</f>
        <v>0</v>
      </c>
      <c r="AN105" s="118">
        <v>15</v>
      </c>
      <c r="AO105" s="113" t="s">
        <v>8</v>
      </c>
    </row>
    <row r="106" spans="1:42" ht="14.25" customHeight="1">
      <c r="B106" s="118">
        <v>16</v>
      </c>
      <c r="C106" s="113" t="s">
        <v>12</v>
      </c>
      <c r="D106" s="119" t="s">
        <v>111</v>
      </c>
      <c r="E106" s="120"/>
      <c r="F106" s="128">
        <f t="shared" ref="F106:F121" si="107">(IF(D106="u",0.333333333,IF(D106="W",0,IF(D106="C",F106,IF(D106="op",F106,(E106-D106))))))</f>
        <v>0</v>
      </c>
      <c r="G106" s="119">
        <v>0.5</v>
      </c>
      <c r="H106" s="120">
        <v>0.91666666666666663</v>
      </c>
      <c r="I106" s="128">
        <f t="shared" ref="I106:I121" si="108">(IF(G106="u",0.333333333,IF(G106="W",0,IF(G106="C",I106,IF(G106="op",I106,(H106-G106))))))</f>
        <v>0.41666666666666663</v>
      </c>
      <c r="J106" s="119">
        <v>0.14583333333333334</v>
      </c>
      <c r="K106" s="120">
        <v>0.64583333333333337</v>
      </c>
      <c r="L106" s="128">
        <f t="shared" ref="L106:L121" si="109">(IF(J106="u",0.333333333,IF(J106="W",0,IF(J106="C",L106,IF(J106="op",L106,(K106-J106))))))</f>
        <v>0.5</v>
      </c>
      <c r="M106" s="119" t="s">
        <v>111</v>
      </c>
      <c r="N106" s="120"/>
      <c r="O106" s="128">
        <f t="shared" ref="O106:O121" si="110">(IF(M106="u",0.333333333,IF(M106="W",0,IF(M106="C",O106,IF(M106="op",O106,(N106-M106))))))</f>
        <v>0</v>
      </c>
      <c r="P106" s="119" t="s">
        <v>111</v>
      </c>
      <c r="Q106" s="120"/>
      <c r="R106" s="129">
        <f t="shared" ref="R106:R121" si="111">(IF(P106="u",0.333333333,IF(P106="W",0,IF(P106="C",R106,IF(P106="op",R106,(Q106-P106))))))</f>
        <v>0</v>
      </c>
      <c r="S106" s="119">
        <v>0.66666666666666663</v>
      </c>
      <c r="T106" s="120">
        <v>1.1666666666666667</v>
      </c>
      <c r="U106" s="121">
        <f t="shared" ref="U106:U121" si="112">(IF(S106="u",0.333333333,IF(S106="W",0,IF(S106="C",U106,IF(S106="op",U106,(T106-S106))))))</f>
        <v>0.50000000000000011</v>
      </c>
      <c r="V106" s="119"/>
      <c r="W106" s="120"/>
      <c r="X106" s="129">
        <f t="shared" ref="X106:X121" si="113">(IF(V106="u",0.333333333,IF(V106="W",0,IF(V106="C",X106,IF(V106="op",X106,(W106-V106))))))</f>
        <v>0</v>
      </c>
      <c r="Y106" s="119" t="s">
        <v>111</v>
      </c>
      <c r="Z106" s="120"/>
      <c r="AA106" s="128">
        <f t="shared" ref="AA106:AA121" si="114">(IF(Y106="u",0.333333333,IF(Y106="W",0,IF(Y106="C",AA106,IF(Y106="op",AA106,(Z106-Y106))))))</f>
        <v>0</v>
      </c>
      <c r="AB106" s="119" t="s">
        <v>111</v>
      </c>
      <c r="AC106" s="120"/>
      <c r="AD106" s="129">
        <f t="shared" ref="AD106:AD121" si="115">(IF(AB106="u",0.333333333,IF(AB106="W",0,IF(AB106="C",AD106,IF(AB106="op",AD106,(AC106-AB106))))))</f>
        <v>0</v>
      </c>
      <c r="AE106" s="119">
        <v>0.14583333333333334</v>
      </c>
      <c r="AF106" s="120">
        <v>0.64583333333333337</v>
      </c>
      <c r="AG106" s="128">
        <f t="shared" ref="AG106:AG121" si="116">(IF(AE106="u",0.333333333,IF(AE106="W",0,IF(AE106="C",AG106,IF(AE106="op",AG106,(AF106-AE106))))))</f>
        <v>0.5</v>
      </c>
      <c r="AH106" s="119">
        <v>0.625</v>
      </c>
      <c r="AI106" s="120">
        <v>1.125</v>
      </c>
      <c r="AJ106" s="129">
        <f t="shared" ref="AJ106:AJ121" si="117">(IF(AH106="u",0.333333333,IF(AH106="W",0,IF(AH106="C",AJ106,IF(AH106="op",AJ106,(AI106-AH106))))))</f>
        <v>0.5</v>
      </c>
      <c r="AK106" s="119" t="s">
        <v>111</v>
      </c>
      <c r="AL106" s="120"/>
      <c r="AM106" s="128">
        <f t="shared" ref="AM106:AM121" si="118">(IF(AK106="u",0.333333333,IF(AK106="W",0,IF(AK106="C",AM106,IF(AK106="op",AM106,(AL106-AK106))))))</f>
        <v>0</v>
      </c>
      <c r="AN106" s="118">
        <v>16</v>
      </c>
      <c r="AO106" s="113" t="s">
        <v>12</v>
      </c>
      <c r="AP106" s="61"/>
    </row>
    <row r="107" spans="1:42" ht="14.25" customHeight="1">
      <c r="B107" s="118">
        <v>17</v>
      </c>
      <c r="C107" s="113" t="s">
        <v>85</v>
      </c>
      <c r="D107" s="119" t="s">
        <v>111</v>
      </c>
      <c r="E107" s="120"/>
      <c r="F107" s="128">
        <f t="shared" si="107"/>
        <v>0</v>
      </c>
      <c r="G107" s="119">
        <v>0.625</v>
      </c>
      <c r="H107" s="120">
        <v>1.125</v>
      </c>
      <c r="I107" s="128">
        <f t="shared" si="108"/>
        <v>0.5</v>
      </c>
      <c r="J107" s="119">
        <v>0.14583333333333334</v>
      </c>
      <c r="K107" s="120">
        <v>0.64583333333333337</v>
      </c>
      <c r="L107" s="128">
        <f t="shared" si="109"/>
        <v>0.5</v>
      </c>
      <c r="M107" s="119" t="s">
        <v>111</v>
      </c>
      <c r="N107" s="120"/>
      <c r="O107" s="128">
        <f t="shared" si="110"/>
        <v>0</v>
      </c>
      <c r="P107" s="119" t="s">
        <v>111</v>
      </c>
      <c r="Q107" s="120"/>
      <c r="R107" s="129">
        <f t="shared" si="111"/>
        <v>0</v>
      </c>
      <c r="S107" s="119">
        <v>0.66666666666666663</v>
      </c>
      <c r="T107" s="120">
        <v>1.1666666666666667</v>
      </c>
      <c r="U107" s="121">
        <f t="shared" si="112"/>
        <v>0.50000000000000011</v>
      </c>
      <c r="V107" s="119"/>
      <c r="W107" s="120"/>
      <c r="X107" s="129">
        <f t="shared" si="113"/>
        <v>0</v>
      </c>
      <c r="Y107" s="119"/>
      <c r="Z107" s="120"/>
      <c r="AA107" s="128">
        <f t="shared" si="114"/>
        <v>0</v>
      </c>
      <c r="AB107" s="119" t="s">
        <v>111</v>
      </c>
      <c r="AC107" s="120"/>
      <c r="AD107" s="129">
        <f t="shared" si="115"/>
        <v>0</v>
      </c>
      <c r="AE107" s="119" t="s">
        <v>111</v>
      </c>
      <c r="AF107" s="120"/>
      <c r="AG107" s="128">
        <f t="shared" si="116"/>
        <v>0</v>
      </c>
      <c r="AH107" s="119" t="s">
        <v>111</v>
      </c>
      <c r="AI107" s="120"/>
      <c r="AJ107" s="129">
        <f t="shared" si="117"/>
        <v>0</v>
      </c>
      <c r="AK107" s="119" t="s">
        <v>111</v>
      </c>
      <c r="AL107" s="120"/>
      <c r="AM107" s="128">
        <f t="shared" si="118"/>
        <v>0</v>
      </c>
      <c r="AN107" s="118">
        <v>17</v>
      </c>
      <c r="AO107" s="113" t="s">
        <v>85</v>
      </c>
      <c r="AP107" s="61"/>
    </row>
    <row r="108" spans="1:42" ht="14.4">
      <c r="B108" s="118">
        <v>18</v>
      </c>
      <c r="C108" s="113" t="s">
        <v>4</v>
      </c>
      <c r="D108" s="119" t="s">
        <v>111</v>
      </c>
      <c r="E108" s="120"/>
      <c r="F108" s="128">
        <f t="shared" si="107"/>
        <v>0</v>
      </c>
      <c r="G108" s="119">
        <v>0.625</v>
      </c>
      <c r="H108" s="120">
        <v>1.125</v>
      </c>
      <c r="I108" s="128">
        <f t="shared" si="108"/>
        <v>0.5</v>
      </c>
      <c r="J108" s="119" t="s">
        <v>111</v>
      </c>
      <c r="K108" s="120"/>
      <c r="L108" s="128">
        <f t="shared" si="109"/>
        <v>0</v>
      </c>
      <c r="M108" s="119" t="s">
        <v>111</v>
      </c>
      <c r="N108" s="120"/>
      <c r="O108" s="128">
        <f t="shared" si="110"/>
        <v>0</v>
      </c>
      <c r="P108" s="119" t="s">
        <v>111</v>
      </c>
      <c r="Q108" s="120"/>
      <c r="R108" s="129">
        <f t="shared" si="111"/>
        <v>0</v>
      </c>
      <c r="S108" s="119">
        <v>0.66666666666666663</v>
      </c>
      <c r="T108" s="120">
        <v>1.1666666666666667</v>
      </c>
      <c r="U108" s="121">
        <f t="shared" si="112"/>
        <v>0.50000000000000011</v>
      </c>
      <c r="V108" s="119"/>
      <c r="W108" s="120"/>
      <c r="X108" s="129">
        <f t="shared" si="113"/>
        <v>0</v>
      </c>
      <c r="Y108" s="119" t="s">
        <v>111</v>
      </c>
      <c r="Z108" s="120"/>
      <c r="AA108" s="128">
        <f t="shared" si="114"/>
        <v>0</v>
      </c>
      <c r="AB108" s="119">
        <v>0.14583333333333334</v>
      </c>
      <c r="AC108" s="120">
        <v>0.64583333333333337</v>
      </c>
      <c r="AD108" s="129">
        <f t="shared" si="115"/>
        <v>0.5</v>
      </c>
      <c r="AE108" s="119" t="s">
        <v>111</v>
      </c>
      <c r="AF108" s="120"/>
      <c r="AG108" s="128">
        <f t="shared" si="116"/>
        <v>0</v>
      </c>
      <c r="AH108" s="119">
        <v>0.66666666666666663</v>
      </c>
      <c r="AI108" s="120">
        <v>1.1666666666666667</v>
      </c>
      <c r="AJ108" s="129">
        <f t="shared" si="117"/>
        <v>0.50000000000000011</v>
      </c>
      <c r="AK108" s="119">
        <v>0.14583333333333334</v>
      </c>
      <c r="AL108" s="120">
        <v>0.64583333333333337</v>
      </c>
      <c r="AM108" s="128">
        <f t="shared" si="118"/>
        <v>0.5</v>
      </c>
      <c r="AN108" s="118">
        <v>18</v>
      </c>
      <c r="AO108" s="113" t="s">
        <v>4</v>
      </c>
    </row>
    <row r="109" spans="1:42" ht="16.5" customHeight="1">
      <c r="B109" s="86">
        <v>19</v>
      </c>
      <c r="C109" s="87" t="s">
        <v>5</v>
      </c>
      <c r="D109" s="88" t="s">
        <v>111</v>
      </c>
      <c r="E109" s="89"/>
      <c r="F109" s="92">
        <f t="shared" si="107"/>
        <v>0</v>
      </c>
      <c r="G109" s="88">
        <v>0.625</v>
      </c>
      <c r="H109" s="89">
        <v>1.125</v>
      </c>
      <c r="I109" s="92">
        <f t="shared" si="108"/>
        <v>0.5</v>
      </c>
      <c r="J109" s="88" t="s">
        <v>111</v>
      </c>
      <c r="K109" s="89"/>
      <c r="L109" s="92">
        <f t="shared" si="109"/>
        <v>0</v>
      </c>
      <c r="M109" s="88">
        <v>0.14583333333333334</v>
      </c>
      <c r="N109" s="89">
        <v>0.64583333333333337</v>
      </c>
      <c r="O109" s="92">
        <f t="shared" si="110"/>
        <v>0.5</v>
      </c>
      <c r="P109" s="88">
        <v>0.16666666666666666</v>
      </c>
      <c r="Q109" s="89">
        <v>0.66666666666666663</v>
      </c>
      <c r="R109" s="93">
        <f t="shared" si="111"/>
        <v>0.5</v>
      </c>
      <c r="S109" s="88" t="s">
        <v>111</v>
      </c>
      <c r="T109" s="89"/>
      <c r="U109" s="90">
        <f t="shared" si="112"/>
        <v>0</v>
      </c>
      <c r="V109" s="88"/>
      <c r="W109" s="89"/>
      <c r="X109" s="93">
        <f t="shared" si="113"/>
        <v>0</v>
      </c>
      <c r="Y109" s="88">
        <v>0.625</v>
      </c>
      <c r="Z109" s="89">
        <v>1.125</v>
      </c>
      <c r="AA109" s="92">
        <f t="shared" si="114"/>
        <v>0.5</v>
      </c>
      <c r="AB109" s="88"/>
      <c r="AC109" s="89"/>
      <c r="AD109" s="93">
        <f t="shared" si="115"/>
        <v>0</v>
      </c>
      <c r="AE109" s="88">
        <v>0.14583333333333334</v>
      </c>
      <c r="AF109" s="89">
        <v>0.64583333333333337</v>
      </c>
      <c r="AG109" s="92">
        <f t="shared" si="116"/>
        <v>0.5</v>
      </c>
      <c r="AH109" s="88" t="s">
        <v>111</v>
      </c>
      <c r="AI109" s="89"/>
      <c r="AJ109" s="93">
        <f t="shared" si="117"/>
        <v>0</v>
      </c>
      <c r="AK109" s="88">
        <v>0.125</v>
      </c>
      <c r="AL109" s="89">
        <v>0.54166666666666663</v>
      </c>
      <c r="AM109" s="92">
        <f t="shared" si="118"/>
        <v>0.41666666666666663</v>
      </c>
      <c r="AN109" s="86">
        <v>19</v>
      </c>
      <c r="AO109" s="87" t="s">
        <v>5</v>
      </c>
    </row>
    <row r="110" spans="1:42" ht="14.4">
      <c r="B110" s="86">
        <v>20</v>
      </c>
      <c r="C110" s="87" t="s">
        <v>6</v>
      </c>
      <c r="D110" s="88" t="s">
        <v>111</v>
      </c>
      <c r="E110" s="89"/>
      <c r="F110" s="92">
        <f t="shared" si="107"/>
        <v>0</v>
      </c>
      <c r="G110" s="88" t="s">
        <v>111</v>
      </c>
      <c r="H110" s="89"/>
      <c r="I110" s="92">
        <f t="shared" si="108"/>
        <v>0</v>
      </c>
      <c r="J110" s="88" t="s">
        <v>111</v>
      </c>
      <c r="K110" s="89"/>
      <c r="L110" s="92">
        <f t="shared" si="109"/>
        <v>0</v>
      </c>
      <c r="M110" s="88" t="s">
        <v>111</v>
      </c>
      <c r="N110" s="89"/>
      <c r="O110" s="92">
        <f t="shared" si="110"/>
        <v>0</v>
      </c>
      <c r="P110" s="88">
        <v>0.14583333333333334</v>
      </c>
      <c r="Q110" s="89">
        <v>0.64583333333333337</v>
      </c>
      <c r="R110" s="93">
        <f t="shared" si="111"/>
        <v>0.5</v>
      </c>
      <c r="S110" s="88" t="s">
        <v>111</v>
      </c>
      <c r="T110" s="89"/>
      <c r="U110" s="90">
        <f t="shared" si="112"/>
        <v>0</v>
      </c>
      <c r="V110" s="88"/>
      <c r="W110" s="89"/>
      <c r="X110" s="93">
        <f t="shared" si="113"/>
        <v>0</v>
      </c>
      <c r="Y110" s="88"/>
      <c r="Z110" s="89"/>
      <c r="AA110" s="92">
        <f t="shared" si="114"/>
        <v>0</v>
      </c>
      <c r="AB110" s="88">
        <v>0.5</v>
      </c>
      <c r="AC110" s="89">
        <v>0.91666666666666663</v>
      </c>
      <c r="AD110" s="93">
        <f t="shared" si="115"/>
        <v>0.41666666666666663</v>
      </c>
      <c r="AE110" s="88">
        <v>0.14583333333333334</v>
      </c>
      <c r="AF110" s="89">
        <v>0.64583333333333337</v>
      </c>
      <c r="AG110" s="92">
        <f t="shared" si="116"/>
        <v>0.5</v>
      </c>
      <c r="AH110" s="88">
        <v>0.625</v>
      </c>
      <c r="AI110" s="89">
        <v>1.125</v>
      </c>
      <c r="AJ110" s="93">
        <f t="shared" si="117"/>
        <v>0.5</v>
      </c>
      <c r="AK110" s="88" t="s">
        <v>111</v>
      </c>
      <c r="AL110" s="89"/>
      <c r="AM110" s="92">
        <f t="shared" si="118"/>
        <v>0</v>
      </c>
      <c r="AN110" s="86">
        <v>20</v>
      </c>
      <c r="AO110" s="87" t="s">
        <v>6</v>
      </c>
    </row>
    <row r="111" spans="1:42" ht="14.4">
      <c r="B111" s="118">
        <v>21</v>
      </c>
      <c r="C111" s="113" t="s">
        <v>7</v>
      </c>
      <c r="D111" s="119">
        <v>0.5</v>
      </c>
      <c r="E111" s="120">
        <v>0.875</v>
      </c>
      <c r="F111" s="128">
        <f t="shared" si="107"/>
        <v>0.375</v>
      </c>
      <c r="G111" s="119" t="s">
        <v>111</v>
      </c>
      <c r="H111" s="120"/>
      <c r="I111" s="128">
        <f t="shared" si="108"/>
        <v>0</v>
      </c>
      <c r="J111" s="119">
        <v>0.125</v>
      </c>
      <c r="K111" s="120">
        <v>0.52083333333333337</v>
      </c>
      <c r="L111" s="128">
        <f t="shared" si="109"/>
        <v>0.39583333333333337</v>
      </c>
      <c r="M111" s="119" t="s">
        <v>111</v>
      </c>
      <c r="N111" s="120"/>
      <c r="O111" s="128">
        <f t="shared" si="110"/>
        <v>0</v>
      </c>
      <c r="P111" s="119" t="s">
        <v>111</v>
      </c>
      <c r="Q111" s="120"/>
      <c r="R111" s="129">
        <f t="shared" si="111"/>
        <v>0</v>
      </c>
      <c r="S111" s="119" t="s">
        <v>111</v>
      </c>
      <c r="T111" s="120"/>
      <c r="U111" s="121">
        <f t="shared" si="112"/>
        <v>0</v>
      </c>
      <c r="V111" s="119"/>
      <c r="W111" s="120"/>
      <c r="X111" s="129">
        <f t="shared" si="113"/>
        <v>0</v>
      </c>
      <c r="Y111" s="119" t="s">
        <v>111</v>
      </c>
      <c r="Z111" s="120"/>
      <c r="AA111" s="128">
        <f t="shared" si="114"/>
        <v>0</v>
      </c>
      <c r="AB111" s="119" t="s">
        <v>111</v>
      </c>
      <c r="AC111" s="120"/>
      <c r="AD111" s="129">
        <f t="shared" si="115"/>
        <v>0</v>
      </c>
      <c r="AE111" s="119" t="s">
        <v>111</v>
      </c>
      <c r="AF111" s="120"/>
      <c r="AG111" s="128">
        <f t="shared" si="116"/>
        <v>0</v>
      </c>
      <c r="AH111" s="119" t="s">
        <v>111</v>
      </c>
      <c r="AI111" s="120"/>
      <c r="AJ111" s="129">
        <f t="shared" si="117"/>
        <v>0</v>
      </c>
      <c r="AK111" s="119" t="s">
        <v>111</v>
      </c>
      <c r="AL111" s="120"/>
      <c r="AM111" s="128">
        <f t="shared" si="118"/>
        <v>0</v>
      </c>
      <c r="AN111" s="118">
        <v>21</v>
      </c>
      <c r="AO111" s="113" t="s">
        <v>7</v>
      </c>
    </row>
    <row r="112" spans="1:42" ht="14.4">
      <c r="B112" s="118">
        <v>22</v>
      </c>
      <c r="C112" s="113" t="s">
        <v>8</v>
      </c>
      <c r="D112" s="119">
        <v>0.45833333333333331</v>
      </c>
      <c r="E112" s="120">
        <v>0.875</v>
      </c>
      <c r="F112" s="128">
        <f t="shared" si="107"/>
        <v>0.41666666666666669</v>
      </c>
      <c r="G112" s="119">
        <v>0.45833333333333331</v>
      </c>
      <c r="H112" s="120">
        <v>0.875</v>
      </c>
      <c r="I112" s="128">
        <f t="shared" si="108"/>
        <v>0.41666666666666669</v>
      </c>
      <c r="J112" s="119">
        <v>0.16666666666666666</v>
      </c>
      <c r="K112" s="120">
        <v>0.66666666666666663</v>
      </c>
      <c r="L112" s="128">
        <f t="shared" si="109"/>
        <v>0.5</v>
      </c>
      <c r="M112" s="119" t="s">
        <v>111</v>
      </c>
      <c r="N112" s="120"/>
      <c r="O112" s="128">
        <f t="shared" si="110"/>
        <v>0</v>
      </c>
      <c r="P112" s="119">
        <v>0.625</v>
      </c>
      <c r="Q112" s="120">
        <v>1.0833333333333333</v>
      </c>
      <c r="R112" s="129">
        <f t="shared" si="111"/>
        <v>0.45833333333333326</v>
      </c>
      <c r="S112" s="119">
        <v>0.45833333333333331</v>
      </c>
      <c r="T112" s="120">
        <v>0.875</v>
      </c>
      <c r="U112" s="121">
        <f t="shared" si="112"/>
        <v>0.41666666666666669</v>
      </c>
      <c r="V112" s="119"/>
      <c r="W112" s="120"/>
      <c r="X112" s="129">
        <f t="shared" si="113"/>
        <v>0</v>
      </c>
      <c r="Y112" s="119" t="s">
        <v>111</v>
      </c>
      <c r="Z112" s="120"/>
      <c r="AA112" s="128">
        <f t="shared" si="114"/>
        <v>0</v>
      </c>
      <c r="AB112" s="119" t="s">
        <v>111</v>
      </c>
      <c r="AC112" s="120"/>
      <c r="AD112" s="129">
        <f t="shared" si="115"/>
        <v>0</v>
      </c>
      <c r="AE112" s="119" t="s">
        <v>111</v>
      </c>
      <c r="AF112" s="120"/>
      <c r="AG112" s="128">
        <f t="shared" si="116"/>
        <v>0</v>
      </c>
      <c r="AH112" s="119" t="s">
        <v>111</v>
      </c>
      <c r="AI112" s="120"/>
      <c r="AJ112" s="129">
        <f t="shared" si="117"/>
        <v>0</v>
      </c>
      <c r="AK112" s="119" t="s">
        <v>111</v>
      </c>
      <c r="AL112" s="120"/>
      <c r="AM112" s="128">
        <f t="shared" si="118"/>
        <v>0</v>
      </c>
      <c r="AN112" s="118">
        <v>22</v>
      </c>
      <c r="AO112" s="113" t="s">
        <v>8</v>
      </c>
    </row>
    <row r="113" spans="2:41" ht="14.4">
      <c r="B113" s="118">
        <v>23</v>
      </c>
      <c r="C113" s="113" t="s">
        <v>12</v>
      </c>
      <c r="D113" s="119" t="s">
        <v>111</v>
      </c>
      <c r="E113" s="120"/>
      <c r="F113" s="128">
        <f t="shared" si="107"/>
        <v>0</v>
      </c>
      <c r="G113" s="119">
        <v>0.4375</v>
      </c>
      <c r="H113" s="120">
        <v>0.9375</v>
      </c>
      <c r="I113" s="128">
        <f t="shared" si="108"/>
        <v>0.5</v>
      </c>
      <c r="J113" s="119" t="s">
        <v>111</v>
      </c>
      <c r="K113" s="120"/>
      <c r="L113" s="128">
        <f t="shared" si="109"/>
        <v>0</v>
      </c>
      <c r="M113" s="119" t="s">
        <v>111</v>
      </c>
      <c r="N113" s="120"/>
      <c r="O113" s="128">
        <f t="shared" si="110"/>
        <v>0</v>
      </c>
      <c r="P113" s="119" t="s">
        <v>111</v>
      </c>
      <c r="Q113" s="120"/>
      <c r="R113" s="129">
        <f t="shared" si="111"/>
        <v>0</v>
      </c>
      <c r="S113" s="119">
        <v>0.4375</v>
      </c>
      <c r="T113" s="120">
        <v>0.9375</v>
      </c>
      <c r="U113" s="121">
        <f t="shared" si="112"/>
        <v>0.5</v>
      </c>
      <c r="V113" s="119"/>
      <c r="W113" s="120"/>
      <c r="X113" s="129">
        <f t="shared" si="113"/>
        <v>0</v>
      </c>
      <c r="Y113" s="119" t="s">
        <v>111</v>
      </c>
      <c r="Z113" s="120"/>
      <c r="AA113" s="128">
        <f t="shared" si="114"/>
        <v>0</v>
      </c>
      <c r="AB113" s="119" t="s">
        <v>111</v>
      </c>
      <c r="AC113" s="120"/>
      <c r="AD113" s="129">
        <f t="shared" si="115"/>
        <v>0</v>
      </c>
      <c r="AE113" s="119" t="s">
        <v>111</v>
      </c>
      <c r="AF113" s="120"/>
      <c r="AG113" s="128">
        <f t="shared" si="116"/>
        <v>0</v>
      </c>
      <c r="AH113" s="119"/>
      <c r="AI113" s="120"/>
      <c r="AJ113" s="129">
        <f t="shared" si="117"/>
        <v>0</v>
      </c>
      <c r="AK113" s="119" t="s">
        <v>111</v>
      </c>
      <c r="AL113" s="120"/>
      <c r="AM113" s="128">
        <f t="shared" si="118"/>
        <v>0</v>
      </c>
      <c r="AN113" s="118">
        <v>23</v>
      </c>
      <c r="AO113" s="113" t="s">
        <v>12</v>
      </c>
    </row>
    <row r="114" spans="2:41" ht="14.25" customHeight="1">
      <c r="B114" s="118">
        <v>24</v>
      </c>
      <c r="C114" s="113" t="s">
        <v>85</v>
      </c>
      <c r="D114" s="119" t="s">
        <v>111</v>
      </c>
      <c r="E114" s="120"/>
      <c r="F114" s="128">
        <f t="shared" si="107"/>
        <v>0</v>
      </c>
      <c r="G114" s="119">
        <v>0.4375</v>
      </c>
      <c r="H114" s="120">
        <v>0.89583333333333337</v>
      </c>
      <c r="I114" s="128">
        <f t="shared" si="108"/>
        <v>0.45833333333333337</v>
      </c>
      <c r="J114" s="119">
        <v>0.16666666666666666</v>
      </c>
      <c r="K114" s="120">
        <v>0.66666666666666663</v>
      </c>
      <c r="L114" s="128">
        <f t="shared" si="109"/>
        <v>0.5</v>
      </c>
      <c r="M114" s="119" t="s">
        <v>111</v>
      </c>
      <c r="N114" s="120"/>
      <c r="O114" s="128">
        <f t="shared" si="110"/>
        <v>0</v>
      </c>
      <c r="P114" s="119" t="s">
        <v>111</v>
      </c>
      <c r="Q114" s="120"/>
      <c r="R114" s="129">
        <f t="shared" si="111"/>
        <v>0</v>
      </c>
      <c r="S114" s="119">
        <v>0.4375</v>
      </c>
      <c r="T114" s="120">
        <v>0.89583333333333337</v>
      </c>
      <c r="U114" s="121">
        <f>(IF(S114="u",0.333333333,IF(S114="W",0,IF(S114="C",U114,IF(S114="op",U114,(T114-S114))))))</f>
        <v>0.45833333333333337</v>
      </c>
      <c r="V114" s="119"/>
      <c r="W114" s="120"/>
      <c r="X114" s="129">
        <f t="shared" si="113"/>
        <v>0</v>
      </c>
      <c r="Y114" s="119">
        <v>0.4375</v>
      </c>
      <c r="Z114" s="120">
        <v>0.89583333333333337</v>
      </c>
      <c r="AA114" s="128">
        <f t="shared" si="114"/>
        <v>0.45833333333333337</v>
      </c>
      <c r="AB114" s="119" t="s">
        <v>111</v>
      </c>
      <c r="AC114" s="120"/>
      <c r="AD114" s="129">
        <f t="shared" si="115"/>
        <v>0</v>
      </c>
      <c r="AE114" s="119" t="s">
        <v>111</v>
      </c>
      <c r="AF114" s="120"/>
      <c r="AG114" s="128">
        <f t="shared" si="116"/>
        <v>0</v>
      </c>
      <c r="AH114" s="119" t="s">
        <v>111</v>
      </c>
      <c r="AI114" s="120"/>
      <c r="AJ114" s="129">
        <f t="shared" si="117"/>
        <v>0</v>
      </c>
      <c r="AK114" s="119" t="s">
        <v>111</v>
      </c>
      <c r="AL114" s="120"/>
      <c r="AM114" s="128">
        <f t="shared" si="118"/>
        <v>0</v>
      </c>
      <c r="AN114" s="118">
        <v>24</v>
      </c>
      <c r="AO114" s="113" t="s">
        <v>85</v>
      </c>
    </row>
    <row r="115" spans="2:41" ht="14.4">
      <c r="B115" s="118">
        <v>25</v>
      </c>
      <c r="C115" s="113" t="s">
        <v>4</v>
      </c>
      <c r="D115" s="119" t="s">
        <v>111</v>
      </c>
      <c r="E115" s="120"/>
      <c r="F115" s="128">
        <f t="shared" si="107"/>
        <v>0</v>
      </c>
      <c r="G115" s="119">
        <v>0.75</v>
      </c>
      <c r="H115" s="120">
        <v>1.25</v>
      </c>
      <c r="I115" s="128">
        <f t="shared" si="108"/>
        <v>0.5</v>
      </c>
      <c r="J115" s="119">
        <v>0.4375</v>
      </c>
      <c r="K115" s="120">
        <v>0.9375</v>
      </c>
      <c r="L115" s="128">
        <f t="shared" si="109"/>
        <v>0.5</v>
      </c>
      <c r="M115" s="119" t="s">
        <v>111</v>
      </c>
      <c r="N115" s="120"/>
      <c r="O115" s="128">
        <f t="shared" si="110"/>
        <v>0</v>
      </c>
      <c r="P115" s="119" t="s">
        <v>111</v>
      </c>
      <c r="Q115" s="120"/>
      <c r="R115" s="129">
        <f t="shared" si="111"/>
        <v>0</v>
      </c>
      <c r="S115" s="119">
        <v>0.4375</v>
      </c>
      <c r="T115" s="120">
        <v>0.9375</v>
      </c>
      <c r="U115" s="121">
        <f t="shared" si="112"/>
        <v>0.5</v>
      </c>
      <c r="V115" s="119"/>
      <c r="W115" s="120"/>
      <c r="X115" s="129">
        <f t="shared" si="113"/>
        <v>0</v>
      </c>
      <c r="Y115" s="119">
        <v>0.625</v>
      </c>
      <c r="Z115" s="120">
        <v>1.0833333333333333</v>
      </c>
      <c r="AA115" s="128">
        <f t="shared" si="114"/>
        <v>0.45833333333333326</v>
      </c>
      <c r="AB115" s="119" t="s">
        <v>111</v>
      </c>
      <c r="AC115" s="120"/>
      <c r="AD115" s="129">
        <f t="shared" si="115"/>
        <v>0</v>
      </c>
      <c r="AE115" s="119" t="s">
        <v>111</v>
      </c>
      <c r="AF115" s="120"/>
      <c r="AG115" s="128">
        <f t="shared" si="116"/>
        <v>0</v>
      </c>
      <c r="AH115" s="119" t="s">
        <v>111</v>
      </c>
      <c r="AI115" s="120"/>
      <c r="AJ115" s="129">
        <f t="shared" si="117"/>
        <v>0</v>
      </c>
      <c r="AK115" s="119">
        <v>0.16666666666666666</v>
      </c>
      <c r="AL115" s="120">
        <v>0.66666666666666663</v>
      </c>
      <c r="AM115" s="128">
        <f t="shared" si="118"/>
        <v>0.5</v>
      </c>
      <c r="AN115" s="118">
        <v>25</v>
      </c>
      <c r="AO115" s="113" t="s">
        <v>4</v>
      </c>
    </row>
    <row r="116" spans="2:41" ht="14.4">
      <c r="B116" s="86">
        <v>26</v>
      </c>
      <c r="C116" s="87" t="s">
        <v>5</v>
      </c>
      <c r="D116" s="88" t="s">
        <v>111</v>
      </c>
      <c r="E116" s="89"/>
      <c r="F116" s="92">
        <f t="shared" si="107"/>
        <v>0</v>
      </c>
      <c r="G116" s="88"/>
      <c r="H116" s="89"/>
      <c r="I116" s="92">
        <f t="shared" si="108"/>
        <v>0</v>
      </c>
      <c r="J116" s="88" t="s">
        <v>111</v>
      </c>
      <c r="K116" s="89"/>
      <c r="L116" s="92">
        <f t="shared" si="109"/>
        <v>0</v>
      </c>
      <c r="M116" s="88">
        <v>0.33333333333333331</v>
      </c>
      <c r="N116" s="89">
        <v>0.83333333333333337</v>
      </c>
      <c r="O116" s="92">
        <f t="shared" si="110"/>
        <v>0.5</v>
      </c>
      <c r="P116" s="88">
        <v>0.16666666666666666</v>
      </c>
      <c r="Q116" s="89">
        <v>0.66666666666666663</v>
      </c>
      <c r="R116" s="93">
        <f t="shared" si="111"/>
        <v>0.5</v>
      </c>
      <c r="S116" s="88" t="s">
        <v>111</v>
      </c>
      <c r="T116" s="89"/>
      <c r="U116" s="90">
        <f t="shared" si="112"/>
        <v>0</v>
      </c>
      <c r="V116" s="88"/>
      <c r="W116" s="89"/>
      <c r="X116" s="93">
        <f t="shared" si="113"/>
        <v>0</v>
      </c>
      <c r="Y116" s="88" t="s">
        <v>111</v>
      </c>
      <c r="Z116" s="89"/>
      <c r="AA116" s="92">
        <f t="shared" si="114"/>
        <v>0</v>
      </c>
      <c r="AB116" s="88">
        <v>0.33333333333333331</v>
      </c>
      <c r="AC116" s="89">
        <v>0.83333333333333337</v>
      </c>
      <c r="AD116" s="93">
        <f t="shared" si="115"/>
        <v>0.5</v>
      </c>
      <c r="AE116" s="88">
        <v>0.16666666666666666</v>
      </c>
      <c r="AF116" s="89">
        <v>0.66666666666666663</v>
      </c>
      <c r="AG116" s="92">
        <f t="shared" si="116"/>
        <v>0.5</v>
      </c>
      <c r="AH116" s="88">
        <v>0.66666666666666663</v>
      </c>
      <c r="AI116" s="89">
        <v>1.1666666666666667</v>
      </c>
      <c r="AJ116" s="93">
        <f t="shared" si="117"/>
        <v>0.50000000000000011</v>
      </c>
      <c r="AK116" s="88">
        <v>0.16666666666666666</v>
      </c>
      <c r="AL116" s="89">
        <v>0.66666666666666663</v>
      </c>
      <c r="AM116" s="92">
        <f t="shared" si="118"/>
        <v>0.5</v>
      </c>
      <c r="AN116" s="86">
        <v>26</v>
      </c>
      <c r="AO116" s="87" t="s">
        <v>5</v>
      </c>
    </row>
    <row r="117" spans="2:41" ht="14.4">
      <c r="B117" s="86">
        <v>27</v>
      </c>
      <c r="C117" s="87" t="s">
        <v>6</v>
      </c>
      <c r="D117" s="88" t="s">
        <v>140</v>
      </c>
      <c r="E117" s="89"/>
      <c r="F117" s="92">
        <f t="shared" si="107"/>
        <v>0</v>
      </c>
      <c r="G117" s="88" t="s">
        <v>111</v>
      </c>
      <c r="H117" s="89"/>
      <c r="I117" s="92">
        <f t="shared" si="108"/>
        <v>0</v>
      </c>
      <c r="J117" s="88" t="s">
        <v>111</v>
      </c>
      <c r="K117" s="89"/>
      <c r="L117" s="92">
        <f t="shared" si="109"/>
        <v>0</v>
      </c>
      <c r="M117" s="88" t="s">
        <v>111</v>
      </c>
      <c r="N117" s="89"/>
      <c r="O117" s="92">
        <f t="shared" si="110"/>
        <v>0</v>
      </c>
      <c r="P117" s="88">
        <v>0.16666666666666666</v>
      </c>
      <c r="Q117" s="89">
        <v>0.66666666666666663</v>
      </c>
      <c r="R117" s="93">
        <f t="shared" si="111"/>
        <v>0.5</v>
      </c>
      <c r="S117" s="88" t="s">
        <v>111</v>
      </c>
      <c r="T117" s="89"/>
      <c r="U117" s="90">
        <f t="shared" si="112"/>
        <v>0</v>
      </c>
      <c r="V117" s="88"/>
      <c r="W117" s="89"/>
      <c r="X117" s="93">
        <f t="shared" si="113"/>
        <v>0</v>
      </c>
      <c r="Y117" s="88" t="s">
        <v>111</v>
      </c>
      <c r="Z117" s="89"/>
      <c r="AA117" s="92">
        <f t="shared" si="114"/>
        <v>0</v>
      </c>
      <c r="AB117" s="88">
        <v>0.41666666666666669</v>
      </c>
      <c r="AC117" s="89">
        <v>0.875</v>
      </c>
      <c r="AD117" s="93">
        <f t="shared" si="115"/>
        <v>0.45833333333333331</v>
      </c>
      <c r="AE117" s="88" t="s">
        <v>111</v>
      </c>
      <c r="AF117" s="89"/>
      <c r="AG117" s="92">
        <f t="shared" si="116"/>
        <v>0</v>
      </c>
      <c r="AH117" s="88">
        <v>0.625</v>
      </c>
      <c r="AI117" s="89">
        <v>1.0833333333333333</v>
      </c>
      <c r="AJ117" s="93">
        <f t="shared" si="117"/>
        <v>0.45833333333333326</v>
      </c>
      <c r="AK117" s="88">
        <v>0.16666666666666666</v>
      </c>
      <c r="AL117" s="89">
        <v>0.66666666666666663</v>
      </c>
      <c r="AM117" s="92">
        <f t="shared" si="118"/>
        <v>0.5</v>
      </c>
      <c r="AN117" s="86">
        <v>27</v>
      </c>
      <c r="AO117" s="87" t="s">
        <v>6</v>
      </c>
    </row>
    <row r="118" spans="2:41" ht="14.4">
      <c r="B118" s="118">
        <v>28</v>
      </c>
      <c r="C118" s="113" t="s">
        <v>7</v>
      </c>
      <c r="D118" s="119" t="s">
        <v>111</v>
      </c>
      <c r="E118" s="120"/>
      <c r="F118" s="128">
        <f t="shared" si="107"/>
        <v>0</v>
      </c>
      <c r="G118" s="119" t="s">
        <v>111</v>
      </c>
      <c r="H118" s="120"/>
      <c r="I118" s="128">
        <f t="shared" si="108"/>
        <v>0</v>
      </c>
      <c r="J118" s="119">
        <v>0.16666666666666666</v>
      </c>
      <c r="K118" s="120">
        <v>0.66666666666666663</v>
      </c>
      <c r="L118" s="128">
        <f t="shared" si="109"/>
        <v>0.5</v>
      </c>
      <c r="M118" s="119">
        <v>0.16666666666666666</v>
      </c>
      <c r="N118" s="120">
        <v>0.66666666666666663</v>
      </c>
      <c r="O118" s="128">
        <f t="shared" si="110"/>
        <v>0.5</v>
      </c>
      <c r="P118" s="119" t="s">
        <v>111</v>
      </c>
      <c r="Q118" s="120"/>
      <c r="R118" s="129">
        <f t="shared" si="111"/>
        <v>0</v>
      </c>
      <c r="S118" s="119" t="s">
        <v>111</v>
      </c>
      <c r="T118" s="120"/>
      <c r="U118" s="121">
        <f t="shared" si="112"/>
        <v>0</v>
      </c>
      <c r="V118" s="119"/>
      <c r="W118" s="120"/>
      <c r="X118" s="129">
        <f t="shared" si="113"/>
        <v>0</v>
      </c>
      <c r="Y118" s="119" t="s">
        <v>111</v>
      </c>
      <c r="Z118" s="120"/>
      <c r="AA118" s="128">
        <f t="shared" si="114"/>
        <v>0</v>
      </c>
      <c r="AB118" s="119" t="s">
        <v>111</v>
      </c>
      <c r="AC118" s="120"/>
      <c r="AD118" s="129">
        <f t="shared" si="115"/>
        <v>0</v>
      </c>
      <c r="AE118" s="119" t="s">
        <v>111</v>
      </c>
      <c r="AF118" s="120"/>
      <c r="AG118" s="128">
        <f t="shared" si="116"/>
        <v>0</v>
      </c>
      <c r="AH118" s="119" t="s">
        <v>111</v>
      </c>
      <c r="AI118" s="120"/>
      <c r="AJ118" s="129">
        <f t="shared" si="117"/>
        <v>0</v>
      </c>
      <c r="AK118" s="119" t="s">
        <v>111</v>
      </c>
      <c r="AL118" s="120"/>
      <c r="AM118" s="128">
        <f t="shared" si="118"/>
        <v>0</v>
      </c>
      <c r="AN118" s="118">
        <v>28</v>
      </c>
      <c r="AO118" s="113" t="s">
        <v>7</v>
      </c>
    </row>
    <row r="119" spans="2:41" ht="14.4">
      <c r="B119" s="118">
        <v>29</v>
      </c>
      <c r="C119" s="113" t="s">
        <v>8</v>
      </c>
      <c r="D119" s="119">
        <v>0.45833333333333331</v>
      </c>
      <c r="E119" s="120">
        <v>0.875</v>
      </c>
      <c r="F119" s="128">
        <f t="shared" si="107"/>
        <v>0.41666666666666669</v>
      </c>
      <c r="G119" s="119">
        <v>0.58333333333333337</v>
      </c>
      <c r="H119" s="120">
        <v>1.0833333333333333</v>
      </c>
      <c r="I119" s="128">
        <f t="shared" si="108"/>
        <v>0.49999999999999989</v>
      </c>
      <c r="J119" s="119">
        <v>0.125</v>
      </c>
      <c r="K119" s="120">
        <v>0.52083333333333337</v>
      </c>
      <c r="L119" s="128">
        <f t="shared" si="109"/>
        <v>0.39583333333333337</v>
      </c>
      <c r="M119" s="119" t="s">
        <v>111</v>
      </c>
      <c r="N119" s="120"/>
      <c r="O119" s="128">
        <f t="shared" si="110"/>
        <v>0</v>
      </c>
      <c r="P119" s="119" t="s">
        <v>111</v>
      </c>
      <c r="Q119" s="120"/>
      <c r="R119" s="129">
        <f t="shared" si="111"/>
        <v>0</v>
      </c>
      <c r="S119" s="119">
        <v>0.45833333333333331</v>
      </c>
      <c r="T119" s="120">
        <v>0.875</v>
      </c>
      <c r="U119" s="121">
        <f t="shared" si="112"/>
        <v>0.41666666666666669</v>
      </c>
      <c r="V119" s="119"/>
      <c r="W119" s="120"/>
      <c r="X119" s="129">
        <f t="shared" si="113"/>
        <v>0</v>
      </c>
      <c r="Y119" s="119" t="s">
        <v>111</v>
      </c>
      <c r="Z119" s="120"/>
      <c r="AA119" s="128">
        <f t="shared" si="114"/>
        <v>0</v>
      </c>
      <c r="AB119" s="119" t="s">
        <v>111</v>
      </c>
      <c r="AC119" s="120"/>
      <c r="AD119" s="129">
        <f t="shared" si="115"/>
        <v>0</v>
      </c>
      <c r="AE119" s="119" t="s">
        <v>111</v>
      </c>
      <c r="AF119" s="120"/>
      <c r="AG119" s="128">
        <f t="shared" si="116"/>
        <v>0</v>
      </c>
      <c r="AH119" s="119" t="s">
        <v>111</v>
      </c>
      <c r="AI119" s="120"/>
      <c r="AJ119" s="129">
        <f t="shared" si="117"/>
        <v>0</v>
      </c>
      <c r="AK119" s="119" t="s">
        <v>111</v>
      </c>
      <c r="AL119" s="120"/>
      <c r="AM119" s="128">
        <f t="shared" si="118"/>
        <v>0</v>
      </c>
      <c r="AN119" s="118">
        <v>29</v>
      </c>
      <c r="AO119" s="113" t="s">
        <v>8</v>
      </c>
    </row>
    <row r="120" spans="2:41" ht="14.4">
      <c r="B120" s="118">
        <v>30</v>
      </c>
      <c r="C120" s="113" t="s">
        <v>12</v>
      </c>
      <c r="D120" s="119">
        <v>0.4375</v>
      </c>
      <c r="E120" s="120">
        <v>0.9375</v>
      </c>
      <c r="F120" s="128">
        <f t="shared" si="107"/>
        <v>0.5</v>
      </c>
      <c r="G120" s="119">
        <v>0.58333333333333337</v>
      </c>
      <c r="H120" s="120">
        <v>1.0833333333333333</v>
      </c>
      <c r="I120" s="128">
        <f t="shared" si="108"/>
        <v>0.49999999999999989</v>
      </c>
      <c r="J120" s="119">
        <v>0.125</v>
      </c>
      <c r="K120" s="120">
        <v>0.52083333333333337</v>
      </c>
      <c r="L120" s="128">
        <f t="shared" si="109"/>
        <v>0.39583333333333337</v>
      </c>
      <c r="M120" s="119" t="s">
        <v>111</v>
      </c>
      <c r="N120" s="120"/>
      <c r="O120" s="128">
        <f t="shared" si="110"/>
        <v>0</v>
      </c>
      <c r="P120" s="119" t="s">
        <v>111</v>
      </c>
      <c r="Q120" s="120"/>
      <c r="R120" s="129">
        <f t="shared" si="111"/>
        <v>0</v>
      </c>
      <c r="S120" s="119">
        <v>0.4375</v>
      </c>
      <c r="T120" s="120">
        <v>0.9375</v>
      </c>
      <c r="U120" s="121">
        <f t="shared" si="112"/>
        <v>0.5</v>
      </c>
      <c r="V120" s="119"/>
      <c r="W120" s="120"/>
      <c r="X120" s="129">
        <f t="shared" si="113"/>
        <v>0</v>
      </c>
      <c r="Y120" s="119" t="s">
        <v>111</v>
      </c>
      <c r="Z120" s="120"/>
      <c r="AA120" s="128">
        <f t="shared" si="114"/>
        <v>0</v>
      </c>
      <c r="AB120" s="119" t="s">
        <v>111</v>
      </c>
      <c r="AC120" s="120"/>
      <c r="AD120" s="129">
        <f t="shared" si="115"/>
        <v>0</v>
      </c>
      <c r="AE120" s="119" t="s">
        <v>111</v>
      </c>
      <c r="AF120" s="120"/>
      <c r="AG120" s="128">
        <f t="shared" si="116"/>
        <v>0</v>
      </c>
      <c r="AH120" s="119">
        <v>0.4375</v>
      </c>
      <c r="AI120" s="120">
        <v>0.9375</v>
      </c>
      <c r="AJ120" s="129">
        <f t="shared" si="117"/>
        <v>0.5</v>
      </c>
      <c r="AK120" s="119" t="s">
        <v>111</v>
      </c>
      <c r="AL120" s="120"/>
      <c r="AM120" s="128">
        <f t="shared" si="118"/>
        <v>0</v>
      </c>
      <c r="AN120" s="118">
        <v>30</v>
      </c>
      <c r="AO120" s="113" t="s">
        <v>12</v>
      </c>
    </row>
    <row r="121" spans="2:41" ht="14.4">
      <c r="B121" s="118">
        <v>31</v>
      </c>
      <c r="C121" s="113" t="s">
        <v>85</v>
      </c>
      <c r="D121" s="119" t="s">
        <v>111</v>
      </c>
      <c r="E121" s="120"/>
      <c r="F121" s="128">
        <f t="shared" si="107"/>
        <v>0</v>
      </c>
      <c r="G121" s="119"/>
      <c r="H121" s="120"/>
      <c r="I121" s="128">
        <f t="shared" si="108"/>
        <v>0</v>
      </c>
      <c r="J121" s="119">
        <v>0.125</v>
      </c>
      <c r="K121" s="120">
        <v>0.52083333333333337</v>
      </c>
      <c r="L121" s="128">
        <f t="shared" si="109"/>
        <v>0.39583333333333337</v>
      </c>
      <c r="M121" s="119" t="s">
        <v>111</v>
      </c>
      <c r="N121" s="120"/>
      <c r="O121" s="128">
        <f t="shared" si="110"/>
        <v>0</v>
      </c>
      <c r="P121" s="119">
        <v>0.125</v>
      </c>
      <c r="Q121" s="120">
        <v>0.52083333333333337</v>
      </c>
      <c r="R121" s="129">
        <f t="shared" si="111"/>
        <v>0.39583333333333337</v>
      </c>
      <c r="S121" s="119" t="s">
        <v>111</v>
      </c>
      <c r="T121" s="120"/>
      <c r="U121" s="121">
        <f t="shared" si="112"/>
        <v>0</v>
      </c>
      <c r="V121" s="119"/>
      <c r="W121" s="120"/>
      <c r="X121" s="129">
        <f t="shared" si="113"/>
        <v>0</v>
      </c>
      <c r="Y121" s="119" t="s">
        <v>111</v>
      </c>
      <c r="Z121" s="120"/>
      <c r="AA121" s="128">
        <f t="shared" si="114"/>
        <v>0</v>
      </c>
      <c r="AB121" s="119">
        <v>0.75</v>
      </c>
      <c r="AC121" s="120">
        <v>1.25</v>
      </c>
      <c r="AD121" s="129">
        <f t="shared" si="115"/>
        <v>0.5</v>
      </c>
      <c r="AE121" s="119" t="s">
        <v>111</v>
      </c>
      <c r="AF121" s="120"/>
      <c r="AG121" s="128">
        <f t="shared" si="116"/>
        <v>0</v>
      </c>
      <c r="AH121" s="119" t="s">
        <v>111</v>
      </c>
      <c r="AI121" s="120"/>
      <c r="AJ121" s="129">
        <f t="shared" si="117"/>
        <v>0</v>
      </c>
      <c r="AK121" s="119" t="s">
        <v>111</v>
      </c>
      <c r="AL121" s="120"/>
      <c r="AM121" s="128">
        <f t="shared" si="118"/>
        <v>0</v>
      </c>
      <c r="AN121" s="118">
        <v>31</v>
      </c>
      <c r="AO121" s="113" t="s">
        <v>85</v>
      </c>
    </row>
    <row r="122" spans="2:41" thickBot="1">
      <c r="B122" s="85"/>
      <c r="C122" s="39"/>
      <c r="D122" s="77"/>
      <c r="E122" s="78"/>
      <c r="F122" s="50"/>
      <c r="G122" s="77"/>
      <c r="H122" s="78"/>
      <c r="I122" s="50"/>
      <c r="J122" s="77"/>
      <c r="K122" s="78"/>
      <c r="L122" s="50"/>
      <c r="M122" s="77"/>
      <c r="N122" s="78"/>
      <c r="O122" s="50"/>
      <c r="P122" s="77"/>
      <c r="Q122" s="78"/>
      <c r="R122" s="73"/>
      <c r="S122" s="77"/>
      <c r="T122" s="78"/>
      <c r="U122" s="108"/>
      <c r="V122" s="107"/>
      <c r="W122" s="78"/>
      <c r="X122" s="84"/>
      <c r="Y122" s="77"/>
      <c r="Z122" s="78"/>
      <c r="AA122" s="50"/>
      <c r="AB122" s="77"/>
      <c r="AC122" s="78"/>
      <c r="AD122" s="73"/>
      <c r="AE122" s="77"/>
      <c r="AF122" s="78"/>
      <c r="AG122" s="50"/>
      <c r="AH122" s="77"/>
      <c r="AI122" s="78"/>
      <c r="AJ122" s="73"/>
      <c r="AK122" s="77"/>
      <c r="AL122" s="78"/>
      <c r="AM122" s="50"/>
      <c r="AN122" s="85"/>
      <c r="AO122" s="39"/>
    </row>
    <row r="123" spans="2:41" thickBot="1">
      <c r="B123" s="168" t="s">
        <v>0</v>
      </c>
      <c r="C123" s="168" t="s">
        <v>1</v>
      </c>
      <c r="D123" s="218" t="s">
        <v>33</v>
      </c>
      <c r="E123" s="219"/>
      <c r="F123" s="220"/>
      <c r="G123" s="234" t="s">
        <v>31</v>
      </c>
      <c r="H123" s="235"/>
      <c r="I123" s="236"/>
      <c r="J123" s="234" t="s">
        <v>28</v>
      </c>
      <c r="K123" s="235"/>
      <c r="L123" s="236"/>
      <c r="M123" s="234" t="s">
        <v>89</v>
      </c>
      <c r="N123" s="235"/>
      <c r="O123" s="236"/>
      <c r="P123" s="218" t="s">
        <v>50</v>
      </c>
      <c r="Q123" s="219"/>
      <c r="R123" s="220"/>
      <c r="S123" s="234" t="s">
        <v>46</v>
      </c>
      <c r="T123" s="235"/>
      <c r="U123" s="236"/>
      <c r="V123" s="218" t="s">
        <v>29</v>
      </c>
      <c r="W123" s="219"/>
      <c r="X123" s="220"/>
      <c r="Y123" s="218" t="s">
        <v>76</v>
      </c>
      <c r="Z123" s="219"/>
      <c r="AA123" s="220"/>
      <c r="AB123" s="252" t="s">
        <v>103</v>
      </c>
      <c r="AC123" s="253"/>
      <c r="AD123" s="251"/>
      <c r="AE123" s="255" t="s">
        <v>70</v>
      </c>
      <c r="AF123" s="256"/>
      <c r="AG123" s="257"/>
      <c r="AH123" s="218" t="s">
        <v>60</v>
      </c>
      <c r="AI123" s="219"/>
      <c r="AJ123" s="220"/>
      <c r="AK123" s="218" t="s">
        <v>53</v>
      </c>
      <c r="AL123" s="219"/>
      <c r="AM123" s="220"/>
      <c r="AN123" s="173" t="s">
        <v>0</v>
      </c>
      <c r="AO123" s="173" t="s">
        <v>1</v>
      </c>
    </row>
    <row r="124" spans="2:41" thickBot="1">
      <c r="B124" s="168"/>
      <c r="C124" s="168"/>
      <c r="D124" s="221"/>
      <c r="E124" s="222"/>
      <c r="F124" s="223"/>
      <c r="G124" s="237"/>
      <c r="H124" s="238"/>
      <c r="I124" s="239"/>
      <c r="J124" s="237"/>
      <c r="K124" s="238"/>
      <c r="L124" s="239"/>
      <c r="M124" s="237"/>
      <c r="N124" s="238"/>
      <c r="O124" s="239"/>
      <c r="P124" s="221"/>
      <c r="Q124" s="222"/>
      <c r="R124" s="223"/>
      <c r="S124" s="237"/>
      <c r="T124" s="238"/>
      <c r="U124" s="239"/>
      <c r="V124" s="221"/>
      <c r="W124" s="222"/>
      <c r="X124" s="223"/>
      <c r="Y124" s="221"/>
      <c r="Z124" s="222"/>
      <c r="AA124" s="223"/>
      <c r="AB124" s="221"/>
      <c r="AC124" s="222"/>
      <c r="AD124" s="223"/>
      <c r="AE124" s="237"/>
      <c r="AF124" s="238"/>
      <c r="AG124" s="239"/>
      <c r="AH124" s="221"/>
      <c r="AI124" s="222"/>
      <c r="AJ124" s="223"/>
      <c r="AK124" s="221"/>
      <c r="AL124" s="222"/>
      <c r="AM124" s="223"/>
      <c r="AN124" s="168"/>
      <c r="AO124" s="168"/>
    </row>
    <row r="125" spans="2:41" thickBot="1">
      <c r="B125" s="168"/>
      <c r="C125" s="168"/>
      <c r="D125" s="169"/>
      <c r="E125" s="170"/>
      <c r="F125" s="171"/>
      <c r="G125" s="254"/>
      <c r="H125" s="254"/>
      <c r="I125" s="254"/>
      <c r="J125" s="169"/>
      <c r="K125" s="170"/>
      <c r="L125" s="171"/>
      <c r="M125" s="169"/>
      <c r="N125" s="170"/>
      <c r="O125" s="171"/>
      <c r="P125" s="254"/>
      <c r="Q125" s="254"/>
      <c r="R125" s="254"/>
      <c r="S125" s="169"/>
      <c r="T125" s="170"/>
      <c r="U125" s="171"/>
      <c r="V125" s="254"/>
      <c r="W125" s="254"/>
      <c r="X125" s="254"/>
      <c r="Y125" s="169"/>
      <c r="Z125" s="170"/>
      <c r="AA125" s="171"/>
      <c r="AB125" s="254"/>
      <c r="AC125" s="254"/>
      <c r="AD125" s="254"/>
      <c r="AE125" s="169"/>
      <c r="AF125" s="170"/>
      <c r="AG125" s="171"/>
      <c r="AH125" s="169"/>
      <c r="AI125" s="170"/>
      <c r="AJ125" s="171"/>
      <c r="AK125" s="169"/>
      <c r="AL125" s="170"/>
      <c r="AM125" s="171"/>
      <c r="AN125" s="168"/>
      <c r="AO125" s="168"/>
    </row>
    <row r="126" spans="2:41" thickBot="1">
      <c r="B126" s="168"/>
      <c r="C126" s="168"/>
      <c r="D126" s="5"/>
      <c r="E126" s="6"/>
      <c r="F126" s="7"/>
      <c r="G126" s="9"/>
      <c r="H126" s="6"/>
      <c r="I126" s="7"/>
      <c r="J126" s="9"/>
      <c r="K126" s="6"/>
      <c r="L126" s="7"/>
      <c r="M126" s="9"/>
      <c r="N126" s="6"/>
      <c r="O126" s="7"/>
      <c r="P126" s="5"/>
      <c r="Q126" s="6"/>
      <c r="R126" s="7"/>
      <c r="S126" s="25"/>
      <c r="T126" s="26"/>
      <c r="U126" s="27"/>
      <c r="V126" s="9"/>
      <c r="W126" s="6"/>
      <c r="X126" s="7"/>
      <c r="Y126" s="9"/>
      <c r="Z126" s="6"/>
      <c r="AA126" s="7"/>
      <c r="AB126" s="9"/>
      <c r="AC126" s="6"/>
      <c r="AD126" s="7"/>
      <c r="AE126" s="9"/>
      <c r="AF126" s="6"/>
      <c r="AG126" s="7"/>
      <c r="AH126" s="9"/>
      <c r="AI126" s="6"/>
      <c r="AJ126" s="7"/>
      <c r="AK126" s="22"/>
      <c r="AL126" s="20"/>
      <c r="AM126" s="21"/>
      <c r="AN126" s="168"/>
      <c r="AO126" s="168"/>
    </row>
    <row r="127" spans="2:41" thickBot="1"/>
    <row r="128" spans="2:41" ht="15.75" customHeight="1" thickBot="1">
      <c r="B128" s="168" t="s">
        <v>0</v>
      </c>
      <c r="C128" s="168" t="s">
        <v>1</v>
      </c>
      <c r="D128" s="218" t="s">
        <v>124</v>
      </c>
      <c r="E128" s="219"/>
      <c r="F128" s="220"/>
      <c r="G128" s="218" t="s">
        <v>36</v>
      </c>
      <c r="H128" s="219"/>
      <c r="I128" s="220"/>
      <c r="J128" s="218" t="s">
        <v>39</v>
      </c>
      <c r="K128" s="219"/>
      <c r="L128" s="220"/>
      <c r="M128" s="218" t="s">
        <v>98</v>
      </c>
      <c r="N128" s="219"/>
      <c r="O128" s="220"/>
      <c r="P128" s="218" t="s">
        <v>43</v>
      </c>
      <c r="Q128" s="219"/>
      <c r="R128" s="220"/>
      <c r="S128" s="218" t="s">
        <v>114</v>
      </c>
      <c r="T128" s="219"/>
      <c r="U128" s="220"/>
      <c r="V128" s="218" t="s">
        <v>34</v>
      </c>
      <c r="W128" s="219"/>
      <c r="X128" s="220"/>
      <c r="Y128" s="218" t="s">
        <v>40</v>
      </c>
      <c r="Z128" s="219"/>
      <c r="AA128" s="220"/>
      <c r="AB128" s="218" t="s">
        <v>56</v>
      </c>
      <c r="AC128" s="219"/>
      <c r="AD128" s="220"/>
      <c r="AE128" s="218" t="s">
        <v>37</v>
      </c>
      <c r="AF128" s="219"/>
      <c r="AG128" s="220"/>
      <c r="AH128" s="218"/>
      <c r="AI128" s="219"/>
      <c r="AJ128" s="220"/>
      <c r="AK128" s="218" t="s">
        <v>47</v>
      </c>
      <c r="AL128" s="219"/>
      <c r="AM128" s="220"/>
      <c r="AN128" s="168" t="s">
        <v>0</v>
      </c>
      <c r="AO128" s="168" t="s">
        <v>1</v>
      </c>
    </row>
    <row r="129" spans="2:42" ht="15" customHeight="1" thickBot="1">
      <c r="B129" s="168"/>
      <c r="C129" s="168"/>
      <c r="D129" s="221"/>
      <c r="E129" s="222"/>
      <c r="F129" s="223"/>
      <c r="G129" s="221"/>
      <c r="H129" s="222"/>
      <c r="I129" s="223"/>
      <c r="J129" s="221"/>
      <c r="K129" s="222"/>
      <c r="L129" s="223"/>
      <c r="M129" s="221"/>
      <c r="N129" s="222"/>
      <c r="O129" s="223"/>
      <c r="P129" s="221"/>
      <c r="Q129" s="222"/>
      <c r="R129" s="223"/>
      <c r="S129" s="221"/>
      <c r="T129" s="222"/>
      <c r="U129" s="223"/>
      <c r="V129" s="221"/>
      <c r="W129" s="222"/>
      <c r="X129" s="223"/>
      <c r="Y129" s="221"/>
      <c r="Z129" s="222"/>
      <c r="AA129" s="223"/>
      <c r="AB129" s="221"/>
      <c r="AC129" s="222"/>
      <c r="AD129" s="223"/>
      <c r="AE129" s="221"/>
      <c r="AF129" s="222"/>
      <c r="AG129" s="223"/>
      <c r="AH129" s="221"/>
      <c r="AI129" s="222"/>
      <c r="AJ129" s="223"/>
      <c r="AK129" s="221"/>
      <c r="AL129" s="222"/>
      <c r="AM129" s="223"/>
      <c r="AN129" s="168"/>
      <c r="AO129" s="168"/>
      <c r="AP129" s="19"/>
    </row>
    <row r="130" spans="2:42" thickBot="1">
      <c r="B130" s="168"/>
      <c r="C130" s="168"/>
      <c r="D130" s="229">
        <v>37</v>
      </c>
      <c r="E130" s="224"/>
      <c r="F130" s="225"/>
      <c r="G130" s="224">
        <v>38</v>
      </c>
      <c r="H130" s="224"/>
      <c r="I130" s="225"/>
      <c r="J130" s="229">
        <v>39</v>
      </c>
      <c r="K130" s="224"/>
      <c r="L130" s="225"/>
      <c r="M130" s="224">
        <v>40</v>
      </c>
      <c r="N130" s="224"/>
      <c r="O130" s="225"/>
      <c r="P130" s="224">
        <v>41</v>
      </c>
      <c r="Q130" s="224"/>
      <c r="R130" s="225"/>
      <c r="S130" s="224">
        <v>42</v>
      </c>
      <c r="T130" s="224"/>
      <c r="U130" s="225"/>
      <c r="V130" s="224">
        <v>43</v>
      </c>
      <c r="W130" s="224"/>
      <c r="X130" s="225"/>
      <c r="Y130" s="224">
        <v>44</v>
      </c>
      <c r="Z130" s="224"/>
      <c r="AA130" s="225"/>
      <c r="AB130" s="224">
        <v>45</v>
      </c>
      <c r="AC130" s="224"/>
      <c r="AD130" s="225"/>
      <c r="AE130" s="224">
        <v>46</v>
      </c>
      <c r="AF130" s="224"/>
      <c r="AG130" s="225"/>
      <c r="AH130" s="224">
        <v>47</v>
      </c>
      <c r="AI130" s="224"/>
      <c r="AJ130" s="225"/>
      <c r="AK130" s="229">
        <v>48</v>
      </c>
      <c r="AL130" s="224"/>
      <c r="AM130" s="225"/>
      <c r="AN130" s="168"/>
      <c r="AO130" s="168"/>
    </row>
    <row r="131" spans="2:42" thickBot="1">
      <c r="B131" s="168"/>
      <c r="C131" s="168"/>
      <c r="D131" s="2"/>
      <c r="E131" s="3"/>
      <c r="F131" s="4"/>
      <c r="G131" s="3"/>
      <c r="H131" s="3"/>
      <c r="I131" s="4"/>
      <c r="J131" s="37"/>
      <c r="K131" s="6"/>
      <c r="L131" s="38"/>
      <c r="M131" s="5"/>
      <c r="N131" s="6"/>
      <c r="O131" s="7"/>
      <c r="P131" s="3"/>
      <c r="Q131" s="3"/>
      <c r="R131" s="4"/>
      <c r="S131" s="3"/>
      <c r="T131" s="3"/>
      <c r="U131" s="4"/>
      <c r="V131" s="2"/>
      <c r="W131" s="3"/>
      <c r="X131" s="4"/>
      <c r="Y131" s="5"/>
      <c r="Z131" s="6"/>
      <c r="AA131" s="7"/>
      <c r="AB131" s="3"/>
      <c r="AC131" s="3"/>
      <c r="AD131" s="4"/>
      <c r="AE131" s="3"/>
      <c r="AF131" s="3"/>
      <c r="AG131" s="4"/>
      <c r="AH131" s="2"/>
      <c r="AI131" s="3"/>
      <c r="AJ131" s="4"/>
      <c r="AK131" s="5"/>
      <c r="AL131" s="6"/>
      <c r="AM131" s="7"/>
      <c r="AN131" s="168"/>
      <c r="AO131" s="168"/>
    </row>
    <row r="132" spans="2:42" thickBot="1">
      <c r="B132" s="1"/>
      <c r="C132" s="1"/>
      <c r="D132" s="216">
        <f>SUM(F133:F163)</f>
        <v>1.3333333333333333</v>
      </c>
      <c r="E132" s="194"/>
      <c r="F132" s="217"/>
      <c r="G132" s="216">
        <f t="shared" ref="G132" si="119">SUM(I133:I164)</f>
        <v>8.8958333333333321</v>
      </c>
      <c r="H132" s="194"/>
      <c r="I132" s="217"/>
      <c r="J132" s="216">
        <f t="shared" ref="J132" si="120">SUM(L133:L164)</f>
        <v>1.4166666666666667</v>
      </c>
      <c r="K132" s="194"/>
      <c r="L132" s="217"/>
      <c r="M132" s="216">
        <f t="shared" ref="M132" si="121">SUM(O133:O164)</f>
        <v>5.125</v>
      </c>
      <c r="N132" s="194"/>
      <c r="O132" s="217"/>
      <c r="P132" s="216">
        <f t="shared" ref="P132" si="122">SUM(R133:R164)</f>
        <v>3.2708333333333335</v>
      </c>
      <c r="Q132" s="194"/>
      <c r="R132" s="217"/>
      <c r="S132" s="216">
        <f t="shared" ref="S132" si="123">SUM(U133:U164)</f>
        <v>1.3333333333333333</v>
      </c>
      <c r="T132" s="194"/>
      <c r="U132" s="217"/>
      <c r="V132" s="216">
        <f t="shared" ref="V132" si="124">SUM(X133:X164)</f>
        <v>4.8958333333333339</v>
      </c>
      <c r="W132" s="194"/>
      <c r="X132" s="217"/>
      <c r="Y132" s="216">
        <f t="shared" ref="Y132" si="125">SUM(AA133:AA164)</f>
        <v>7.520833333333333</v>
      </c>
      <c r="Z132" s="194"/>
      <c r="AA132" s="217"/>
      <c r="AB132" s="216">
        <f t="shared" ref="AB132" si="126">SUM(AD133:AD164)</f>
        <v>6.5416666666666661</v>
      </c>
      <c r="AC132" s="194"/>
      <c r="AD132" s="217"/>
      <c r="AE132" s="216">
        <f t="shared" ref="AE132" si="127">SUM(AG133:AG164)</f>
        <v>3.333333333333333</v>
      </c>
      <c r="AF132" s="194"/>
      <c r="AG132" s="217"/>
      <c r="AH132" s="216">
        <f t="shared" ref="AH132" si="128">SUM(AJ133:AJ164)</f>
        <v>0</v>
      </c>
      <c r="AI132" s="194"/>
      <c r="AJ132" s="217"/>
      <c r="AK132" s="216">
        <f t="shared" ref="AK132" si="129">SUM(AM133:AM164)</f>
        <v>1.9166666666666665</v>
      </c>
      <c r="AL132" s="194"/>
      <c r="AM132" s="217"/>
      <c r="AN132" s="8"/>
      <c r="AO132" s="45"/>
      <c r="AP132" s="19">
        <f>SUM(D132:AO132)</f>
        <v>45.583333333333329</v>
      </c>
    </row>
    <row r="133" spans="2:42" ht="14.4">
      <c r="B133" s="112">
        <v>1</v>
      </c>
      <c r="C133" s="113" t="s">
        <v>8</v>
      </c>
      <c r="D133" s="114" t="s">
        <v>111</v>
      </c>
      <c r="E133" s="115"/>
      <c r="F133" s="127">
        <f>(IF(D133="u",0.333333333,IF(D133="W",0,IF(D133="C",F133,IF(D133="op",F133,(E133-D133))))))</f>
        <v>0</v>
      </c>
      <c r="G133" s="114"/>
      <c r="H133" s="115"/>
      <c r="I133" s="127">
        <f>(IF(G133="u",0.333333333,IF(G133="W",0,IF(G133="C",I133,IF(G133="op",I133,(H133-G133))))))</f>
        <v>0</v>
      </c>
      <c r="J133" s="114" t="s">
        <v>111</v>
      </c>
      <c r="K133" s="115"/>
      <c r="L133" s="127">
        <f>(IF(J133="u",0.333333333,IF(J133="W",0,IF(J133="C",L133,IF(J133="op",L133,(K133-J133))))))</f>
        <v>0</v>
      </c>
      <c r="M133" s="114" t="s">
        <v>111</v>
      </c>
      <c r="N133" s="115"/>
      <c r="O133" s="127">
        <f>(IF(M133="u",0.333333333,IF(M133="W",0,IF(M133="C",O133,IF(M133="op",O133,(N133-M133))))))</f>
        <v>0</v>
      </c>
      <c r="P133" s="114">
        <v>0.125</v>
      </c>
      <c r="Q133" s="115">
        <v>0.58333333333333337</v>
      </c>
      <c r="R133" s="127">
        <f>(IF(P133="u",0.333333333,IF(P133="W",0,IF(P133="C",R133,IF(P133="op",R133,(Q133-P133))))))</f>
        <v>0.45833333333333337</v>
      </c>
      <c r="S133" s="114" t="s">
        <v>111</v>
      </c>
      <c r="T133" s="115"/>
      <c r="U133" s="127">
        <f>(IF(S133="u",0.333333333,IF(S133="W",0,IF(S133="C",U133,IF(S133="op",U133,(T133-S133))))))</f>
        <v>0</v>
      </c>
      <c r="V133" s="114">
        <v>0.66666666666666663</v>
      </c>
      <c r="W133" s="115">
        <v>1.1666666666666667</v>
      </c>
      <c r="X133" s="127">
        <f>(IF(V133="u",0.333333333,IF(V133="W",0,IF(V133="C",X133,IF(V133="op",X133,(W133-V133))))))</f>
        <v>0.50000000000000011</v>
      </c>
      <c r="Y133" s="114">
        <v>0.125</v>
      </c>
      <c r="Z133" s="115">
        <v>0.58333333333333337</v>
      </c>
      <c r="AA133" s="127">
        <f>(IF(Y133="u",0.333333333,IF(Y133="W",0,IF(Y133="C",AA133,IF(Y133="op",AA133,(Z133-Y133))))))</f>
        <v>0.45833333333333337</v>
      </c>
      <c r="AB133" s="114">
        <v>0.625</v>
      </c>
      <c r="AC133" s="115">
        <v>1.125</v>
      </c>
      <c r="AD133" s="127">
        <f>(IF(AB133="u",0.333333333,IF(AB133="W",0,IF(AB133="C",AD133,IF(AB133="op",AD133,(AC133-AB133))))))</f>
        <v>0.5</v>
      </c>
      <c r="AE133" s="114" t="s">
        <v>111</v>
      </c>
      <c r="AF133" s="115"/>
      <c r="AG133" s="127">
        <f>(IF(AE133="u",0.333333333,IF(AE133="W",0,IF(AE133="C",AG133,IF(AE133="op",AG133,(AF133-AE133))))))</f>
        <v>0</v>
      </c>
      <c r="AH133" s="114"/>
      <c r="AI133" s="115"/>
      <c r="AJ133" s="127">
        <f>(IF(AH133="u",0.333333333,IF(AH133="W",0,IF(AH133="C",AJ133,IF(AH133="op",AJ133,(AI133-AH133))))))</f>
        <v>0</v>
      </c>
      <c r="AK133" s="114" t="s">
        <v>111</v>
      </c>
      <c r="AL133" s="115"/>
      <c r="AM133" s="127">
        <f>(IF(AK133="u",0.333333333,IF(AK133="W",0,IF(AK133="C",AM133,IF(AK133="op",AM133,(AL133-AK133))))))</f>
        <v>0</v>
      </c>
      <c r="AN133" s="112">
        <v>1</v>
      </c>
      <c r="AO133" s="113" t="s">
        <v>8</v>
      </c>
    </row>
    <row r="134" spans="2:42" ht="14.4">
      <c r="B134" s="118">
        <v>2</v>
      </c>
      <c r="C134" s="113" t="s">
        <v>12</v>
      </c>
      <c r="D134" s="119" t="s">
        <v>111</v>
      </c>
      <c r="E134" s="120"/>
      <c r="F134" s="128">
        <f>(IF(D134="u",0.333333333,IF(D134="W",0,IF(D134="C",F134,IF(D134="op",F134,(E134-D134))))))</f>
        <v>0</v>
      </c>
      <c r="G134" s="119">
        <v>0.14583333333333334</v>
      </c>
      <c r="H134" s="120">
        <v>0.64583333333333337</v>
      </c>
      <c r="I134" s="128">
        <f>(IF(G134="u",0.333333333,IF(G134="W",0,IF(G134="C",I134,IF(G134="op",I134,(H134-G134))))))</f>
        <v>0.5</v>
      </c>
      <c r="J134" s="119" t="s">
        <v>111</v>
      </c>
      <c r="K134" s="120"/>
      <c r="L134" s="128">
        <f>(IF(J134="u",0.333333333,IF(J134="W",0,IF(J134="C",L134,IF(J134="op",L134,(K134-J134))))))</f>
        <v>0</v>
      </c>
      <c r="M134" s="119"/>
      <c r="N134" s="120"/>
      <c r="O134" s="128">
        <f>(IF(M134="u",0.333333333,IF(M134="W",0,IF(M134="C",O134,IF(M134="op",O134,(N134-M134))))))</f>
        <v>0</v>
      </c>
      <c r="P134" s="119"/>
      <c r="Q134" s="120"/>
      <c r="R134" s="128">
        <f>(IF(P134="u",0.333333333,IF(P134="W",0,IF(P134="C",R134,IF(P134="op",R134,(Q134-P134))))))</f>
        <v>0</v>
      </c>
      <c r="S134" s="119" t="s">
        <v>111</v>
      </c>
      <c r="T134" s="120"/>
      <c r="U134" s="128">
        <f>(IF(S134="u",0.333333333,IF(S134="W",0,IF(S134="C",U134,IF(S134="op",U134,(T134-S134))))))</f>
        <v>0</v>
      </c>
      <c r="V134" s="119"/>
      <c r="W134" s="120"/>
      <c r="X134" s="128">
        <f>(IF(V134="u",0.333333333,IF(V134="W",0,IF(V134="C",X134,IF(V134="op",X134,(W134-V134))))))</f>
        <v>0</v>
      </c>
      <c r="Y134" s="119">
        <v>0.14583333333333334</v>
      </c>
      <c r="Z134" s="120">
        <v>0.64583333333333337</v>
      </c>
      <c r="AA134" s="128">
        <f>(IF(Y134="u",0.333333333,IF(Y134="W",0,IF(Y134="C",AA134,IF(Y134="op",AA134,(Z134-Y134))))))</f>
        <v>0.5</v>
      </c>
      <c r="AB134" s="119"/>
      <c r="AC134" s="120"/>
      <c r="AD134" s="128">
        <f>(IF(AB134="u",0.333333333,IF(AB134="W",0,IF(AB134="C",AD134,IF(AB134="op",AD134,(AC134-AB134))))))</f>
        <v>0</v>
      </c>
      <c r="AE134" s="119">
        <v>0.625</v>
      </c>
      <c r="AF134" s="120">
        <v>1.125</v>
      </c>
      <c r="AG134" s="128">
        <f>(IF(AE134="u",0.333333333,IF(AE134="W",0,IF(AE134="C",AG134,IF(AE134="op",AG134,(AF134-AE134))))))</f>
        <v>0.5</v>
      </c>
      <c r="AH134" s="119"/>
      <c r="AI134" s="120"/>
      <c r="AJ134" s="128">
        <f>(IF(AH134="u",0.333333333,IF(AH134="W",0,IF(AH134="C",AJ134,IF(AH134="op",AJ134,(AI134-AH134))))))</f>
        <v>0</v>
      </c>
      <c r="AK134" s="119" t="s">
        <v>111</v>
      </c>
      <c r="AL134" s="120"/>
      <c r="AM134" s="128">
        <f>(IF(AK134="u",0.333333333,IF(AK134="W",0,IF(AK134="C",AM134,IF(AK134="op",AM134,(AL134-AK134))))))</f>
        <v>0</v>
      </c>
      <c r="AN134" s="118">
        <v>2</v>
      </c>
      <c r="AO134" s="113" t="s">
        <v>12</v>
      </c>
    </row>
    <row r="135" spans="2:42" ht="14.4">
      <c r="B135" s="118">
        <v>3</v>
      </c>
      <c r="C135" s="113" t="s">
        <v>85</v>
      </c>
      <c r="D135" s="119" t="s">
        <v>111</v>
      </c>
      <c r="E135" s="120"/>
      <c r="F135" s="128">
        <f t="shared" ref="F135:F136" si="130">(IF(D135="u",0.333333333,IF(D135="W",0,IF(D135="C",F135,IF(D135="op",F135,(E135-D135))))))</f>
        <v>0</v>
      </c>
      <c r="G135" s="119">
        <v>0.14583333333333334</v>
      </c>
      <c r="H135" s="120">
        <v>0.64583333333333337</v>
      </c>
      <c r="I135" s="128">
        <f t="shared" ref="I135:I136" si="131">(IF(G135="u",0.333333333,IF(G135="W",0,IF(G135="C",I135,IF(G135="op",I135,(H135-G135))))))</f>
        <v>0.5</v>
      </c>
      <c r="J135" s="119" t="s">
        <v>111</v>
      </c>
      <c r="K135" s="120"/>
      <c r="L135" s="128">
        <f t="shared" ref="L135:L136" si="132">(IF(J135="u",0.333333333,IF(J135="W",0,IF(J135="C",L135,IF(J135="op",L135,(K135-J135))))))</f>
        <v>0</v>
      </c>
      <c r="M135" s="119" t="s">
        <v>111</v>
      </c>
      <c r="N135" s="120"/>
      <c r="O135" s="128">
        <f>(IF(M135="u",0.333333333,IF(M135="W",0,IF(M135="C",O135,IF(M135="op",O135,(N135-M135))))))</f>
        <v>0</v>
      </c>
      <c r="P135" s="119">
        <v>0.625</v>
      </c>
      <c r="Q135" s="120">
        <v>1.125</v>
      </c>
      <c r="R135" s="128">
        <f t="shared" ref="R135:R136" si="133">(IF(P135="u",0.333333333,IF(P135="W",0,IF(P135="C",R135,IF(P135="op",R135,(Q135-P135))))))</f>
        <v>0.5</v>
      </c>
      <c r="S135" s="119" t="s">
        <v>111</v>
      </c>
      <c r="T135" s="120"/>
      <c r="U135" s="128">
        <f t="shared" ref="U135:U136" si="134">(IF(S135="u",0.333333333,IF(S135="W",0,IF(S135="C",U135,IF(S135="op",U135,(T135-S135))))))</f>
        <v>0</v>
      </c>
      <c r="V135" s="119" t="s">
        <v>111</v>
      </c>
      <c r="W135" s="120"/>
      <c r="X135" s="128">
        <f t="shared" ref="X135:X136" si="135">(IF(V135="u",0.333333333,IF(V135="W",0,IF(V135="C",X135,IF(V135="op",X135,(W135-V135))))))</f>
        <v>0</v>
      </c>
      <c r="Y135" s="119"/>
      <c r="Z135" s="120"/>
      <c r="AA135" s="128">
        <f t="shared" ref="AA135:AA136" si="136">(IF(Y135="u",0.333333333,IF(Y135="W",0,IF(Y135="C",AA135,IF(Y135="op",AA135,(Z135-Y135))))))</f>
        <v>0</v>
      </c>
      <c r="AB135" s="119">
        <v>0.14583333333333334</v>
      </c>
      <c r="AC135" s="120">
        <v>0.64583333333333337</v>
      </c>
      <c r="AD135" s="128">
        <f t="shared" ref="AD135:AD136" si="137">(IF(AB135="u",0.333333333,IF(AB135="W",0,IF(AB135="C",AD135,IF(AB135="op",AD135,(AC135-AB135))))))</f>
        <v>0.5</v>
      </c>
      <c r="AE135" s="119" t="s">
        <v>111</v>
      </c>
      <c r="AF135" s="120"/>
      <c r="AG135" s="128">
        <f t="shared" ref="AG135:AG136" si="138">(IF(AE135="u",0.333333333,IF(AE135="W",0,IF(AE135="C",AG135,IF(AE135="op",AG135,(AF135-AE135))))))</f>
        <v>0</v>
      </c>
      <c r="AH135" s="119"/>
      <c r="AI135" s="120"/>
      <c r="AJ135" s="128">
        <f t="shared" ref="AJ135:AJ136" si="139">(IF(AH135="u",0.333333333,IF(AH135="W",0,IF(AH135="C",AJ135,IF(AH135="op",AJ135,(AI135-AH135))))))</f>
        <v>0</v>
      </c>
      <c r="AK135" s="119" t="s">
        <v>111</v>
      </c>
      <c r="AL135" s="120"/>
      <c r="AM135" s="128">
        <f t="shared" ref="AM135:AM136" si="140">(IF(AK135="u",0.333333333,IF(AK135="W",0,IF(AK135="C",AM135,IF(AK135="op",AM135,(AL135-AK135))))))</f>
        <v>0</v>
      </c>
      <c r="AN135" s="118">
        <v>3</v>
      </c>
      <c r="AO135" s="113" t="s">
        <v>85</v>
      </c>
    </row>
    <row r="136" spans="2:42" ht="16.2" customHeight="1">
      <c r="B136" s="118">
        <v>4</v>
      </c>
      <c r="C136" s="113" t="s">
        <v>4</v>
      </c>
      <c r="D136" s="119" t="s">
        <v>111</v>
      </c>
      <c r="E136" s="120"/>
      <c r="F136" s="128">
        <f t="shared" si="130"/>
        <v>0</v>
      </c>
      <c r="G136" s="119">
        <v>0.14583333333333334</v>
      </c>
      <c r="H136" s="120">
        <v>0.64583333333333337</v>
      </c>
      <c r="I136" s="128">
        <f t="shared" si="131"/>
        <v>0.5</v>
      </c>
      <c r="J136" s="119" t="s">
        <v>111</v>
      </c>
      <c r="K136" s="120"/>
      <c r="L136" s="128">
        <f t="shared" si="132"/>
        <v>0</v>
      </c>
      <c r="M136" s="119">
        <v>0.5</v>
      </c>
      <c r="N136" s="120">
        <v>0.875</v>
      </c>
      <c r="O136" s="128">
        <f t="shared" ref="O136" si="141">(IF(M136="u",0.333333333,IF(M136="W",0,IF(M136="C",O136,IF(M136="op",O136,(N136-M136))))))</f>
        <v>0.375</v>
      </c>
      <c r="P136" s="119" t="s">
        <v>111</v>
      </c>
      <c r="Q136" s="120"/>
      <c r="R136" s="128">
        <f t="shared" si="133"/>
        <v>0</v>
      </c>
      <c r="S136" s="119" t="s">
        <v>111</v>
      </c>
      <c r="T136" s="120"/>
      <c r="U136" s="128">
        <f t="shared" si="134"/>
        <v>0</v>
      </c>
      <c r="V136" s="119" t="s">
        <v>111</v>
      </c>
      <c r="W136" s="120"/>
      <c r="X136" s="128">
        <f t="shared" si="135"/>
        <v>0</v>
      </c>
      <c r="Y136" s="119" t="s">
        <v>111</v>
      </c>
      <c r="Z136" s="120"/>
      <c r="AA136" s="128">
        <f t="shared" si="136"/>
        <v>0</v>
      </c>
      <c r="AB136" s="119">
        <v>0.14583333333333334</v>
      </c>
      <c r="AC136" s="120">
        <v>0.64583333333333337</v>
      </c>
      <c r="AD136" s="128">
        <f t="shared" si="137"/>
        <v>0.5</v>
      </c>
      <c r="AE136" s="119">
        <v>0.14583333333333334</v>
      </c>
      <c r="AF136" s="120">
        <v>0.64583333333333337</v>
      </c>
      <c r="AG136" s="128">
        <f t="shared" si="138"/>
        <v>0.5</v>
      </c>
      <c r="AH136" s="119"/>
      <c r="AI136" s="120"/>
      <c r="AJ136" s="128">
        <f t="shared" si="139"/>
        <v>0</v>
      </c>
      <c r="AK136" s="119" t="s">
        <v>111</v>
      </c>
      <c r="AL136" s="120"/>
      <c r="AM136" s="128">
        <f t="shared" si="140"/>
        <v>0</v>
      </c>
      <c r="AN136" s="118">
        <v>4</v>
      </c>
      <c r="AO136" s="113" t="s">
        <v>4</v>
      </c>
    </row>
    <row r="137" spans="2:42" ht="14.4">
      <c r="B137" s="86">
        <v>5</v>
      </c>
      <c r="C137" s="87" t="s">
        <v>5</v>
      </c>
      <c r="D137" s="88" t="s">
        <v>111</v>
      </c>
      <c r="E137" s="89"/>
      <c r="F137" s="92">
        <f>(IF(D137="u",0.333333333,IF(D137="W",0,IF(D137="C",F137,IF(D137="op",F137,(E137-D137))))))</f>
        <v>0</v>
      </c>
      <c r="G137" s="88" t="s">
        <v>111</v>
      </c>
      <c r="H137" s="89"/>
      <c r="I137" s="92">
        <f>(IF(G137="u",0.333333333,IF(G137="W",0,IF(G137="C",I137,IF(G137="op",I137,(H137-G137))))))</f>
        <v>0</v>
      </c>
      <c r="J137" s="88">
        <v>0.625</v>
      </c>
      <c r="K137" s="89">
        <v>1.125</v>
      </c>
      <c r="L137" s="92">
        <f>(IF(J137="u",0.333333333,IF(J137="W",0,IF(J137="C",L137,IF(J137="op",L137,(K137-J137))))))</f>
        <v>0.5</v>
      </c>
      <c r="M137" s="88" t="s">
        <v>111</v>
      </c>
      <c r="N137" s="89"/>
      <c r="O137" s="92">
        <f>(IF(M137="u",0.333333333,IF(M137="W",0,IF(M137="C",O137,IF(M137="op",O137,(N137-M137))))))</f>
        <v>0</v>
      </c>
      <c r="P137" s="88" t="s">
        <v>111</v>
      </c>
      <c r="Q137" s="89"/>
      <c r="R137" s="92">
        <f>(IF(P137="u",0.333333333,IF(P137="W",0,IF(P137="C",R137,IF(P137="op",R137,(Q137-P137))))))</f>
        <v>0</v>
      </c>
      <c r="S137" s="88" t="s">
        <v>111</v>
      </c>
      <c r="T137" s="89"/>
      <c r="U137" s="92">
        <f>(IF(S137="u",0.333333333,IF(S137="W",0,IF(S137="C",U137,IF(S137="op",U137,(T137-S137))))))</f>
        <v>0</v>
      </c>
      <c r="V137" s="88" t="s">
        <v>111</v>
      </c>
      <c r="W137" s="89"/>
      <c r="X137" s="92">
        <f>(IF(V137="u",0.333333333,IF(V137="W",0,IF(V137="C",X137,IF(V137="op",X137,(W137-V137))))))</f>
        <v>0</v>
      </c>
      <c r="Y137" s="88" t="s">
        <v>111</v>
      </c>
      <c r="Z137" s="89"/>
      <c r="AA137" s="92">
        <f>(IF(Y137="u",0.333333333,IF(Y137="W",0,IF(Y137="C",AA137,IF(Y137="op",AA137,(Z137-Y137))))))</f>
        <v>0</v>
      </c>
      <c r="AB137" s="88" t="s">
        <v>111</v>
      </c>
      <c r="AC137" s="89"/>
      <c r="AD137" s="92">
        <f>(IF(AB137="u",0.333333333,IF(AB137="W",0,IF(AB137="C",AD137,IF(AB137="op",AD137,(AC137-AB137))))))</f>
        <v>0</v>
      </c>
      <c r="AE137" s="88">
        <v>0.16666666666666666</v>
      </c>
      <c r="AF137" s="89">
        <v>0.66666666666666663</v>
      </c>
      <c r="AG137" s="92">
        <f>(IF(AE137="u",0.333333333,IF(AE137="W",0,IF(AE137="C",AG137,IF(AE137="op",AG137,(AF137-AE137))))))</f>
        <v>0.5</v>
      </c>
      <c r="AH137" s="88"/>
      <c r="AI137" s="89"/>
      <c r="AJ137" s="92">
        <f>(IF(AH137="u",0.333333333,IF(AH137="W",0,IF(AH137="C",AJ137,IF(AH137="op",AJ137,(AI137-AH137))))))</f>
        <v>0</v>
      </c>
      <c r="AK137" s="88">
        <v>0.125</v>
      </c>
      <c r="AL137" s="89">
        <v>0.54166666666666663</v>
      </c>
      <c r="AM137" s="92">
        <f>(IF(AK137="u",0.333333333,IF(AK137="W",0,IF(AK137="C",AM137,IF(AK137="op",AM137,(AL137-AK137))))))</f>
        <v>0.41666666666666663</v>
      </c>
      <c r="AN137" s="86">
        <v>5</v>
      </c>
      <c r="AO137" s="87" t="s">
        <v>5</v>
      </c>
    </row>
    <row r="138" spans="2:42" ht="14.4">
      <c r="B138" s="86">
        <v>6</v>
      </c>
      <c r="C138" s="87" t="s">
        <v>6</v>
      </c>
      <c r="D138" s="88">
        <v>0.125</v>
      </c>
      <c r="E138" s="89">
        <v>0.54166666666666663</v>
      </c>
      <c r="F138" s="92">
        <f t="shared" ref="F138:F146" si="142">(IF(D138="u",0.333333333,IF(D138="W",0,IF(D138="C",F138,IF(D138="op",F138,(E138-D138))))))</f>
        <v>0.41666666666666663</v>
      </c>
      <c r="G138" s="88" t="s">
        <v>111</v>
      </c>
      <c r="H138" s="89"/>
      <c r="I138" s="92">
        <f t="shared" ref="I138:I145" si="143">(IF(G138="u",0.333333333,IF(G138="W",0,IF(G138="C",I138,IF(G138="op",I138,(H138-G138))))))</f>
        <v>0</v>
      </c>
      <c r="J138" s="88" t="s">
        <v>111</v>
      </c>
      <c r="K138" s="89"/>
      <c r="L138" s="92">
        <f t="shared" ref="L138:L146" si="144">(IF(J138="u",0.333333333,IF(J138="W",0,IF(J138="C",L138,IF(J138="op",L138,(K138-J138))))))</f>
        <v>0</v>
      </c>
      <c r="M138" s="88" t="s">
        <v>111</v>
      </c>
      <c r="N138" s="89"/>
      <c r="O138" s="92">
        <f t="shared" ref="O138:O146" si="145">(IF(M138="u",0.333333333,IF(M138="W",0,IF(M138="C",O138,IF(M138="op",O138,(N138-M138))))))</f>
        <v>0</v>
      </c>
      <c r="P138" s="88" t="s">
        <v>111</v>
      </c>
      <c r="Q138" s="89"/>
      <c r="R138" s="92">
        <f t="shared" ref="R138:R146" si="146">(IF(P138="u",0.333333333,IF(P138="W",0,IF(P138="C",R138,IF(P138="op",R138,(Q138-P138))))))</f>
        <v>0</v>
      </c>
      <c r="S138" s="88">
        <v>0.41666666666666669</v>
      </c>
      <c r="T138" s="89">
        <v>0.75</v>
      </c>
      <c r="U138" s="92">
        <f t="shared" ref="U138:U146" si="147">(IF(S138="u",0.333333333,IF(S138="W",0,IF(S138="C",U138,IF(S138="op",U138,(T138-S138))))))</f>
        <v>0.33333333333333331</v>
      </c>
      <c r="V138" s="88" t="s">
        <v>111</v>
      </c>
      <c r="W138" s="89"/>
      <c r="X138" s="92">
        <f t="shared" ref="X138:X146" si="148">(IF(V138="u",0.333333333,IF(V138="W",0,IF(V138="C",X138,IF(V138="op",X138,(W138-V138))))))</f>
        <v>0</v>
      </c>
      <c r="Y138" s="88" t="s">
        <v>111</v>
      </c>
      <c r="Z138" s="89"/>
      <c r="AA138" s="92">
        <f t="shared" ref="AA138:AA146" si="149">(IF(Y138="u",0.333333333,IF(Y138="W",0,IF(Y138="C",AA138,IF(Y138="op",AA138,(Z138-Y138))))))</f>
        <v>0</v>
      </c>
      <c r="AB138" s="88" t="s">
        <v>111</v>
      </c>
      <c r="AC138" s="89"/>
      <c r="AD138" s="92">
        <f t="shared" ref="AD138:AD146" si="150">(IF(AB138="u",0.333333333,IF(AB138="W",0,IF(AB138="C",AD138,IF(AB138="op",AD138,(AC138-AB138))))))</f>
        <v>0</v>
      </c>
      <c r="AE138" s="88">
        <v>0.125</v>
      </c>
      <c r="AF138" s="89">
        <v>0.54166666666666663</v>
      </c>
      <c r="AG138" s="92">
        <f t="shared" ref="AG138:AG146" si="151">(IF(AE138="u",0.333333333,IF(AE138="W",0,IF(AE138="C",AG138,IF(AE138="op",AG138,(AF138-AE138))))))</f>
        <v>0.41666666666666663</v>
      </c>
      <c r="AH138" s="88"/>
      <c r="AI138" s="89"/>
      <c r="AJ138" s="92">
        <f t="shared" ref="AJ138:AJ146" si="152">(IF(AH138="u",0.333333333,IF(AH138="W",0,IF(AH138="C",AJ138,IF(AH138="op",AJ138,(AI138-AH138))))))</f>
        <v>0</v>
      </c>
      <c r="AK138" s="88" t="s">
        <v>111</v>
      </c>
      <c r="AL138" s="89"/>
      <c r="AM138" s="92">
        <f t="shared" ref="AM138:AM146" si="153">(IF(AK138="u",0.333333333,IF(AK138="W",0,IF(AK138="C",AM138,IF(AK138="op",AM138,(AL138-AK138))))))</f>
        <v>0</v>
      </c>
      <c r="AN138" s="86">
        <v>6</v>
      </c>
      <c r="AO138" s="87" t="s">
        <v>6</v>
      </c>
    </row>
    <row r="139" spans="2:42" ht="14.4">
      <c r="B139" s="118">
        <v>7</v>
      </c>
      <c r="C139" s="113" t="s">
        <v>7</v>
      </c>
      <c r="D139" s="119" t="s">
        <v>111</v>
      </c>
      <c r="E139" s="120"/>
      <c r="F139" s="128">
        <f t="shared" si="142"/>
        <v>0</v>
      </c>
      <c r="G139" s="119">
        <v>0.16666666666666666</v>
      </c>
      <c r="H139" s="120">
        <v>0.66666666666666663</v>
      </c>
      <c r="I139" s="128">
        <f t="shared" si="143"/>
        <v>0.5</v>
      </c>
      <c r="J139" s="119" t="s">
        <v>111</v>
      </c>
      <c r="K139" s="120"/>
      <c r="L139" s="128">
        <f t="shared" si="144"/>
        <v>0</v>
      </c>
      <c r="M139" s="119">
        <v>0.125</v>
      </c>
      <c r="N139" s="120">
        <v>0.54166666666666663</v>
      </c>
      <c r="O139" s="128">
        <f t="shared" si="145"/>
        <v>0.41666666666666663</v>
      </c>
      <c r="P139" s="119">
        <v>0.125</v>
      </c>
      <c r="Q139" s="120">
        <v>0.54166666666666663</v>
      </c>
      <c r="R139" s="128">
        <f t="shared" si="146"/>
        <v>0.41666666666666663</v>
      </c>
      <c r="S139" s="119" t="s">
        <v>111</v>
      </c>
      <c r="T139" s="120"/>
      <c r="U139" s="128">
        <f t="shared" si="147"/>
        <v>0</v>
      </c>
      <c r="V139" s="119" t="s">
        <v>111</v>
      </c>
      <c r="W139" s="120"/>
      <c r="X139" s="128">
        <f t="shared" si="148"/>
        <v>0</v>
      </c>
      <c r="Y139" s="119">
        <v>0.16666666666666666</v>
      </c>
      <c r="Z139" s="120">
        <v>0.66666666666666663</v>
      </c>
      <c r="AA139" s="128">
        <f t="shared" si="149"/>
        <v>0.5</v>
      </c>
      <c r="AB139" s="119">
        <v>0.16666666666666666</v>
      </c>
      <c r="AC139" s="120">
        <v>0.66666666666666663</v>
      </c>
      <c r="AD139" s="128">
        <f t="shared" si="150"/>
        <v>0.5</v>
      </c>
      <c r="AE139" s="119" t="s">
        <v>111</v>
      </c>
      <c r="AF139" s="120"/>
      <c r="AG139" s="128">
        <f t="shared" si="151"/>
        <v>0</v>
      </c>
      <c r="AH139" s="119"/>
      <c r="AI139" s="120"/>
      <c r="AJ139" s="128">
        <f t="shared" si="152"/>
        <v>0</v>
      </c>
      <c r="AK139" s="119" t="s">
        <v>111</v>
      </c>
      <c r="AL139" s="120"/>
      <c r="AM139" s="128">
        <f t="shared" si="153"/>
        <v>0</v>
      </c>
      <c r="AN139" s="118">
        <v>7</v>
      </c>
      <c r="AO139" s="113" t="s">
        <v>7</v>
      </c>
    </row>
    <row r="140" spans="2:42" ht="14.4">
      <c r="B140" s="118">
        <v>8</v>
      </c>
      <c r="C140" s="113" t="s">
        <v>8</v>
      </c>
      <c r="D140" s="119" t="s">
        <v>111</v>
      </c>
      <c r="E140" s="120"/>
      <c r="F140" s="128">
        <f t="shared" si="142"/>
        <v>0</v>
      </c>
      <c r="G140" s="119">
        <v>0.66666666666666663</v>
      </c>
      <c r="H140" s="120">
        <v>1.1666666666666667</v>
      </c>
      <c r="I140" s="128">
        <f t="shared" si="143"/>
        <v>0.50000000000000011</v>
      </c>
      <c r="J140" s="119" t="s">
        <v>111</v>
      </c>
      <c r="K140" s="120"/>
      <c r="L140" s="128">
        <f t="shared" si="144"/>
        <v>0</v>
      </c>
      <c r="M140" s="119" t="s">
        <v>111</v>
      </c>
      <c r="N140" s="120"/>
      <c r="O140" s="128">
        <f t="shared" si="145"/>
        <v>0</v>
      </c>
      <c r="P140" s="119" t="s">
        <v>111</v>
      </c>
      <c r="Q140" s="120"/>
      <c r="R140" s="128">
        <f t="shared" si="146"/>
        <v>0</v>
      </c>
      <c r="S140" s="119" t="s">
        <v>111</v>
      </c>
      <c r="T140" s="120"/>
      <c r="U140" s="128">
        <f t="shared" si="147"/>
        <v>0</v>
      </c>
      <c r="V140" s="119" t="s">
        <v>111</v>
      </c>
      <c r="W140" s="120"/>
      <c r="X140" s="128">
        <f t="shared" si="148"/>
        <v>0</v>
      </c>
      <c r="Y140" s="119">
        <v>0.125</v>
      </c>
      <c r="Z140" s="120">
        <v>0.58333333333333337</v>
      </c>
      <c r="AA140" s="128">
        <f t="shared" si="149"/>
        <v>0.45833333333333337</v>
      </c>
      <c r="AB140" s="119">
        <v>0.66666666666666663</v>
      </c>
      <c r="AC140" s="120">
        <v>1.1666666666666667</v>
      </c>
      <c r="AD140" s="128">
        <f t="shared" si="150"/>
        <v>0.50000000000000011</v>
      </c>
      <c r="AE140" s="119" t="s">
        <v>111</v>
      </c>
      <c r="AF140" s="120"/>
      <c r="AG140" s="128">
        <f t="shared" si="151"/>
        <v>0</v>
      </c>
      <c r="AH140" s="119"/>
      <c r="AI140" s="120"/>
      <c r="AJ140" s="128">
        <f t="shared" si="152"/>
        <v>0</v>
      </c>
      <c r="AK140" s="119" t="s">
        <v>111</v>
      </c>
      <c r="AL140" s="120"/>
      <c r="AM140" s="128">
        <f t="shared" si="153"/>
        <v>0</v>
      </c>
      <c r="AN140" s="118">
        <v>8</v>
      </c>
      <c r="AO140" s="113" t="s">
        <v>8</v>
      </c>
    </row>
    <row r="141" spans="2:42" ht="14.4">
      <c r="B141" s="118">
        <v>9</v>
      </c>
      <c r="C141" s="113" t="s">
        <v>12</v>
      </c>
      <c r="D141" s="119" t="s">
        <v>111</v>
      </c>
      <c r="E141" s="120"/>
      <c r="F141" s="128">
        <f t="shared" si="142"/>
        <v>0</v>
      </c>
      <c r="G141" s="119"/>
      <c r="H141" s="120"/>
      <c r="I141" s="128">
        <f t="shared" si="143"/>
        <v>0</v>
      </c>
      <c r="J141" s="119" t="s">
        <v>111</v>
      </c>
      <c r="K141" s="120"/>
      <c r="L141" s="128">
        <f t="shared" si="144"/>
        <v>0</v>
      </c>
      <c r="M141" s="119">
        <v>0.125</v>
      </c>
      <c r="N141" s="120">
        <v>0.58333333333333337</v>
      </c>
      <c r="O141" s="128">
        <f t="shared" si="145"/>
        <v>0.45833333333333337</v>
      </c>
      <c r="P141" s="119" t="s">
        <v>111</v>
      </c>
      <c r="Q141" s="120"/>
      <c r="R141" s="128">
        <f t="shared" si="146"/>
        <v>0</v>
      </c>
      <c r="S141" s="119" t="s">
        <v>111</v>
      </c>
      <c r="T141" s="120"/>
      <c r="U141" s="128">
        <f t="shared" si="147"/>
        <v>0</v>
      </c>
      <c r="V141" s="119">
        <v>0.14583333333333334</v>
      </c>
      <c r="W141" s="120">
        <v>0.64583333333333337</v>
      </c>
      <c r="X141" s="128">
        <f t="shared" si="148"/>
        <v>0.5</v>
      </c>
      <c r="Y141" s="119">
        <v>0.14583333333333334</v>
      </c>
      <c r="Z141" s="120">
        <v>0.64583333333333337</v>
      </c>
      <c r="AA141" s="128">
        <f t="shared" si="149"/>
        <v>0.5</v>
      </c>
      <c r="AB141" s="119"/>
      <c r="AC141" s="120"/>
      <c r="AD141" s="128">
        <f t="shared" si="150"/>
        <v>0</v>
      </c>
      <c r="AE141" s="119" t="s">
        <v>111</v>
      </c>
      <c r="AF141" s="120"/>
      <c r="AG141" s="128">
        <f t="shared" si="151"/>
        <v>0</v>
      </c>
      <c r="AH141" s="119"/>
      <c r="AI141" s="120"/>
      <c r="AJ141" s="128">
        <f t="shared" si="152"/>
        <v>0</v>
      </c>
      <c r="AK141" s="119" t="s">
        <v>111</v>
      </c>
      <c r="AL141" s="120"/>
      <c r="AM141" s="128">
        <f t="shared" si="153"/>
        <v>0</v>
      </c>
      <c r="AN141" s="118">
        <v>9</v>
      </c>
      <c r="AO141" s="113" t="s">
        <v>12</v>
      </c>
    </row>
    <row r="142" spans="2:42" ht="14.4">
      <c r="B142" s="118">
        <v>10</v>
      </c>
      <c r="C142" s="113" t="s">
        <v>85</v>
      </c>
      <c r="D142" s="119" t="s">
        <v>111</v>
      </c>
      <c r="E142" s="120"/>
      <c r="F142" s="128">
        <f t="shared" si="142"/>
        <v>0</v>
      </c>
      <c r="G142" s="119">
        <v>0.14583333333333334</v>
      </c>
      <c r="H142" s="120">
        <v>0.64583333333333337</v>
      </c>
      <c r="I142" s="128">
        <f t="shared" si="143"/>
        <v>0.5</v>
      </c>
      <c r="J142" s="119" t="s">
        <v>111</v>
      </c>
      <c r="K142" s="120"/>
      <c r="L142" s="128">
        <f t="shared" si="144"/>
        <v>0</v>
      </c>
      <c r="M142" s="119" t="s">
        <v>111</v>
      </c>
      <c r="N142" s="120"/>
      <c r="O142" s="128">
        <f t="shared" si="145"/>
        <v>0</v>
      </c>
      <c r="P142" s="119" t="s">
        <v>111</v>
      </c>
      <c r="Q142" s="120"/>
      <c r="R142" s="128">
        <f t="shared" si="146"/>
        <v>0</v>
      </c>
      <c r="S142" s="119" t="s">
        <v>111</v>
      </c>
      <c r="T142" s="120"/>
      <c r="U142" s="128">
        <f t="shared" si="147"/>
        <v>0</v>
      </c>
      <c r="V142" s="119">
        <v>0.16666666666666666</v>
      </c>
      <c r="W142" s="120">
        <v>0.66666666666666663</v>
      </c>
      <c r="X142" s="128">
        <f t="shared" si="148"/>
        <v>0.5</v>
      </c>
      <c r="Y142" s="119">
        <v>0.125</v>
      </c>
      <c r="Z142" s="120">
        <v>0.58333333333333337</v>
      </c>
      <c r="AA142" s="128">
        <f t="shared" si="149"/>
        <v>0.45833333333333337</v>
      </c>
      <c r="AB142" s="119">
        <v>0.14583333333333334</v>
      </c>
      <c r="AC142" s="120">
        <v>0.64583333333333337</v>
      </c>
      <c r="AD142" s="128">
        <f t="shared" si="150"/>
        <v>0.5</v>
      </c>
      <c r="AE142" s="119" t="s">
        <v>111</v>
      </c>
      <c r="AF142" s="120"/>
      <c r="AG142" s="128">
        <f t="shared" si="151"/>
        <v>0</v>
      </c>
      <c r="AH142" s="119"/>
      <c r="AI142" s="120"/>
      <c r="AJ142" s="128">
        <f t="shared" si="152"/>
        <v>0</v>
      </c>
      <c r="AK142" s="119" t="s">
        <v>111</v>
      </c>
      <c r="AL142" s="120"/>
      <c r="AM142" s="128">
        <f t="shared" si="153"/>
        <v>0</v>
      </c>
      <c r="AN142" s="118">
        <v>10</v>
      </c>
      <c r="AO142" s="113" t="s">
        <v>85</v>
      </c>
    </row>
    <row r="143" spans="2:42" ht="14.4">
      <c r="B143" s="118">
        <v>11</v>
      </c>
      <c r="C143" s="113" t="s">
        <v>4</v>
      </c>
      <c r="D143" s="119" t="s">
        <v>111</v>
      </c>
      <c r="E143" s="120"/>
      <c r="F143" s="128">
        <f t="shared" si="142"/>
        <v>0</v>
      </c>
      <c r="G143" s="119"/>
      <c r="H143" s="120"/>
      <c r="I143" s="128">
        <f t="shared" si="143"/>
        <v>0</v>
      </c>
      <c r="J143" s="119" t="s">
        <v>111</v>
      </c>
      <c r="K143" s="120"/>
      <c r="L143" s="128">
        <f t="shared" si="144"/>
        <v>0</v>
      </c>
      <c r="M143" s="119">
        <v>0.5</v>
      </c>
      <c r="N143" s="120">
        <v>0.875</v>
      </c>
      <c r="O143" s="128">
        <f t="shared" si="145"/>
        <v>0.375</v>
      </c>
      <c r="P143" s="119" t="s">
        <v>111</v>
      </c>
      <c r="Q143" s="120"/>
      <c r="R143" s="128">
        <f t="shared" si="146"/>
        <v>0</v>
      </c>
      <c r="S143" s="119" t="s">
        <v>111</v>
      </c>
      <c r="T143" s="120"/>
      <c r="U143" s="128">
        <f t="shared" si="147"/>
        <v>0</v>
      </c>
      <c r="V143" s="119">
        <v>0.16666666666666666</v>
      </c>
      <c r="W143" s="120">
        <v>0.66666666666666663</v>
      </c>
      <c r="X143" s="128">
        <f t="shared" si="148"/>
        <v>0.5</v>
      </c>
      <c r="Y143" s="119" t="s">
        <v>111</v>
      </c>
      <c r="Z143" s="120"/>
      <c r="AA143" s="128">
        <f t="shared" si="149"/>
        <v>0</v>
      </c>
      <c r="AB143" s="119"/>
      <c r="AC143" s="120"/>
      <c r="AD143" s="128">
        <f t="shared" si="150"/>
        <v>0</v>
      </c>
      <c r="AE143" s="119" t="s">
        <v>111</v>
      </c>
      <c r="AF143" s="120"/>
      <c r="AG143" s="128">
        <f t="shared" si="151"/>
        <v>0</v>
      </c>
      <c r="AH143" s="119"/>
      <c r="AI143" s="120"/>
      <c r="AJ143" s="128">
        <f t="shared" si="152"/>
        <v>0</v>
      </c>
      <c r="AK143" s="119" t="s">
        <v>111</v>
      </c>
      <c r="AL143" s="120"/>
      <c r="AM143" s="128">
        <f t="shared" si="153"/>
        <v>0</v>
      </c>
      <c r="AN143" s="118">
        <v>11</v>
      </c>
      <c r="AO143" s="113" t="s">
        <v>4</v>
      </c>
    </row>
    <row r="144" spans="2:42" ht="14.4">
      <c r="B144" s="86">
        <v>12</v>
      </c>
      <c r="C144" s="87" t="s">
        <v>5</v>
      </c>
      <c r="D144" s="88">
        <v>0.14583333333333334</v>
      </c>
      <c r="E144" s="89">
        <v>0.64583333333333337</v>
      </c>
      <c r="F144" s="92">
        <f t="shared" si="142"/>
        <v>0.5</v>
      </c>
      <c r="G144" s="88" t="s">
        <v>111</v>
      </c>
      <c r="H144" s="89"/>
      <c r="I144" s="92">
        <f t="shared" si="143"/>
        <v>0</v>
      </c>
      <c r="J144" s="88" t="s">
        <v>111</v>
      </c>
      <c r="K144" s="89"/>
      <c r="L144" s="92">
        <f t="shared" si="144"/>
        <v>0</v>
      </c>
      <c r="M144" s="88" t="s">
        <v>111</v>
      </c>
      <c r="N144" s="89"/>
      <c r="O144" s="92">
        <f t="shared" si="145"/>
        <v>0</v>
      </c>
      <c r="P144" s="88" t="s">
        <v>111</v>
      </c>
      <c r="Q144" s="89"/>
      <c r="R144" s="92">
        <f t="shared" si="146"/>
        <v>0</v>
      </c>
      <c r="S144" s="88" t="s">
        <v>111</v>
      </c>
      <c r="T144" s="89"/>
      <c r="U144" s="92">
        <f t="shared" si="147"/>
        <v>0</v>
      </c>
      <c r="V144" s="88" t="s">
        <v>111</v>
      </c>
      <c r="W144" s="89"/>
      <c r="X144" s="92">
        <f t="shared" si="148"/>
        <v>0</v>
      </c>
      <c r="Y144" s="88" t="s">
        <v>111</v>
      </c>
      <c r="Z144" s="89"/>
      <c r="AA144" s="92">
        <f t="shared" si="149"/>
        <v>0</v>
      </c>
      <c r="AB144" s="88" t="s">
        <v>111</v>
      </c>
      <c r="AC144" s="89"/>
      <c r="AD144" s="92">
        <f t="shared" si="150"/>
        <v>0</v>
      </c>
      <c r="AE144" s="88">
        <v>0.16666666666666666</v>
      </c>
      <c r="AF144" s="89">
        <v>0.66666666666666663</v>
      </c>
      <c r="AG144" s="92">
        <f t="shared" si="151"/>
        <v>0.5</v>
      </c>
      <c r="AH144" s="88"/>
      <c r="AI144" s="89"/>
      <c r="AJ144" s="92">
        <f t="shared" si="152"/>
        <v>0</v>
      </c>
      <c r="AK144" s="88">
        <v>0.16666666666666666</v>
      </c>
      <c r="AL144" s="89">
        <v>0.66666666666666663</v>
      </c>
      <c r="AM144" s="92">
        <f t="shared" si="153"/>
        <v>0.5</v>
      </c>
      <c r="AN144" s="86">
        <v>12</v>
      </c>
      <c r="AO144" s="87" t="s">
        <v>5</v>
      </c>
    </row>
    <row r="145" spans="1:41" ht="14.4">
      <c r="B145" s="86">
        <v>13</v>
      </c>
      <c r="C145" s="87" t="s">
        <v>6</v>
      </c>
      <c r="D145" s="88">
        <v>0.125</v>
      </c>
      <c r="E145" s="89">
        <v>0.54166666666666663</v>
      </c>
      <c r="F145" s="92">
        <f t="shared" si="142"/>
        <v>0.41666666666666663</v>
      </c>
      <c r="G145" s="88" t="s">
        <v>111</v>
      </c>
      <c r="H145" s="89"/>
      <c r="I145" s="92">
        <f t="shared" si="143"/>
        <v>0</v>
      </c>
      <c r="J145" s="88">
        <v>0.125</v>
      </c>
      <c r="K145" s="89">
        <v>0.54166666666666663</v>
      </c>
      <c r="L145" s="92">
        <f t="shared" si="144"/>
        <v>0.41666666666666663</v>
      </c>
      <c r="M145" s="88" t="s">
        <v>111</v>
      </c>
      <c r="N145" s="89"/>
      <c r="O145" s="92">
        <f t="shared" si="145"/>
        <v>0</v>
      </c>
      <c r="P145" s="88" t="s">
        <v>111</v>
      </c>
      <c r="Q145" s="89"/>
      <c r="R145" s="92">
        <f t="shared" si="146"/>
        <v>0</v>
      </c>
      <c r="S145" s="88">
        <v>0.41666666666666669</v>
      </c>
      <c r="T145" s="89">
        <v>0.75</v>
      </c>
      <c r="U145" s="92">
        <f t="shared" si="147"/>
        <v>0.33333333333333331</v>
      </c>
      <c r="V145" s="88" t="s">
        <v>111</v>
      </c>
      <c r="W145" s="89"/>
      <c r="X145" s="92">
        <f t="shared" si="148"/>
        <v>0</v>
      </c>
      <c r="Y145" s="88" t="s">
        <v>111</v>
      </c>
      <c r="Z145" s="89"/>
      <c r="AA145" s="92">
        <f t="shared" si="149"/>
        <v>0</v>
      </c>
      <c r="AB145" s="88" t="s">
        <v>111</v>
      </c>
      <c r="AC145" s="89"/>
      <c r="AD145" s="92">
        <f t="shared" si="150"/>
        <v>0</v>
      </c>
      <c r="AE145" s="88" t="s">
        <v>111</v>
      </c>
      <c r="AF145" s="89"/>
      <c r="AG145" s="92">
        <f t="shared" si="151"/>
        <v>0</v>
      </c>
      <c r="AH145" s="88"/>
      <c r="AI145" s="89"/>
      <c r="AJ145" s="92">
        <f t="shared" si="152"/>
        <v>0</v>
      </c>
      <c r="AK145" s="88" t="s">
        <v>111</v>
      </c>
      <c r="AL145" s="89"/>
      <c r="AM145" s="92">
        <f t="shared" si="153"/>
        <v>0</v>
      </c>
      <c r="AN145" s="86">
        <v>13</v>
      </c>
      <c r="AO145" s="87" t="s">
        <v>6</v>
      </c>
    </row>
    <row r="146" spans="1:41" ht="15.75" customHeight="1">
      <c r="B146" s="118">
        <v>14</v>
      </c>
      <c r="C146" s="113" t="s">
        <v>7</v>
      </c>
      <c r="D146" s="119" t="s">
        <v>111</v>
      </c>
      <c r="E146" s="120"/>
      <c r="F146" s="128">
        <f t="shared" si="142"/>
        <v>0</v>
      </c>
      <c r="G146" s="119"/>
      <c r="H146" s="120"/>
      <c r="I146" s="128">
        <f>(IF(G146="u",0.333333333,IF(G146="W",0,IF(G146="C",I146,IF(G146="op",I146,(H146-G146))))))</f>
        <v>0</v>
      </c>
      <c r="J146" s="119" t="s">
        <v>111</v>
      </c>
      <c r="K146" s="120"/>
      <c r="L146" s="128">
        <f t="shared" si="144"/>
        <v>0</v>
      </c>
      <c r="M146" s="119">
        <v>0.625</v>
      </c>
      <c r="N146" s="120">
        <v>1.125</v>
      </c>
      <c r="O146" s="128">
        <f t="shared" si="145"/>
        <v>0.5</v>
      </c>
      <c r="P146" s="119" t="s">
        <v>111</v>
      </c>
      <c r="Q146" s="120"/>
      <c r="R146" s="128">
        <f t="shared" si="146"/>
        <v>0</v>
      </c>
      <c r="S146" s="119" t="s">
        <v>111</v>
      </c>
      <c r="T146" s="120"/>
      <c r="U146" s="128">
        <f t="shared" si="147"/>
        <v>0</v>
      </c>
      <c r="V146" s="119" t="s">
        <v>111</v>
      </c>
      <c r="W146" s="120"/>
      <c r="X146" s="128">
        <f t="shared" si="148"/>
        <v>0</v>
      </c>
      <c r="Y146" s="119">
        <v>0.14583333333333334</v>
      </c>
      <c r="Z146" s="120">
        <v>0.64583333333333337</v>
      </c>
      <c r="AA146" s="128">
        <f t="shared" si="149"/>
        <v>0.5</v>
      </c>
      <c r="AB146" s="119" t="s">
        <v>111</v>
      </c>
      <c r="AC146" s="120"/>
      <c r="AD146" s="128">
        <f t="shared" si="150"/>
        <v>0</v>
      </c>
      <c r="AE146" s="119" t="s">
        <v>111</v>
      </c>
      <c r="AF146" s="120"/>
      <c r="AG146" s="128">
        <f t="shared" si="151"/>
        <v>0</v>
      </c>
      <c r="AH146" s="119"/>
      <c r="AI146" s="120"/>
      <c r="AJ146" s="128">
        <f t="shared" si="152"/>
        <v>0</v>
      </c>
      <c r="AK146" s="119" t="s">
        <v>111</v>
      </c>
      <c r="AL146" s="120"/>
      <c r="AM146" s="128">
        <f t="shared" si="153"/>
        <v>0</v>
      </c>
      <c r="AN146" s="118">
        <v>14</v>
      </c>
      <c r="AO146" s="113" t="s">
        <v>7</v>
      </c>
    </row>
    <row r="147" spans="1:41" ht="15.75" customHeight="1">
      <c r="B147" s="118">
        <v>15</v>
      </c>
      <c r="C147" s="113" t="s">
        <v>8</v>
      </c>
      <c r="D147" s="119" t="s">
        <v>111</v>
      </c>
      <c r="E147" s="120"/>
      <c r="F147" s="128">
        <f>(IF(D147="u",0.333333333,IF(D147="W",0,IF(D147="C",F147,IF(D147="op",F147,(E147-D147))))))</f>
        <v>0</v>
      </c>
      <c r="G147" s="119">
        <v>0.66666666666666663</v>
      </c>
      <c r="H147" s="120">
        <v>1.1666666666666667</v>
      </c>
      <c r="I147" s="128">
        <f>(IF(G147="u",0.333333333,IF(G147="W",0,IF(G147="C",I147,IF(G147="op",I147,(H147-G147))))))</f>
        <v>0.50000000000000011</v>
      </c>
      <c r="J147" s="119" t="s">
        <v>111</v>
      </c>
      <c r="K147" s="120"/>
      <c r="L147" s="128">
        <f>(IF(J147="u",0.333333333,IF(J147="W",0,IF(J147="C",L147,IF(J147="op",L147,(K147-J147))))))</f>
        <v>0</v>
      </c>
      <c r="M147" s="119" t="s">
        <v>111</v>
      </c>
      <c r="N147" s="120"/>
      <c r="O147" s="128">
        <f>(IF(M147="u",0.333333333,IF(M147="W",0,IF(M147="C",O147,IF(M147="op",O147,(N147-M147))))))</f>
        <v>0</v>
      </c>
      <c r="P147" s="119" t="s">
        <v>111</v>
      </c>
      <c r="Q147" s="120"/>
      <c r="R147" s="128">
        <f>(IF(P147="u",0.333333333,IF(P147="W",0,IF(P147="C",R147,IF(P147="op",R147,(Q147-P147))))))</f>
        <v>0</v>
      </c>
      <c r="S147" s="119" t="s">
        <v>111</v>
      </c>
      <c r="T147" s="120"/>
      <c r="U147" s="128">
        <f>(IF(S147="u",0.333333333,IF(S147="W",0,IF(S147="C",U147,IF(S147="op",U147,(T147-S147))))))</f>
        <v>0</v>
      </c>
      <c r="V147" s="119" t="s">
        <v>111</v>
      </c>
      <c r="W147" s="120"/>
      <c r="X147" s="128">
        <f>(IF(V147="u",0.333333333,IF(V147="W",0,IF(V147="C",X147,IF(V147="op",X147,(W147-V147))))))</f>
        <v>0</v>
      </c>
      <c r="Y147" s="119">
        <v>0.16666666666666666</v>
      </c>
      <c r="Z147" s="120">
        <v>0.66666666666666663</v>
      </c>
      <c r="AA147" s="128">
        <f>(IF(Y147="u",0.333333333,IF(Y147="W",0,IF(Y147="C",AA147,IF(Y147="op",AA147,(Z147-Y147))))))</f>
        <v>0.5</v>
      </c>
      <c r="AB147" s="119" t="s">
        <v>111</v>
      </c>
      <c r="AC147" s="120"/>
      <c r="AD147" s="128">
        <f>(IF(AB147="u",0.333333333,IF(AB147="W",0,IF(AB147="C",AD147,IF(AB147="op",AD147,(AC147-AB147))))))</f>
        <v>0</v>
      </c>
      <c r="AE147" s="119" t="s">
        <v>111</v>
      </c>
      <c r="AF147" s="120"/>
      <c r="AG147" s="128">
        <f>(IF(AE147="u",0.333333333,IF(AE147="W",0,IF(AE147="C",AG147,IF(AE147="op",AG147,(AF147-AE147))))))</f>
        <v>0</v>
      </c>
      <c r="AH147" s="119"/>
      <c r="AI147" s="120"/>
      <c r="AJ147" s="128">
        <f>(IF(AH147="u",0.333333333,IF(AH147="W",0,IF(AH147="C",AJ147,IF(AH147="op",AJ147,(AI147-AH147))))))</f>
        <v>0</v>
      </c>
      <c r="AK147" s="119" t="s">
        <v>111</v>
      </c>
      <c r="AL147" s="120"/>
      <c r="AM147" s="128">
        <f>(IF(AK147="u",0.333333333,IF(AK147="W",0,IF(AK147="C",AM147,IF(AK147="op",AM147,(AL147-AK147))))))</f>
        <v>0</v>
      </c>
      <c r="AN147" s="118">
        <v>15</v>
      </c>
      <c r="AO147" s="113" t="s">
        <v>8</v>
      </c>
    </row>
    <row r="148" spans="1:41" ht="14.4">
      <c r="A148" t="s">
        <v>16</v>
      </c>
      <c r="B148" s="118">
        <v>16</v>
      </c>
      <c r="C148" s="113" t="s">
        <v>12</v>
      </c>
      <c r="D148" s="119" t="s">
        <v>111</v>
      </c>
      <c r="E148" s="120"/>
      <c r="F148" s="128">
        <f t="shared" ref="F148:F163" si="154">(IF(D148="u",0.333333333,IF(D148="W",0,IF(D148="C",F148,IF(D148="op",F148,(E148-D148))))))</f>
        <v>0</v>
      </c>
      <c r="G148" s="119"/>
      <c r="H148" s="120"/>
      <c r="I148" s="128">
        <f t="shared" ref="I148:I163" si="155">(IF(G148="u",0.333333333,IF(G148="W",0,IF(G148="C",I148,IF(G148="op",I148,(H148-G148))))))</f>
        <v>0</v>
      </c>
      <c r="J148" s="119" t="s">
        <v>111</v>
      </c>
      <c r="K148" s="120"/>
      <c r="L148" s="128">
        <f t="shared" ref="L148:L163" si="156">(IF(J148="u",0.333333333,IF(J148="W",0,IF(J148="C",L148,IF(J148="op",L148,(K148-J148))))))</f>
        <v>0</v>
      </c>
      <c r="M148" s="119">
        <v>0.14583333333333334</v>
      </c>
      <c r="N148" s="120">
        <v>0.64583333333333337</v>
      </c>
      <c r="O148" s="128">
        <f t="shared" ref="O148:O163" si="157">(IF(M148="u",0.333333333,IF(M148="W",0,IF(M148="C",O148,IF(M148="op",O148,(N148-M148))))))</f>
        <v>0.5</v>
      </c>
      <c r="P148" s="119" t="s">
        <v>111</v>
      </c>
      <c r="Q148" s="120"/>
      <c r="R148" s="128">
        <f t="shared" ref="R148:R163" si="158">(IF(P148="u",0.333333333,IF(P148="W",0,IF(P148="C",R148,IF(P148="op",R148,(Q148-P148))))))</f>
        <v>0</v>
      </c>
      <c r="S148" s="119" t="s">
        <v>111</v>
      </c>
      <c r="T148" s="120"/>
      <c r="U148" s="128">
        <f t="shared" ref="U148:U163" si="159">(IF(S148="u",0.333333333,IF(S148="W",0,IF(S148="C",U148,IF(S148="op",U148,(T148-S148))))))</f>
        <v>0</v>
      </c>
      <c r="V148" s="119">
        <v>0.14583333333333334</v>
      </c>
      <c r="W148" s="120">
        <v>0.64583333333333337</v>
      </c>
      <c r="X148" s="128">
        <f t="shared" ref="X148:X163" si="160">(IF(V148="u",0.333333333,IF(V148="W",0,IF(V148="C",X148,IF(V148="op",X148,(W148-V148))))))</f>
        <v>0.5</v>
      </c>
      <c r="Y148" s="119">
        <v>0.125</v>
      </c>
      <c r="Z148" s="120">
        <v>0.58333333333333337</v>
      </c>
      <c r="AA148" s="128">
        <f t="shared" ref="AA148:AA163" si="161">(IF(Y148="u",0.333333333,IF(Y148="W",0,IF(Y148="C",AA148,IF(Y148="op",AA148,(Z148-Y148))))))</f>
        <v>0.45833333333333337</v>
      </c>
      <c r="AB148" s="119" t="s">
        <v>111</v>
      </c>
      <c r="AC148" s="120"/>
      <c r="AD148" s="128">
        <f t="shared" ref="AD148:AD163" si="162">(IF(AB148="u",0.333333333,IF(AB148="W",0,IF(AB148="C",AD148,IF(AB148="op",AD148,(AC148-AB148))))))</f>
        <v>0</v>
      </c>
      <c r="AE148" s="119" t="s">
        <v>111</v>
      </c>
      <c r="AF148" s="120"/>
      <c r="AG148" s="128">
        <f t="shared" ref="AG148:AG163" si="163">(IF(AE148="u",0.333333333,IF(AE148="W",0,IF(AE148="C",AG148,IF(AE148="op",AG148,(AF148-AE148))))))</f>
        <v>0</v>
      </c>
      <c r="AH148" s="119"/>
      <c r="AI148" s="120"/>
      <c r="AJ148" s="128">
        <f t="shared" ref="AJ148:AJ163" si="164">(IF(AH148="u",0.333333333,IF(AH148="W",0,IF(AH148="C",AJ148,IF(AH148="op",AJ148,(AI148-AH148))))))</f>
        <v>0</v>
      </c>
      <c r="AK148" s="119" t="s">
        <v>111</v>
      </c>
      <c r="AL148" s="120"/>
      <c r="AM148" s="128">
        <f t="shared" ref="AM148:AM163" si="165">(IF(AK148="u",0.333333333,IF(AK148="W",0,IF(AK148="C",AM148,IF(AK148="op",AM148,(AL148-AK148))))))</f>
        <v>0</v>
      </c>
      <c r="AN148" s="118">
        <v>16</v>
      </c>
      <c r="AO148" s="113" t="s">
        <v>12</v>
      </c>
    </row>
    <row r="149" spans="1:41" ht="14.4">
      <c r="B149" s="118">
        <v>17</v>
      </c>
      <c r="C149" s="113" t="s">
        <v>85</v>
      </c>
      <c r="D149" s="119" t="s">
        <v>111</v>
      </c>
      <c r="E149" s="120"/>
      <c r="F149" s="128">
        <f t="shared" si="154"/>
        <v>0</v>
      </c>
      <c r="G149" s="119">
        <v>0.14583333333333334</v>
      </c>
      <c r="H149" s="120">
        <v>0.64583333333333337</v>
      </c>
      <c r="I149" s="128">
        <f t="shared" si="155"/>
        <v>0.5</v>
      </c>
      <c r="J149" s="119" t="s">
        <v>111</v>
      </c>
      <c r="K149" s="120"/>
      <c r="L149" s="128">
        <f t="shared" si="156"/>
        <v>0</v>
      </c>
      <c r="M149" s="119" t="s">
        <v>111</v>
      </c>
      <c r="N149" s="120"/>
      <c r="O149" s="128">
        <f t="shared" si="157"/>
        <v>0</v>
      </c>
      <c r="P149" s="119" t="s">
        <v>111</v>
      </c>
      <c r="Q149" s="120"/>
      <c r="R149" s="128">
        <f t="shared" si="158"/>
        <v>0</v>
      </c>
      <c r="S149" s="119" t="s">
        <v>111</v>
      </c>
      <c r="T149" s="120"/>
      <c r="U149" s="128">
        <f t="shared" si="159"/>
        <v>0</v>
      </c>
      <c r="V149" s="119" t="s">
        <v>111</v>
      </c>
      <c r="W149" s="120"/>
      <c r="X149" s="128">
        <f t="shared" si="160"/>
        <v>0</v>
      </c>
      <c r="Y149" s="119">
        <v>0.14583333333333334</v>
      </c>
      <c r="Z149" s="120">
        <v>0.64583333333333337</v>
      </c>
      <c r="AA149" s="128">
        <f t="shared" si="161"/>
        <v>0.5</v>
      </c>
      <c r="AB149" s="119" t="s">
        <v>111</v>
      </c>
      <c r="AC149" s="120"/>
      <c r="AD149" s="128">
        <f t="shared" si="162"/>
        <v>0</v>
      </c>
      <c r="AE149" s="119" t="s">
        <v>111</v>
      </c>
      <c r="AF149" s="120"/>
      <c r="AG149" s="128">
        <f t="shared" si="163"/>
        <v>0</v>
      </c>
      <c r="AH149" s="119"/>
      <c r="AI149" s="120"/>
      <c r="AJ149" s="128">
        <f t="shared" si="164"/>
        <v>0</v>
      </c>
      <c r="AK149" s="119" t="s">
        <v>111</v>
      </c>
      <c r="AL149" s="120"/>
      <c r="AM149" s="128">
        <f t="shared" si="165"/>
        <v>0</v>
      </c>
      <c r="AN149" s="118">
        <v>17</v>
      </c>
      <c r="AO149" s="113" t="s">
        <v>85</v>
      </c>
    </row>
    <row r="150" spans="1:41" ht="15" customHeight="1">
      <c r="B150" s="118">
        <v>18</v>
      </c>
      <c r="C150" s="113" t="s">
        <v>4</v>
      </c>
      <c r="D150" s="119" t="s">
        <v>111</v>
      </c>
      <c r="E150" s="120"/>
      <c r="F150" s="128">
        <f t="shared" si="154"/>
        <v>0</v>
      </c>
      <c r="G150" s="119">
        <v>0.16666666666666666</v>
      </c>
      <c r="H150" s="120">
        <v>0.66666666666666663</v>
      </c>
      <c r="I150" s="128">
        <f t="shared" si="155"/>
        <v>0.5</v>
      </c>
      <c r="J150" s="119">
        <v>0.66666666666666663</v>
      </c>
      <c r="K150" s="120">
        <v>1.1666666666666667</v>
      </c>
      <c r="L150" s="128">
        <f t="shared" si="156"/>
        <v>0.50000000000000011</v>
      </c>
      <c r="M150" s="119" t="s">
        <v>111</v>
      </c>
      <c r="N150" s="120"/>
      <c r="O150" s="128">
        <f t="shared" si="157"/>
        <v>0</v>
      </c>
      <c r="P150" s="119" t="s">
        <v>111</v>
      </c>
      <c r="Q150" s="120"/>
      <c r="R150" s="128">
        <f t="shared" si="158"/>
        <v>0</v>
      </c>
      <c r="S150" s="119" t="s">
        <v>111</v>
      </c>
      <c r="T150" s="120"/>
      <c r="U150" s="128">
        <f t="shared" si="159"/>
        <v>0</v>
      </c>
      <c r="V150" s="119" t="s">
        <v>111</v>
      </c>
      <c r="W150" s="120"/>
      <c r="X150" s="128">
        <f t="shared" si="160"/>
        <v>0</v>
      </c>
      <c r="Y150" s="119" t="s">
        <v>111</v>
      </c>
      <c r="Z150" s="120"/>
      <c r="AA150" s="128">
        <f t="shared" si="161"/>
        <v>0</v>
      </c>
      <c r="AB150" s="119" t="s">
        <v>111</v>
      </c>
      <c r="AC150" s="120"/>
      <c r="AD150" s="128">
        <f t="shared" si="162"/>
        <v>0</v>
      </c>
      <c r="AE150" s="119" t="s">
        <v>111</v>
      </c>
      <c r="AF150" s="120"/>
      <c r="AG150" s="128">
        <f t="shared" si="163"/>
        <v>0</v>
      </c>
      <c r="AH150" s="119"/>
      <c r="AI150" s="120"/>
      <c r="AJ150" s="128">
        <f t="shared" si="164"/>
        <v>0</v>
      </c>
      <c r="AK150" s="119" t="s">
        <v>111</v>
      </c>
      <c r="AL150" s="120"/>
      <c r="AM150" s="128">
        <f t="shared" si="165"/>
        <v>0</v>
      </c>
      <c r="AN150" s="118">
        <v>18</v>
      </c>
      <c r="AO150" s="113" t="s">
        <v>4</v>
      </c>
    </row>
    <row r="151" spans="1:41" ht="14.4">
      <c r="B151" s="86">
        <v>19</v>
      </c>
      <c r="C151" s="87" t="s">
        <v>5</v>
      </c>
      <c r="D151" s="88" t="s">
        <v>111</v>
      </c>
      <c r="E151" s="89"/>
      <c r="F151" s="92">
        <f t="shared" si="154"/>
        <v>0</v>
      </c>
      <c r="G151" s="88" t="s">
        <v>111</v>
      </c>
      <c r="H151" s="89"/>
      <c r="I151" s="92">
        <f t="shared" si="155"/>
        <v>0</v>
      </c>
      <c r="J151" s="88" t="s">
        <v>111</v>
      </c>
      <c r="K151" s="89"/>
      <c r="L151" s="92">
        <f t="shared" si="156"/>
        <v>0</v>
      </c>
      <c r="M151" s="88" t="s">
        <v>111</v>
      </c>
      <c r="N151" s="89"/>
      <c r="O151" s="92">
        <f t="shared" si="157"/>
        <v>0</v>
      </c>
      <c r="P151" s="88" t="s">
        <v>111</v>
      </c>
      <c r="Q151" s="89"/>
      <c r="R151" s="92">
        <f t="shared" si="158"/>
        <v>0</v>
      </c>
      <c r="S151" s="88" t="s">
        <v>111</v>
      </c>
      <c r="T151" s="89"/>
      <c r="U151" s="92">
        <f t="shared" si="159"/>
        <v>0</v>
      </c>
      <c r="V151" s="88" t="s">
        <v>111</v>
      </c>
      <c r="W151" s="89"/>
      <c r="X151" s="92">
        <f t="shared" si="160"/>
        <v>0</v>
      </c>
      <c r="Y151" s="88" t="s">
        <v>111</v>
      </c>
      <c r="Z151" s="89"/>
      <c r="AA151" s="92">
        <f t="shared" si="161"/>
        <v>0</v>
      </c>
      <c r="AB151" s="88" t="s">
        <v>111</v>
      </c>
      <c r="AC151" s="89"/>
      <c r="AD151" s="92">
        <f t="shared" si="162"/>
        <v>0</v>
      </c>
      <c r="AE151" s="88">
        <v>0.125</v>
      </c>
      <c r="AF151" s="89">
        <v>0.54166666666666663</v>
      </c>
      <c r="AG151" s="92">
        <f t="shared" si="163"/>
        <v>0.41666666666666663</v>
      </c>
      <c r="AH151" s="88"/>
      <c r="AI151" s="89"/>
      <c r="AJ151" s="92">
        <f t="shared" si="164"/>
        <v>0</v>
      </c>
      <c r="AK151" s="88">
        <v>0.16666666666666666</v>
      </c>
      <c r="AL151" s="89">
        <v>0.66666666666666663</v>
      </c>
      <c r="AM151" s="92">
        <f t="shared" si="165"/>
        <v>0.5</v>
      </c>
      <c r="AN151" s="86">
        <v>19</v>
      </c>
      <c r="AO151" s="87" t="s">
        <v>5</v>
      </c>
    </row>
    <row r="152" spans="1:41" ht="14.25" customHeight="1">
      <c r="B152" s="86">
        <v>20</v>
      </c>
      <c r="C152" s="87" t="s">
        <v>6</v>
      </c>
      <c r="D152" s="88" t="s">
        <v>111</v>
      </c>
      <c r="E152" s="89"/>
      <c r="F152" s="92">
        <f t="shared" si="154"/>
        <v>0</v>
      </c>
      <c r="G152" s="88" t="s">
        <v>111</v>
      </c>
      <c r="H152" s="89"/>
      <c r="I152" s="92">
        <f t="shared" si="155"/>
        <v>0</v>
      </c>
      <c r="J152" s="88" t="s">
        <v>111</v>
      </c>
      <c r="K152" s="89"/>
      <c r="L152" s="92">
        <f t="shared" si="156"/>
        <v>0</v>
      </c>
      <c r="M152" s="88" t="s">
        <v>111</v>
      </c>
      <c r="N152" s="89"/>
      <c r="O152" s="92">
        <f t="shared" si="157"/>
        <v>0</v>
      </c>
      <c r="P152" s="88" t="s">
        <v>111</v>
      </c>
      <c r="Q152" s="89"/>
      <c r="R152" s="92">
        <f t="shared" si="158"/>
        <v>0</v>
      </c>
      <c r="S152" s="88">
        <v>0.41666666666666669</v>
      </c>
      <c r="T152" s="89">
        <v>0.75</v>
      </c>
      <c r="U152" s="92">
        <f t="shared" si="159"/>
        <v>0.33333333333333331</v>
      </c>
      <c r="V152" s="88" t="s">
        <v>111</v>
      </c>
      <c r="W152" s="89"/>
      <c r="X152" s="92">
        <f t="shared" si="160"/>
        <v>0</v>
      </c>
      <c r="Y152" s="88" t="s">
        <v>111</v>
      </c>
      <c r="Z152" s="89"/>
      <c r="AA152" s="92">
        <f t="shared" si="161"/>
        <v>0</v>
      </c>
      <c r="AB152" s="88" t="s">
        <v>111</v>
      </c>
      <c r="AC152" s="89"/>
      <c r="AD152" s="92">
        <f t="shared" si="162"/>
        <v>0</v>
      </c>
      <c r="AE152" s="88" t="s">
        <v>111</v>
      </c>
      <c r="AF152" s="89"/>
      <c r="AG152" s="92">
        <f t="shared" si="163"/>
        <v>0</v>
      </c>
      <c r="AH152" s="88"/>
      <c r="AI152" s="89"/>
      <c r="AJ152" s="92">
        <f t="shared" si="164"/>
        <v>0</v>
      </c>
      <c r="AK152" s="88" t="s">
        <v>111</v>
      </c>
      <c r="AL152" s="89"/>
      <c r="AM152" s="92">
        <f t="shared" si="165"/>
        <v>0</v>
      </c>
      <c r="AN152" s="86">
        <v>20</v>
      </c>
      <c r="AO152" s="87" t="s">
        <v>6</v>
      </c>
    </row>
    <row r="153" spans="1:41" ht="14.4">
      <c r="B153" s="118">
        <v>21</v>
      </c>
      <c r="C153" s="113" t="s">
        <v>7</v>
      </c>
      <c r="D153" s="119" t="s">
        <v>111</v>
      </c>
      <c r="E153" s="120"/>
      <c r="F153" s="128">
        <f t="shared" si="154"/>
        <v>0</v>
      </c>
      <c r="G153" s="119">
        <v>0.125</v>
      </c>
      <c r="H153" s="120">
        <v>0.52083333333333337</v>
      </c>
      <c r="I153" s="128">
        <f t="shared" si="155"/>
        <v>0.39583333333333337</v>
      </c>
      <c r="J153" s="119" t="s">
        <v>111</v>
      </c>
      <c r="K153" s="120"/>
      <c r="L153" s="128">
        <f t="shared" si="156"/>
        <v>0</v>
      </c>
      <c r="M153" s="119">
        <v>0.58333333333333337</v>
      </c>
      <c r="N153" s="120">
        <v>1.0833333333333333</v>
      </c>
      <c r="O153" s="128">
        <f t="shared" si="157"/>
        <v>0.49999999999999989</v>
      </c>
      <c r="P153" s="119">
        <v>0.16666666666666666</v>
      </c>
      <c r="Q153" s="120">
        <v>0.66666666666666663</v>
      </c>
      <c r="R153" s="128">
        <f t="shared" si="158"/>
        <v>0.5</v>
      </c>
      <c r="S153" s="119" t="s">
        <v>111</v>
      </c>
      <c r="T153" s="120"/>
      <c r="U153" s="128">
        <f t="shared" si="159"/>
        <v>0</v>
      </c>
      <c r="V153" s="119" t="s">
        <v>111</v>
      </c>
      <c r="W153" s="120"/>
      <c r="X153" s="128">
        <f t="shared" si="160"/>
        <v>0</v>
      </c>
      <c r="Y153" s="119">
        <v>0.125</v>
      </c>
      <c r="Z153" s="120">
        <v>0.52083333333333337</v>
      </c>
      <c r="AA153" s="128">
        <f t="shared" si="161"/>
        <v>0.39583333333333337</v>
      </c>
      <c r="AB153" s="119">
        <v>0.5</v>
      </c>
      <c r="AC153" s="120">
        <v>0.875</v>
      </c>
      <c r="AD153" s="128">
        <f t="shared" si="162"/>
        <v>0.375</v>
      </c>
      <c r="AE153" s="119" t="s">
        <v>111</v>
      </c>
      <c r="AF153" s="120"/>
      <c r="AG153" s="128">
        <f t="shared" si="163"/>
        <v>0</v>
      </c>
      <c r="AH153" s="119"/>
      <c r="AI153" s="120"/>
      <c r="AJ153" s="128">
        <f t="shared" si="164"/>
        <v>0</v>
      </c>
      <c r="AK153" s="119" t="s">
        <v>111</v>
      </c>
      <c r="AL153" s="120"/>
      <c r="AM153" s="128">
        <f t="shared" si="165"/>
        <v>0</v>
      </c>
      <c r="AN153" s="118">
        <v>21</v>
      </c>
      <c r="AO153" s="113" t="s">
        <v>7</v>
      </c>
    </row>
    <row r="154" spans="1:41" ht="14.4">
      <c r="B154" s="118">
        <v>22</v>
      </c>
      <c r="C154" s="113" t="s">
        <v>8</v>
      </c>
      <c r="D154" s="119" t="s">
        <v>111</v>
      </c>
      <c r="E154" s="120"/>
      <c r="F154" s="128">
        <f t="shared" si="154"/>
        <v>0</v>
      </c>
      <c r="G154" s="119">
        <v>0.16666666666666666</v>
      </c>
      <c r="H154" s="120">
        <v>0.66666666666666663</v>
      </c>
      <c r="I154" s="128">
        <f t="shared" si="155"/>
        <v>0.5</v>
      </c>
      <c r="J154" s="119" t="s">
        <v>111</v>
      </c>
      <c r="K154" s="120"/>
      <c r="L154" s="128">
        <f t="shared" si="156"/>
        <v>0</v>
      </c>
      <c r="M154" s="119" t="s">
        <v>111</v>
      </c>
      <c r="N154" s="120"/>
      <c r="O154" s="128">
        <f t="shared" si="157"/>
        <v>0</v>
      </c>
      <c r="P154" s="119" t="s">
        <v>111</v>
      </c>
      <c r="Q154" s="120"/>
      <c r="R154" s="128">
        <f t="shared" si="158"/>
        <v>0</v>
      </c>
      <c r="S154" s="119" t="s">
        <v>111</v>
      </c>
      <c r="T154" s="120"/>
      <c r="U154" s="128">
        <f t="shared" si="159"/>
        <v>0</v>
      </c>
      <c r="V154" s="119" t="s">
        <v>111</v>
      </c>
      <c r="W154" s="120"/>
      <c r="X154" s="128">
        <f t="shared" si="160"/>
        <v>0</v>
      </c>
      <c r="Y154" s="119">
        <v>0.16666666666666666</v>
      </c>
      <c r="Z154" s="120">
        <v>0.66666666666666663</v>
      </c>
      <c r="AA154" s="128">
        <f t="shared" si="161"/>
        <v>0.5</v>
      </c>
      <c r="AB154" s="119">
        <v>0.45833333333333331</v>
      </c>
      <c r="AC154" s="120">
        <v>0.875</v>
      </c>
      <c r="AD154" s="128">
        <f t="shared" si="162"/>
        <v>0.41666666666666669</v>
      </c>
      <c r="AE154" s="119" t="s">
        <v>111</v>
      </c>
      <c r="AF154" s="120"/>
      <c r="AG154" s="128">
        <f t="shared" si="163"/>
        <v>0</v>
      </c>
      <c r="AH154" s="119"/>
      <c r="AI154" s="120"/>
      <c r="AJ154" s="128">
        <f t="shared" si="164"/>
        <v>0</v>
      </c>
      <c r="AK154" s="119" t="s">
        <v>111</v>
      </c>
      <c r="AL154" s="120"/>
      <c r="AM154" s="128">
        <f t="shared" si="165"/>
        <v>0</v>
      </c>
      <c r="AN154" s="118">
        <v>22</v>
      </c>
      <c r="AO154" s="113" t="s">
        <v>8</v>
      </c>
    </row>
    <row r="155" spans="1:41" ht="14.4">
      <c r="B155" s="118">
        <v>23</v>
      </c>
      <c r="C155" s="113" t="s">
        <v>12</v>
      </c>
      <c r="D155" s="119" t="s">
        <v>111</v>
      </c>
      <c r="E155" s="120"/>
      <c r="F155" s="128">
        <f t="shared" si="154"/>
        <v>0</v>
      </c>
      <c r="G155" s="119">
        <v>0.16666666666666666</v>
      </c>
      <c r="H155" s="120">
        <v>0.66666666666666663</v>
      </c>
      <c r="I155" s="128">
        <f t="shared" si="155"/>
        <v>0.5</v>
      </c>
      <c r="J155" s="119"/>
      <c r="K155" s="120"/>
      <c r="L155" s="128">
        <f t="shared" si="156"/>
        <v>0</v>
      </c>
      <c r="M155" s="119">
        <v>0.4375</v>
      </c>
      <c r="N155" s="120">
        <v>0.9375</v>
      </c>
      <c r="O155" s="128">
        <f t="shared" si="157"/>
        <v>0.5</v>
      </c>
      <c r="P155" s="119" t="s">
        <v>111</v>
      </c>
      <c r="Q155" s="120"/>
      <c r="R155" s="128">
        <f t="shared" si="158"/>
        <v>0</v>
      </c>
      <c r="S155" s="119" t="s">
        <v>111</v>
      </c>
      <c r="T155" s="120"/>
      <c r="U155" s="128">
        <f t="shared" si="159"/>
        <v>0</v>
      </c>
      <c r="V155" s="119">
        <v>0.4375</v>
      </c>
      <c r="W155" s="120">
        <v>0.9375</v>
      </c>
      <c r="X155" s="128">
        <f t="shared" si="160"/>
        <v>0.5</v>
      </c>
      <c r="Y155" s="119">
        <v>0.125</v>
      </c>
      <c r="Z155" s="120">
        <v>0.52083333333333337</v>
      </c>
      <c r="AA155" s="128">
        <f t="shared" si="161"/>
        <v>0.39583333333333337</v>
      </c>
      <c r="AB155" s="119">
        <v>0.4375</v>
      </c>
      <c r="AC155" s="120">
        <v>0.9375</v>
      </c>
      <c r="AD155" s="128">
        <f t="shared" si="162"/>
        <v>0.5</v>
      </c>
      <c r="AE155" s="119" t="s">
        <v>111</v>
      </c>
      <c r="AF155" s="120"/>
      <c r="AG155" s="128">
        <f t="shared" si="163"/>
        <v>0</v>
      </c>
      <c r="AH155" s="119"/>
      <c r="AI155" s="120"/>
      <c r="AJ155" s="128">
        <f t="shared" si="164"/>
        <v>0</v>
      </c>
      <c r="AK155" s="119" t="s">
        <v>111</v>
      </c>
      <c r="AL155" s="120"/>
      <c r="AM155" s="128">
        <f t="shared" si="165"/>
        <v>0</v>
      </c>
      <c r="AN155" s="118">
        <v>23</v>
      </c>
      <c r="AO155" s="113" t="s">
        <v>12</v>
      </c>
    </row>
    <row r="156" spans="1:41" ht="14.25" customHeight="1">
      <c r="B156" s="118">
        <v>24</v>
      </c>
      <c r="C156" s="113" t="s">
        <v>85</v>
      </c>
      <c r="D156" s="119" t="s">
        <v>111</v>
      </c>
      <c r="E156" s="120"/>
      <c r="F156" s="128">
        <f t="shared" si="154"/>
        <v>0</v>
      </c>
      <c r="G156" s="119">
        <v>0.16666666666666666</v>
      </c>
      <c r="H156" s="120">
        <v>0.66666666666666663</v>
      </c>
      <c r="I156" s="128">
        <f t="shared" si="155"/>
        <v>0.5</v>
      </c>
      <c r="J156" s="119" t="s">
        <v>111</v>
      </c>
      <c r="K156" s="120"/>
      <c r="L156" s="128">
        <f t="shared" si="156"/>
        <v>0</v>
      </c>
      <c r="M156" s="119" t="s">
        <v>111</v>
      </c>
      <c r="N156" s="120"/>
      <c r="O156" s="128">
        <f t="shared" si="157"/>
        <v>0</v>
      </c>
      <c r="P156" s="119" t="s">
        <v>111</v>
      </c>
      <c r="Q156" s="120"/>
      <c r="R156" s="128">
        <f t="shared" si="158"/>
        <v>0</v>
      </c>
      <c r="S156" s="119" t="s">
        <v>111</v>
      </c>
      <c r="T156" s="120"/>
      <c r="U156" s="128">
        <f t="shared" si="159"/>
        <v>0</v>
      </c>
      <c r="V156" s="119" t="s">
        <v>111</v>
      </c>
      <c r="W156" s="120"/>
      <c r="X156" s="128">
        <f t="shared" si="160"/>
        <v>0</v>
      </c>
      <c r="Y156" s="119">
        <v>0.16666666666666666</v>
      </c>
      <c r="Z156" s="120">
        <v>0.66666666666666663</v>
      </c>
      <c r="AA156" s="128">
        <f t="shared" si="161"/>
        <v>0.5</v>
      </c>
      <c r="AB156" s="119">
        <v>0.4375</v>
      </c>
      <c r="AC156" s="120">
        <v>0.89583333333333337</v>
      </c>
      <c r="AD156" s="128">
        <f t="shared" si="162"/>
        <v>0.45833333333333337</v>
      </c>
      <c r="AE156" s="119" t="s">
        <v>111</v>
      </c>
      <c r="AF156" s="120"/>
      <c r="AG156" s="128">
        <f t="shared" si="163"/>
        <v>0</v>
      </c>
      <c r="AH156" s="119"/>
      <c r="AI156" s="120"/>
      <c r="AJ156" s="128">
        <f t="shared" ref="AJ156" si="166">SUM(AI156)</f>
        <v>0</v>
      </c>
      <c r="AK156" s="119" t="s">
        <v>111</v>
      </c>
      <c r="AL156" s="120"/>
      <c r="AM156" s="128">
        <f t="shared" si="165"/>
        <v>0</v>
      </c>
      <c r="AN156" s="118">
        <v>24</v>
      </c>
      <c r="AO156" s="113" t="s">
        <v>85</v>
      </c>
    </row>
    <row r="157" spans="1:41" ht="14.4">
      <c r="B157" s="118">
        <v>25</v>
      </c>
      <c r="C157" s="113" t="s">
        <v>4</v>
      </c>
      <c r="D157" s="119" t="s">
        <v>111</v>
      </c>
      <c r="E157" s="120"/>
      <c r="F157" s="128">
        <f t="shared" si="154"/>
        <v>0</v>
      </c>
      <c r="G157" s="119"/>
      <c r="H157" s="120"/>
      <c r="I157" s="128">
        <f t="shared" si="155"/>
        <v>0</v>
      </c>
      <c r="J157" s="119" t="s">
        <v>111</v>
      </c>
      <c r="K157" s="120"/>
      <c r="L157" s="128">
        <f t="shared" si="156"/>
        <v>0</v>
      </c>
      <c r="M157" s="119">
        <v>0.4375</v>
      </c>
      <c r="N157" s="120">
        <v>0.9375</v>
      </c>
      <c r="O157" s="128">
        <f t="shared" si="157"/>
        <v>0.5</v>
      </c>
      <c r="P157" s="119">
        <v>0.125</v>
      </c>
      <c r="Q157" s="120">
        <v>0.52083333333333337</v>
      </c>
      <c r="R157" s="128">
        <f t="shared" si="158"/>
        <v>0.39583333333333337</v>
      </c>
      <c r="S157" s="119" t="s">
        <v>111</v>
      </c>
      <c r="T157" s="120"/>
      <c r="U157" s="128">
        <f t="shared" si="159"/>
        <v>0</v>
      </c>
      <c r="V157" s="119" t="s">
        <v>111</v>
      </c>
      <c r="W157" s="120"/>
      <c r="X157" s="128">
        <f t="shared" si="160"/>
        <v>0</v>
      </c>
      <c r="Y157" s="119" t="s">
        <v>111</v>
      </c>
      <c r="Z157" s="120"/>
      <c r="AA157" s="128">
        <f t="shared" si="161"/>
        <v>0</v>
      </c>
      <c r="AB157" s="119"/>
      <c r="AC157" s="120"/>
      <c r="AD157" s="128">
        <f t="shared" si="162"/>
        <v>0</v>
      </c>
      <c r="AE157" s="119" t="s">
        <v>111</v>
      </c>
      <c r="AF157" s="120"/>
      <c r="AG157" s="128">
        <f t="shared" si="163"/>
        <v>0</v>
      </c>
      <c r="AH157" s="119"/>
      <c r="AI157" s="120"/>
      <c r="AJ157" s="128">
        <f t="shared" ref="AJ157" si="167">SUM(AI157)</f>
        <v>0</v>
      </c>
      <c r="AK157" s="119" t="s">
        <v>111</v>
      </c>
      <c r="AL157" s="120"/>
      <c r="AM157" s="128">
        <f t="shared" si="165"/>
        <v>0</v>
      </c>
      <c r="AN157" s="118">
        <v>25</v>
      </c>
      <c r="AO157" s="113" t="s">
        <v>4</v>
      </c>
    </row>
    <row r="158" spans="1:41" ht="14.4">
      <c r="B158" s="86">
        <v>26</v>
      </c>
      <c r="C158" s="87" t="s">
        <v>5</v>
      </c>
      <c r="D158" s="88" t="s">
        <v>111</v>
      </c>
      <c r="E158" s="89"/>
      <c r="F158" s="92">
        <f t="shared" si="154"/>
        <v>0</v>
      </c>
      <c r="G158" s="88">
        <v>0.16666666666666666</v>
      </c>
      <c r="H158" s="89">
        <v>0.66666666666666663</v>
      </c>
      <c r="I158" s="92">
        <f t="shared" si="155"/>
        <v>0.5</v>
      </c>
      <c r="J158" s="88" t="s">
        <v>111</v>
      </c>
      <c r="K158" s="89"/>
      <c r="L158" s="92">
        <f t="shared" si="156"/>
        <v>0</v>
      </c>
      <c r="M158" s="88" t="s">
        <v>111</v>
      </c>
      <c r="N158" s="89"/>
      <c r="O158" s="92">
        <f t="shared" si="157"/>
        <v>0</v>
      </c>
      <c r="P158" s="88" t="s">
        <v>111</v>
      </c>
      <c r="Q158" s="89"/>
      <c r="R158" s="92">
        <f t="shared" si="158"/>
        <v>0</v>
      </c>
      <c r="S158" s="88" t="s">
        <v>111</v>
      </c>
      <c r="T158" s="89"/>
      <c r="U158" s="92">
        <f t="shared" si="159"/>
        <v>0</v>
      </c>
      <c r="V158" s="88">
        <v>0.125</v>
      </c>
      <c r="W158" s="89">
        <v>0.52083333333333337</v>
      </c>
      <c r="X158" s="92">
        <f t="shared" si="160"/>
        <v>0.39583333333333337</v>
      </c>
      <c r="Y158" s="88" t="s">
        <v>111</v>
      </c>
      <c r="Z158" s="89"/>
      <c r="AA158" s="92">
        <f t="shared" si="161"/>
        <v>0</v>
      </c>
      <c r="AB158" s="88">
        <v>0.33333333333333331</v>
      </c>
      <c r="AC158" s="89">
        <v>0.83333333333333337</v>
      </c>
      <c r="AD158" s="92">
        <f t="shared" si="162"/>
        <v>0.5</v>
      </c>
      <c r="AE158" s="88">
        <v>0.75</v>
      </c>
      <c r="AF158" s="89">
        <v>1.25</v>
      </c>
      <c r="AG158" s="92">
        <f t="shared" si="163"/>
        <v>0.5</v>
      </c>
      <c r="AH158" s="88"/>
      <c r="AI158" s="89"/>
      <c r="AJ158" s="92">
        <f t="shared" si="164"/>
        <v>0</v>
      </c>
      <c r="AK158" s="88">
        <v>0.33333333333333331</v>
      </c>
      <c r="AL158" s="89">
        <v>0.83333333333333337</v>
      </c>
      <c r="AM158" s="92">
        <f t="shared" si="165"/>
        <v>0.5</v>
      </c>
      <c r="AN158" s="86">
        <v>26</v>
      </c>
      <c r="AO158" s="87" t="s">
        <v>5</v>
      </c>
    </row>
    <row r="159" spans="1:41" ht="14.4">
      <c r="B159" s="86">
        <v>27</v>
      </c>
      <c r="C159" s="87" t="s">
        <v>6</v>
      </c>
      <c r="D159" s="88" t="s">
        <v>111</v>
      </c>
      <c r="E159" s="89"/>
      <c r="F159" s="92">
        <f t="shared" si="154"/>
        <v>0</v>
      </c>
      <c r="G159" s="88" t="s">
        <v>111</v>
      </c>
      <c r="H159" s="89"/>
      <c r="I159" s="92">
        <f t="shared" si="155"/>
        <v>0</v>
      </c>
      <c r="J159" s="88" t="s">
        <v>111</v>
      </c>
      <c r="K159" s="89"/>
      <c r="L159" s="92">
        <f t="shared" si="156"/>
        <v>0</v>
      </c>
      <c r="M159" s="88" t="s">
        <v>111</v>
      </c>
      <c r="N159" s="89"/>
      <c r="O159" s="92">
        <f t="shared" si="157"/>
        <v>0</v>
      </c>
      <c r="P159" s="88" t="s">
        <v>111</v>
      </c>
      <c r="Q159" s="89"/>
      <c r="R159" s="92">
        <f t="shared" si="158"/>
        <v>0</v>
      </c>
      <c r="S159" s="88">
        <v>0.41666666666666669</v>
      </c>
      <c r="T159" s="89">
        <v>0.75</v>
      </c>
      <c r="U159" s="92">
        <f t="shared" si="159"/>
        <v>0.33333333333333331</v>
      </c>
      <c r="V159" s="88">
        <v>0.16666666666666666</v>
      </c>
      <c r="W159" s="89">
        <v>0.66666666666666663</v>
      </c>
      <c r="X159" s="92">
        <f t="shared" si="160"/>
        <v>0.5</v>
      </c>
      <c r="Y159" s="88" t="s">
        <v>111</v>
      </c>
      <c r="Z159" s="89"/>
      <c r="AA159" s="92">
        <f t="shared" si="161"/>
        <v>0</v>
      </c>
      <c r="AB159" s="88" t="s">
        <v>111</v>
      </c>
      <c r="AC159" s="89"/>
      <c r="AD159" s="92">
        <f t="shared" si="162"/>
        <v>0</v>
      </c>
      <c r="AE159" s="88" t="s">
        <v>111</v>
      </c>
      <c r="AF159" s="89"/>
      <c r="AG159" s="92">
        <f t="shared" si="163"/>
        <v>0</v>
      </c>
      <c r="AH159" s="88"/>
      <c r="AI159" s="89"/>
      <c r="AJ159" s="92">
        <f t="shared" si="164"/>
        <v>0</v>
      </c>
      <c r="AK159" s="88" t="s">
        <v>111</v>
      </c>
      <c r="AL159" s="89"/>
      <c r="AM159" s="92">
        <f t="shared" si="165"/>
        <v>0</v>
      </c>
      <c r="AN159" s="86">
        <v>27</v>
      </c>
      <c r="AO159" s="87" t="s">
        <v>6</v>
      </c>
    </row>
    <row r="160" spans="1:41" ht="14.4">
      <c r="B160" s="118">
        <v>28</v>
      </c>
      <c r="C160" s="113" t="s">
        <v>7</v>
      </c>
      <c r="D160" s="119" t="s">
        <v>111</v>
      </c>
      <c r="E160" s="120"/>
      <c r="F160" s="128">
        <f t="shared" si="154"/>
        <v>0</v>
      </c>
      <c r="G160" s="119">
        <v>0.16666666666666666</v>
      </c>
      <c r="H160" s="120">
        <v>0.66666666666666663</v>
      </c>
      <c r="I160" s="128">
        <f t="shared" si="155"/>
        <v>0.5</v>
      </c>
      <c r="J160" s="119" t="s">
        <v>111</v>
      </c>
      <c r="K160" s="120"/>
      <c r="L160" s="128">
        <f t="shared" si="156"/>
        <v>0</v>
      </c>
      <c r="M160" s="119">
        <v>0.16666666666666666</v>
      </c>
      <c r="N160" s="120">
        <v>0.66666666666666663</v>
      </c>
      <c r="O160" s="128">
        <f t="shared" si="157"/>
        <v>0.5</v>
      </c>
      <c r="P160" s="119">
        <v>0.16666666666666666</v>
      </c>
      <c r="Q160" s="120">
        <v>0.66666666666666663</v>
      </c>
      <c r="R160" s="128">
        <f t="shared" si="158"/>
        <v>0.5</v>
      </c>
      <c r="S160" s="119" t="s">
        <v>111</v>
      </c>
      <c r="T160" s="120"/>
      <c r="U160" s="128">
        <f t="shared" si="159"/>
        <v>0</v>
      </c>
      <c r="V160" s="119" t="s">
        <v>111</v>
      </c>
      <c r="W160" s="120"/>
      <c r="X160" s="128">
        <f t="shared" si="160"/>
        <v>0</v>
      </c>
      <c r="Y160" s="119">
        <v>0.125</v>
      </c>
      <c r="Z160" s="120">
        <v>0.52083333333333337</v>
      </c>
      <c r="AA160" s="128">
        <f t="shared" si="161"/>
        <v>0.39583333333333337</v>
      </c>
      <c r="AB160" s="119">
        <v>0.5</v>
      </c>
      <c r="AC160" s="120">
        <v>0.875</v>
      </c>
      <c r="AD160" s="128">
        <f t="shared" si="162"/>
        <v>0.375</v>
      </c>
      <c r="AE160" s="119" t="s">
        <v>111</v>
      </c>
      <c r="AF160" s="120"/>
      <c r="AG160" s="128">
        <f t="shared" si="163"/>
        <v>0</v>
      </c>
      <c r="AH160" s="119"/>
      <c r="AI160" s="120"/>
      <c r="AJ160" s="128">
        <f t="shared" si="164"/>
        <v>0</v>
      </c>
      <c r="AK160" s="119" t="s">
        <v>111</v>
      </c>
      <c r="AL160" s="120"/>
      <c r="AM160" s="128">
        <f t="shared" si="165"/>
        <v>0</v>
      </c>
      <c r="AN160" s="118">
        <v>28</v>
      </c>
      <c r="AO160" s="113" t="s">
        <v>7</v>
      </c>
    </row>
    <row r="161" spans="2:42" ht="14.4">
      <c r="B161" s="118">
        <v>29</v>
      </c>
      <c r="C161" s="113" t="s">
        <v>8</v>
      </c>
      <c r="D161" s="119" t="s">
        <v>111</v>
      </c>
      <c r="E161" s="120"/>
      <c r="F161" s="128">
        <f t="shared" si="154"/>
        <v>0</v>
      </c>
      <c r="G161" s="119">
        <v>0.16666666666666666</v>
      </c>
      <c r="H161" s="120">
        <v>0.66666666666666663</v>
      </c>
      <c r="I161" s="128">
        <f t="shared" si="155"/>
        <v>0.5</v>
      </c>
      <c r="J161" s="119" t="s">
        <v>111</v>
      </c>
      <c r="K161" s="120"/>
      <c r="L161" s="128">
        <f>(IF(J161="u",0.333333333,IF(J161="W",0,IF(J161="C",L161,IF(J161="op",L161,(K161-J161))))))</f>
        <v>0</v>
      </c>
      <c r="M161" s="119" t="s">
        <v>111</v>
      </c>
      <c r="N161" s="120"/>
      <c r="O161" s="128">
        <f t="shared" si="157"/>
        <v>0</v>
      </c>
      <c r="P161" s="119">
        <v>0.16666666666666666</v>
      </c>
      <c r="Q161" s="120">
        <v>0.66666666666666663</v>
      </c>
      <c r="R161" s="128">
        <f t="shared" si="158"/>
        <v>0.5</v>
      </c>
      <c r="S161" s="119" t="s">
        <v>111</v>
      </c>
      <c r="T161" s="120"/>
      <c r="U161" s="128">
        <f t="shared" si="159"/>
        <v>0</v>
      </c>
      <c r="V161" s="119" t="s">
        <v>111</v>
      </c>
      <c r="W161" s="120"/>
      <c r="X161" s="128">
        <f>(IF(V161="u",0.333333333,IF(V161="W",0,IF(V161="C",X161,IF(V161="op",X161,(W161-V161))))))</f>
        <v>0</v>
      </c>
      <c r="Y161" s="119">
        <v>0.16666666666666666</v>
      </c>
      <c r="Z161" s="120">
        <v>0.66666666666666663</v>
      </c>
      <c r="AA161" s="128">
        <f t="shared" si="161"/>
        <v>0.5</v>
      </c>
      <c r="AB161" s="119">
        <v>0.45833333333333331</v>
      </c>
      <c r="AC161" s="120">
        <v>0.875</v>
      </c>
      <c r="AD161" s="128">
        <f t="shared" si="162"/>
        <v>0.41666666666666669</v>
      </c>
      <c r="AE161" s="119" t="s">
        <v>111</v>
      </c>
      <c r="AF161" s="120"/>
      <c r="AG161" s="128">
        <f t="shared" si="163"/>
        <v>0</v>
      </c>
      <c r="AH161" s="119"/>
      <c r="AI161" s="120"/>
      <c r="AJ161" s="128">
        <f t="shared" si="164"/>
        <v>0</v>
      </c>
      <c r="AK161" s="119" t="s">
        <v>111</v>
      </c>
      <c r="AL161" s="120"/>
      <c r="AM161" s="128">
        <f t="shared" si="165"/>
        <v>0</v>
      </c>
      <c r="AN161" s="118">
        <v>29</v>
      </c>
      <c r="AO161" s="113" t="s">
        <v>8</v>
      </c>
    </row>
    <row r="162" spans="2:42" ht="14.4">
      <c r="B162" s="118">
        <v>30</v>
      </c>
      <c r="C162" s="113" t="s">
        <v>12</v>
      </c>
      <c r="D162" s="119" t="s">
        <v>111</v>
      </c>
      <c r="E162" s="120"/>
      <c r="F162" s="128">
        <f t="shared" si="154"/>
        <v>0</v>
      </c>
      <c r="G162" s="119">
        <v>0.16666666666666666</v>
      </c>
      <c r="H162" s="120">
        <v>0.66666666666666663</v>
      </c>
      <c r="I162" s="128">
        <f t="shared" si="155"/>
        <v>0.5</v>
      </c>
      <c r="J162" s="119" t="s">
        <v>111</v>
      </c>
      <c r="K162" s="120"/>
      <c r="L162" s="128">
        <f t="shared" si="156"/>
        <v>0</v>
      </c>
      <c r="M162" s="119">
        <v>0.16666666666666666</v>
      </c>
      <c r="N162" s="120">
        <v>0.66666666666666663</v>
      </c>
      <c r="O162" s="128">
        <f t="shared" si="157"/>
        <v>0.5</v>
      </c>
      <c r="P162" s="119" t="s">
        <v>111</v>
      </c>
      <c r="Q162" s="120"/>
      <c r="R162" s="128">
        <f t="shared" si="158"/>
        <v>0</v>
      </c>
      <c r="S162" s="119" t="s">
        <v>111</v>
      </c>
      <c r="T162" s="120"/>
      <c r="U162" s="128">
        <f t="shared" si="159"/>
        <v>0</v>
      </c>
      <c r="V162" s="119">
        <v>0.16666666666666666</v>
      </c>
      <c r="W162" s="120">
        <v>0.66666666666666663</v>
      </c>
      <c r="X162" s="128">
        <f>(IF(V162="u",0.333333333,IF(V162="W",0,IF(V162="C",X162,IF(V162="op",X162,(W162-V162))))))</f>
        <v>0.5</v>
      </c>
      <c r="Y162" s="119" t="s">
        <v>111</v>
      </c>
      <c r="Z162" s="120"/>
      <c r="AA162" s="128">
        <f t="shared" si="161"/>
        <v>0</v>
      </c>
      <c r="AB162" s="119"/>
      <c r="AC162" s="120"/>
      <c r="AD162" s="128">
        <f t="shared" si="162"/>
        <v>0</v>
      </c>
      <c r="AE162" s="119" t="s">
        <v>111</v>
      </c>
      <c r="AF162" s="120"/>
      <c r="AG162" s="128">
        <f t="shared" si="163"/>
        <v>0</v>
      </c>
      <c r="AH162" s="119"/>
      <c r="AI162" s="120"/>
      <c r="AJ162" s="128">
        <f t="shared" si="164"/>
        <v>0</v>
      </c>
      <c r="AK162" s="119" t="s">
        <v>111</v>
      </c>
      <c r="AL162" s="120"/>
      <c r="AM162" s="128">
        <f t="shared" si="165"/>
        <v>0</v>
      </c>
      <c r="AN162" s="118">
        <v>30</v>
      </c>
      <c r="AO162" s="113" t="s">
        <v>12</v>
      </c>
    </row>
    <row r="163" spans="2:42" ht="14.4">
      <c r="B163" s="118">
        <v>31</v>
      </c>
      <c r="C163" s="113" t="s">
        <v>85</v>
      </c>
      <c r="D163" s="119" t="s">
        <v>111</v>
      </c>
      <c r="E163" s="120"/>
      <c r="F163" s="128">
        <f t="shared" si="154"/>
        <v>0</v>
      </c>
      <c r="G163" s="119">
        <v>0.16666666666666666</v>
      </c>
      <c r="H163" s="120">
        <v>0.66666666666666663</v>
      </c>
      <c r="I163" s="128">
        <f t="shared" si="155"/>
        <v>0.5</v>
      </c>
      <c r="J163" s="119" t="s">
        <v>111</v>
      </c>
      <c r="K163" s="120"/>
      <c r="L163" s="128">
        <f t="shared" si="156"/>
        <v>0</v>
      </c>
      <c r="M163" s="119" t="s">
        <v>111</v>
      </c>
      <c r="N163" s="120"/>
      <c r="O163" s="128">
        <f t="shared" si="157"/>
        <v>0</v>
      </c>
      <c r="P163" s="119" t="s">
        <v>111</v>
      </c>
      <c r="Q163" s="120"/>
      <c r="R163" s="128">
        <f t="shared" si="158"/>
        <v>0</v>
      </c>
      <c r="S163" s="119" t="s">
        <v>111</v>
      </c>
      <c r="T163" s="120"/>
      <c r="U163" s="128">
        <f t="shared" si="159"/>
        <v>0</v>
      </c>
      <c r="V163" s="119">
        <v>0.16666666666666666</v>
      </c>
      <c r="W163" s="120">
        <v>0.66666666666666663</v>
      </c>
      <c r="X163" s="128">
        <f t="shared" si="160"/>
        <v>0.5</v>
      </c>
      <c r="Y163" s="119" t="s">
        <v>111</v>
      </c>
      <c r="Z163" s="120"/>
      <c r="AA163" s="128">
        <f t="shared" si="161"/>
        <v>0</v>
      </c>
      <c r="AB163" s="119">
        <v>0.4375</v>
      </c>
      <c r="AC163" s="120">
        <v>0.9375</v>
      </c>
      <c r="AD163" s="128">
        <f t="shared" si="162"/>
        <v>0.5</v>
      </c>
      <c r="AE163" s="119" t="s">
        <v>111</v>
      </c>
      <c r="AF163" s="120"/>
      <c r="AG163" s="128">
        <f t="shared" si="163"/>
        <v>0</v>
      </c>
      <c r="AH163" s="119"/>
      <c r="AI163" s="120"/>
      <c r="AJ163" s="128">
        <f t="shared" si="164"/>
        <v>0</v>
      </c>
      <c r="AK163" s="119" t="s">
        <v>111</v>
      </c>
      <c r="AL163" s="120"/>
      <c r="AM163" s="128">
        <f t="shared" si="165"/>
        <v>0</v>
      </c>
      <c r="AN163" s="118">
        <v>31</v>
      </c>
      <c r="AO163" s="113" t="s">
        <v>85</v>
      </c>
    </row>
    <row r="164" spans="2:42" thickBot="1">
      <c r="B164" s="85"/>
      <c r="C164" s="39"/>
      <c r="D164" s="77"/>
      <c r="E164" s="78"/>
      <c r="F164" s="50"/>
      <c r="G164" s="77"/>
      <c r="H164" s="78"/>
      <c r="I164" s="50"/>
      <c r="J164" s="77"/>
      <c r="K164" s="78"/>
      <c r="L164" s="50"/>
      <c r="M164" s="82"/>
      <c r="N164" s="83"/>
      <c r="O164" s="50"/>
      <c r="P164" s="77"/>
      <c r="Q164" s="78"/>
      <c r="R164" s="50"/>
      <c r="S164" s="77"/>
      <c r="T164" s="78"/>
      <c r="U164" s="50"/>
      <c r="V164" s="77"/>
      <c r="W164" s="78"/>
      <c r="X164" s="50"/>
      <c r="Y164" s="77"/>
      <c r="Z164" s="78"/>
      <c r="AA164" s="50"/>
      <c r="AB164" s="77"/>
      <c r="AC164" s="78"/>
      <c r="AD164" s="50"/>
      <c r="AE164" s="77"/>
      <c r="AF164" s="78"/>
      <c r="AG164" s="50"/>
      <c r="AH164" s="77"/>
      <c r="AI164" s="78"/>
      <c r="AJ164" s="50"/>
      <c r="AK164" s="77"/>
      <c r="AL164" s="78"/>
      <c r="AM164" s="50"/>
      <c r="AN164" s="85"/>
      <c r="AO164" s="39"/>
    </row>
    <row r="165" spans="2:42" ht="15.75" customHeight="1" thickBot="1">
      <c r="B165" s="168" t="s">
        <v>0</v>
      </c>
      <c r="C165" s="168" t="s">
        <v>1</v>
      </c>
      <c r="D165" s="218" t="s">
        <v>124</v>
      </c>
      <c r="E165" s="219"/>
      <c r="F165" s="220"/>
      <c r="G165" s="218" t="s">
        <v>36</v>
      </c>
      <c r="H165" s="219"/>
      <c r="I165" s="220"/>
      <c r="J165" s="218" t="s">
        <v>39</v>
      </c>
      <c r="K165" s="219"/>
      <c r="L165" s="220"/>
      <c r="M165" s="218" t="s">
        <v>98</v>
      </c>
      <c r="N165" s="219"/>
      <c r="O165" s="220"/>
      <c r="P165" s="218" t="s">
        <v>43</v>
      </c>
      <c r="Q165" s="219"/>
      <c r="R165" s="220"/>
      <c r="S165" s="218" t="s">
        <v>114</v>
      </c>
      <c r="T165" s="219"/>
      <c r="U165" s="220"/>
      <c r="V165" s="218" t="s">
        <v>34</v>
      </c>
      <c r="W165" s="219"/>
      <c r="X165" s="220"/>
      <c r="Y165" s="218" t="s">
        <v>40</v>
      </c>
      <c r="Z165" s="219"/>
      <c r="AA165" s="220"/>
      <c r="AB165" s="218" t="s">
        <v>56</v>
      </c>
      <c r="AC165" s="219"/>
      <c r="AD165" s="220"/>
      <c r="AE165" s="252" t="s">
        <v>37</v>
      </c>
      <c r="AF165" s="253"/>
      <c r="AG165" s="251"/>
      <c r="AH165" s="218"/>
      <c r="AI165" s="219"/>
      <c r="AJ165" s="220"/>
      <c r="AK165" s="218" t="s">
        <v>47</v>
      </c>
      <c r="AL165" s="219"/>
      <c r="AM165" s="220"/>
      <c r="AN165" s="168" t="s">
        <v>0</v>
      </c>
      <c r="AO165" s="168" t="s">
        <v>1</v>
      </c>
    </row>
    <row r="166" spans="2:42" ht="15" customHeight="1" thickBot="1">
      <c r="B166" s="168"/>
      <c r="C166" s="168"/>
      <c r="D166" s="221"/>
      <c r="E166" s="222"/>
      <c r="F166" s="223"/>
      <c r="G166" s="221"/>
      <c r="H166" s="222"/>
      <c r="I166" s="223"/>
      <c r="J166" s="221"/>
      <c r="K166" s="222"/>
      <c r="L166" s="223"/>
      <c r="M166" s="221"/>
      <c r="N166" s="222"/>
      <c r="O166" s="223"/>
      <c r="P166" s="221"/>
      <c r="Q166" s="222"/>
      <c r="R166" s="223"/>
      <c r="S166" s="221"/>
      <c r="T166" s="222"/>
      <c r="U166" s="223"/>
      <c r="V166" s="221"/>
      <c r="W166" s="222"/>
      <c r="X166" s="223"/>
      <c r="Y166" s="221"/>
      <c r="Z166" s="222"/>
      <c r="AA166" s="223"/>
      <c r="AB166" s="221"/>
      <c r="AC166" s="222"/>
      <c r="AD166" s="223"/>
      <c r="AE166" s="221"/>
      <c r="AF166" s="222"/>
      <c r="AG166" s="223"/>
      <c r="AH166" s="221"/>
      <c r="AI166" s="222"/>
      <c r="AJ166" s="223"/>
      <c r="AK166" s="221"/>
      <c r="AL166" s="222"/>
      <c r="AM166" s="223"/>
      <c r="AN166" s="168"/>
      <c r="AO166" s="168"/>
    </row>
    <row r="167" spans="2:42" ht="15" customHeight="1" thickBot="1">
      <c r="B167" s="168"/>
      <c r="C167" s="168"/>
      <c r="D167" s="169"/>
      <c r="E167" s="170"/>
      <c r="F167" s="171"/>
      <c r="G167" s="169"/>
      <c r="H167" s="170"/>
      <c r="I167" s="171"/>
      <c r="J167" s="169"/>
      <c r="K167" s="170"/>
      <c r="L167" s="171"/>
      <c r="M167" s="169"/>
      <c r="N167" s="170"/>
      <c r="O167" s="171"/>
      <c r="P167" s="169"/>
      <c r="Q167" s="170"/>
      <c r="R167" s="171"/>
      <c r="S167" s="169"/>
      <c r="T167" s="170"/>
      <c r="U167" s="171"/>
      <c r="V167" s="169"/>
      <c r="W167" s="170"/>
      <c r="X167" s="171"/>
      <c r="Y167" s="169"/>
      <c r="Z167" s="170"/>
      <c r="AA167" s="171"/>
      <c r="AB167" s="169"/>
      <c r="AC167" s="170"/>
      <c r="AD167" s="171"/>
      <c r="AE167" s="169"/>
      <c r="AF167" s="170"/>
      <c r="AG167" s="171"/>
      <c r="AH167" s="169"/>
      <c r="AI167" s="170"/>
      <c r="AJ167" s="171"/>
      <c r="AK167" s="169"/>
      <c r="AL167" s="170"/>
      <c r="AM167" s="171"/>
      <c r="AN167" s="168"/>
      <c r="AO167" s="168"/>
    </row>
    <row r="168" spans="2:42" ht="15" customHeight="1" thickBot="1">
      <c r="B168" s="168"/>
      <c r="C168" s="168"/>
      <c r="D168" s="9"/>
      <c r="E168" s="6"/>
      <c r="F168" s="7"/>
      <c r="G168" s="9"/>
      <c r="H168" s="6"/>
      <c r="I168" s="7"/>
      <c r="J168" s="9"/>
      <c r="K168" s="6"/>
      <c r="L168" s="7"/>
      <c r="M168" s="9"/>
      <c r="N168" s="6"/>
      <c r="O168" s="7"/>
      <c r="P168" s="9"/>
      <c r="Q168" s="6"/>
      <c r="R168" s="7"/>
      <c r="S168" s="9"/>
      <c r="T168" s="6"/>
      <c r="U168" s="7"/>
      <c r="V168" s="9"/>
      <c r="W168" s="6"/>
      <c r="X168" s="7"/>
      <c r="Y168" s="5"/>
      <c r="Z168" s="6"/>
      <c r="AA168" s="7"/>
      <c r="AB168" s="9"/>
      <c r="AC168" s="6"/>
      <c r="AD168" s="7"/>
      <c r="AE168" s="9"/>
      <c r="AF168" s="6"/>
      <c r="AG168" s="7"/>
      <c r="AH168" s="9"/>
      <c r="AI168" s="6"/>
      <c r="AJ168" s="7"/>
      <c r="AK168" s="9"/>
      <c r="AL168" s="6"/>
      <c r="AM168" s="7"/>
      <c r="AN168" s="168"/>
      <c r="AO168" s="168"/>
    </row>
    <row r="169" spans="2:42" ht="15" customHeight="1" thickBot="1">
      <c r="B169" s="28"/>
      <c r="C169" s="28"/>
      <c r="D169" s="29"/>
      <c r="E169" s="30"/>
      <c r="F169" s="31"/>
      <c r="G169" s="29"/>
      <c r="H169" s="30"/>
      <c r="I169" s="31"/>
      <c r="J169" s="29"/>
      <c r="K169" s="30"/>
      <c r="L169" s="31"/>
      <c r="M169" s="29"/>
      <c r="N169" s="30"/>
      <c r="O169" s="31"/>
      <c r="P169" s="29"/>
      <c r="Q169" s="30"/>
      <c r="R169" s="31"/>
      <c r="S169" s="32"/>
      <c r="T169" s="30"/>
      <c r="U169" s="31"/>
      <c r="V169" s="29"/>
      <c r="W169" s="30"/>
      <c r="X169" s="31"/>
      <c r="Y169" s="29"/>
      <c r="Z169" s="30"/>
      <c r="AA169" s="31"/>
      <c r="AB169" s="32"/>
      <c r="AC169" s="30"/>
      <c r="AD169" s="31"/>
      <c r="AE169" s="29"/>
      <c r="AF169" s="30"/>
      <c r="AG169" s="31"/>
      <c r="AH169" s="29"/>
      <c r="AI169" s="30"/>
      <c r="AJ169" s="31"/>
      <c r="AK169" s="29"/>
      <c r="AL169" s="30"/>
      <c r="AM169" s="31"/>
      <c r="AN169" s="28"/>
      <c r="AO169" s="28"/>
    </row>
    <row r="170" spans="2:42" ht="15" customHeight="1" thickBot="1">
      <c r="B170" s="168" t="s">
        <v>0</v>
      </c>
      <c r="C170" s="168" t="s">
        <v>1</v>
      </c>
      <c r="D170" s="218" t="s">
        <v>121</v>
      </c>
      <c r="E170" s="219"/>
      <c r="F170" s="220"/>
      <c r="G170" s="218" t="s">
        <v>57</v>
      </c>
      <c r="H170" s="219"/>
      <c r="I170" s="220"/>
      <c r="J170" s="218" t="s">
        <v>92</v>
      </c>
      <c r="K170" s="219"/>
      <c r="L170" s="220"/>
      <c r="M170" s="218" t="s">
        <v>45</v>
      </c>
      <c r="N170" s="219"/>
      <c r="O170" s="220"/>
      <c r="P170" s="218"/>
      <c r="Q170" s="219"/>
      <c r="R170" s="220"/>
      <c r="S170" s="218" t="s">
        <v>61</v>
      </c>
      <c r="T170" s="219"/>
      <c r="U170" s="220"/>
      <c r="V170" s="218" t="s">
        <v>93</v>
      </c>
      <c r="W170" s="219"/>
      <c r="X170" s="220"/>
      <c r="Y170" s="218" t="s">
        <v>66</v>
      </c>
      <c r="Z170" s="219"/>
      <c r="AA170" s="220"/>
      <c r="AB170" s="218" t="s">
        <v>49</v>
      </c>
      <c r="AC170" s="219"/>
      <c r="AD170" s="220"/>
      <c r="AE170" s="218" t="s">
        <v>105</v>
      </c>
      <c r="AF170" s="219"/>
      <c r="AG170" s="220"/>
      <c r="AH170" s="219" t="s">
        <v>59</v>
      </c>
      <c r="AI170" s="219"/>
      <c r="AJ170" s="220"/>
      <c r="AK170" s="218" t="s">
        <v>100</v>
      </c>
      <c r="AL170" s="219"/>
      <c r="AM170" s="220"/>
      <c r="AN170" s="168" t="s">
        <v>0</v>
      </c>
      <c r="AO170" s="168" t="s">
        <v>1</v>
      </c>
    </row>
    <row r="171" spans="2:42" ht="15" customHeight="1" thickBot="1">
      <c r="B171" s="168"/>
      <c r="C171" s="168"/>
      <c r="D171" s="221"/>
      <c r="E171" s="222"/>
      <c r="F171" s="223"/>
      <c r="G171" s="221"/>
      <c r="H171" s="222"/>
      <c r="I171" s="223"/>
      <c r="J171" s="221"/>
      <c r="K171" s="222"/>
      <c r="L171" s="223"/>
      <c r="M171" s="221"/>
      <c r="N171" s="222"/>
      <c r="O171" s="223"/>
      <c r="P171" s="221"/>
      <c r="Q171" s="222"/>
      <c r="R171" s="223"/>
      <c r="S171" s="221"/>
      <c r="T171" s="222"/>
      <c r="U171" s="223"/>
      <c r="V171" s="221"/>
      <c r="W171" s="222"/>
      <c r="X171" s="223"/>
      <c r="Y171" s="221"/>
      <c r="Z171" s="222"/>
      <c r="AA171" s="223"/>
      <c r="AB171" s="221"/>
      <c r="AC171" s="222"/>
      <c r="AD171" s="223"/>
      <c r="AE171" s="221"/>
      <c r="AF171" s="222"/>
      <c r="AG171" s="223"/>
      <c r="AH171" s="222"/>
      <c r="AI171" s="222"/>
      <c r="AJ171" s="223"/>
      <c r="AK171" s="221"/>
      <c r="AL171" s="222"/>
      <c r="AM171" s="223"/>
      <c r="AN171" s="168"/>
      <c r="AO171" s="168"/>
    </row>
    <row r="172" spans="2:42" ht="15" customHeight="1" thickBot="1">
      <c r="B172" s="168"/>
      <c r="C172" s="168"/>
      <c r="D172" s="224">
        <v>49</v>
      </c>
      <c r="E172" s="224"/>
      <c r="F172" s="225"/>
      <c r="G172" s="224">
        <v>50</v>
      </c>
      <c r="H172" s="224"/>
      <c r="I172" s="225"/>
      <c r="J172" s="229">
        <v>51</v>
      </c>
      <c r="K172" s="224"/>
      <c r="L172" s="225"/>
      <c r="M172" s="224">
        <v>52</v>
      </c>
      <c r="N172" s="224"/>
      <c r="O172" s="225"/>
      <c r="P172" s="224">
        <v>53</v>
      </c>
      <c r="Q172" s="224"/>
      <c r="R172" s="225"/>
      <c r="S172" s="224">
        <v>54</v>
      </c>
      <c r="T172" s="224"/>
      <c r="U172" s="225"/>
      <c r="V172" s="224">
        <v>55</v>
      </c>
      <c r="W172" s="224"/>
      <c r="X172" s="225"/>
      <c r="Y172" s="229">
        <v>56</v>
      </c>
      <c r="Z172" s="224"/>
      <c r="AA172" s="225"/>
      <c r="AB172" s="229">
        <v>57</v>
      </c>
      <c r="AC172" s="224"/>
      <c r="AD172" s="225"/>
      <c r="AE172" s="224">
        <v>58</v>
      </c>
      <c r="AF172" s="224"/>
      <c r="AG172" s="225"/>
      <c r="AH172" s="224">
        <v>59</v>
      </c>
      <c r="AI172" s="224"/>
      <c r="AJ172" s="225"/>
      <c r="AK172" s="224">
        <v>60</v>
      </c>
      <c r="AL172" s="224"/>
      <c r="AM172" s="225"/>
      <c r="AN172" s="168"/>
      <c r="AO172" s="168"/>
    </row>
    <row r="173" spans="2:42" ht="15" customHeight="1" thickBot="1">
      <c r="B173" s="168"/>
      <c r="C173" s="168"/>
      <c r="D173" s="5"/>
      <c r="E173" s="6"/>
      <c r="F173" s="7"/>
      <c r="G173" s="2"/>
      <c r="H173" s="3"/>
      <c r="I173" s="4"/>
      <c r="J173" s="3"/>
      <c r="K173" s="3"/>
      <c r="L173" s="4"/>
      <c r="M173" s="3"/>
      <c r="N173" s="3"/>
      <c r="O173" s="4"/>
      <c r="P173" s="3"/>
      <c r="Q173" s="3"/>
      <c r="R173" s="4"/>
      <c r="S173" s="3"/>
      <c r="T173" s="3"/>
      <c r="U173" s="4"/>
      <c r="V173" s="3"/>
      <c r="W173" s="3"/>
      <c r="X173" s="4"/>
      <c r="Y173" s="5"/>
      <c r="Z173" s="6"/>
      <c r="AA173" s="7"/>
      <c r="AB173" s="3"/>
      <c r="AC173" s="3"/>
      <c r="AD173" s="4"/>
      <c r="AE173" s="5"/>
      <c r="AF173" s="6"/>
      <c r="AG173" s="7"/>
      <c r="AH173" s="2"/>
      <c r="AI173" s="3"/>
      <c r="AJ173" s="4"/>
      <c r="AK173" s="2"/>
      <c r="AL173" s="3"/>
      <c r="AM173" s="4"/>
      <c r="AN173" s="168"/>
      <c r="AO173" s="168"/>
    </row>
    <row r="174" spans="2:42" ht="15" customHeight="1" thickBot="1">
      <c r="B174" s="1"/>
      <c r="C174" s="1"/>
      <c r="D174" s="167">
        <f>SUM(F175:F206)</f>
        <v>7.2916666666666661</v>
      </c>
      <c r="E174" s="165"/>
      <c r="F174" s="166"/>
      <c r="G174" s="167">
        <f t="shared" ref="G174" si="168">SUM(I175:I206)</f>
        <v>1.9583333333333333</v>
      </c>
      <c r="H174" s="165"/>
      <c r="I174" s="166"/>
      <c r="J174" s="167">
        <f t="shared" ref="J174" si="169">SUM(L175:L206)</f>
        <v>3.7291666666666665</v>
      </c>
      <c r="K174" s="165"/>
      <c r="L174" s="166"/>
      <c r="M174" s="167">
        <f t="shared" ref="M174" si="170">SUM(O175:O206)</f>
        <v>9.6875</v>
      </c>
      <c r="N174" s="165"/>
      <c r="O174" s="166"/>
      <c r="P174" s="167">
        <f t="shared" ref="P174" si="171">SUM(R175:R206)</f>
        <v>0</v>
      </c>
      <c r="Q174" s="165"/>
      <c r="R174" s="166"/>
      <c r="S174" s="167">
        <f t="shared" ref="S174" si="172">SUM(U175:U206)</f>
        <v>3.6458333333333335</v>
      </c>
      <c r="T174" s="165"/>
      <c r="U174" s="166"/>
      <c r="V174" s="167">
        <f t="shared" ref="V174" si="173">SUM(X175:X206)</f>
        <v>0</v>
      </c>
      <c r="W174" s="165"/>
      <c r="X174" s="166"/>
      <c r="Y174" s="167">
        <f t="shared" ref="Y174" si="174">SUM(AA175:AA206)</f>
        <v>1.9166666666666667</v>
      </c>
      <c r="Z174" s="165"/>
      <c r="AA174" s="166"/>
      <c r="AB174" s="226">
        <f t="shared" ref="AB174" si="175">SUM(AD175:AD206)</f>
        <v>7.291666666666667</v>
      </c>
      <c r="AC174" s="227"/>
      <c r="AD174" s="166"/>
      <c r="AE174" s="167">
        <f t="shared" ref="AE174" si="176">SUM(AG175:AG206)</f>
        <v>7.2083333333333339</v>
      </c>
      <c r="AF174" s="165"/>
      <c r="AG174" s="166"/>
      <c r="AH174" s="167">
        <f t="shared" ref="AH174" si="177">SUM(AJ175:AJ206)</f>
        <v>5.75</v>
      </c>
      <c r="AI174" s="165"/>
      <c r="AJ174" s="166"/>
      <c r="AK174" s="167">
        <f t="shared" ref="AK174" si="178">SUM(AM175:AM206)</f>
        <v>7.4999999999999991</v>
      </c>
      <c r="AL174" s="165"/>
      <c r="AM174" s="166"/>
      <c r="AN174" s="8"/>
      <c r="AO174" s="45"/>
      <c r="AP174" s="19">
        <f>SUM(D174:AO174)</f>
        <v>55.979166666666664</v>
      </c>
    </row>
    <row r="175" spans="2:42" ht="15" customHeight="1">
      <c r="B175" s="112">
        <v>1</v>
      </c>
      <c r="C175" s="113" t="s">
        <v>8</v>
      </c>
      <c r="D175" s="114" t="s">
        <v>111</v>
      </c>
      <c r="E175" s="115"/>
      <c r="F175" s="127">
        <f>(IF(D175="u",0.333333333,IF(D175="W",0,IF(D175="C",F175,IF(D175="op",F175,(E175-D175))))))</f>
        <v>0</v>
      </c>
      <c r="G175" s="114" t="s">
        <v>111</v>
      </c>
      <c r="H175" s="115"/>
      <c r="I175" s="127">
        <f>(IF(G175="u",0.333333333,IF(G175="W",0,IF(G175="C",I175,IF(G175="op",I175,(H175-G175))))))</f>
        <v>0</v>
      </c>
      <c r="J175" s="114" t="s">
        <v>111</v>
      </c>
      <c r="K175" s="115"/>
      <c r="L175" s="127">
        <f>(IF(J175="u",0.333333333,IF(J175="W",0,IF(J175="C",L175,IF(J175="op",L175,(K175-J175))))))</f>
        <v>0</v>
      </c>
      <c r="M175" s="114">
        <v>0.125</v>
      </c>
      <c r="N175" s="115">
        <v>0.58333333333333337</v>
      </c>
      <c r="O175" s="127">
        <f>(IF(M175="u",0.333333333,IF(M175="W",0,IF(M175="C",O175,IF(M175="op",O175,(N175-M175))))))</f>
        <v>0.45833333333333337</v>
      </c>
      <c r="P175" s="114"/>
      <c r="Q175" s="115"/>
      <c r="R175" s="127">
        <f>(IF(P175="u",0.333333333,IF(P175="W",0,IF(P175="C",R175,IF(P175="op",R175,(Q175-P175))))))</f>
        <v>0</v>
      </c>
      <c r="S175" s="114" t="s">
        <v>111</v>
      </c>
      <c r="T175" s="115"/>
      <c r="U175" s="127">
        <f>(IF(S175="u",0.333333333,IF(S175="W",0,IF(S175="C",U175,IF(S175="op",U175,(T175-S175))))))</f>
        <v>0</v>
      </c>
      <c r="V175" s="114"/>
      <c r="W175" s="115"/>
      <c r="X175" s="127">
        <f>(IF(V175="u",0.333333333,IF(V175="W",0,IF(V175="C",X175,IF(V175="op",X175,(W175-V175))))))</f>
        <v>0</v>
      </c>
      <c r="Y175" s="114" t="s">
        <v>111</v>
      </c>
      <c r="Z175" s="115"/>
      <c r="AA175" s="127">
        <f>(IF(Y175="u",0.333333333,IF(Y175="W",0,IF(Y175="C",AA175,IF(Y175="op",AA175,(Z175-Y175))))))</f>
        <v>0</v>
      </c>
      <c r="AB175" s="114">
        <v>0.5</v>
      </c>
      <c r="AC175" s="115">
        <v>0.91666666666666663</v>
      </c>
      <c r="AD175" s="126">
        <f>(IF(AB175="u",0.333333333,IF(AB175="W",0,IF(AB175="C",AD175,IF(AB175="op",AD175,(AC175-AB175))))))</f>
        <v>0.41666666666666663</v>
      </c>
      <c r="AE175" s="114">
        <v>0.5</v>
      </c>
      <c r="AF175" s="115">
        <v>0.91666666666666663</v>
      </c>
      <c r="AG175" s="127">
        <f>(IF(AE175="u",0.333333333,IF(AE175="W",0,IF(AE175="C",AG175,IF(AE175="op",AG175,(AF175-AE175))))))</f>
        <v>0.41666666666666663</v>
      </c>
      <c r="AH175" s="114" t="s">
        <v>111</v>
      </c>
      <c r="AI175" s="115"/>
      <c r="AJ175" s="127">
        <f>(IF(AH175="u",0.333333333,IF(AH175="W",0,IF(AH175="C",AJ175,IF(AH175="op",AJ175,(AI175-AH175))))))</f>
        <v>0</v>
      </c>
      <c r="AK175" s="114"/>
      <c r="AL175" s="115"/>
      <c r="AM175" s="127">
        <f>(IF(AK175="u",0.333333333,IF(AK175="W",0,IF(AK175="C",AM175,IF(AK175="op",AM175,(AL175-AK175))))))</f>
        <v>0</v>
      </c>
      <c r="AN175" s="112">
        <v>1</v>
      </c>
      <c r="AO175" s="113" t="s">
        <v>8</v>
      </c>
    </row>
    <row r="176" spans="2:42" ht="15" customHeight="1">
      <c r="B176" s="118">
        <v>2</v>
      </c>
      <c r="C176" s="113" t="s">
        <v>12</v>
      </c>
      <c r="D176" s="119" t="s">
        <v>111</v>
      </c>
      <c r="E176" s="120"/>
      <c r="F176" s="128">
        <f>(IF(D176="u",0.333333333,IF(D176="W",0,IF(D176="C",F176,IF(D176="op",F176,(E176-D176))))))</f>
        <v>0</v>
      </c>
      <c r="G176" s="119" t="s">
        <v>111</v>
      </c>
      <c r="H176" s="120"/>
      <c r="I176" s="128">
        <f>(IF(G176="u",0.333333333,IF(G176="W",0,IF(G176="C",I176,IF(G176="op",I176,(H176-G176))))))</f>
        <v>0</v>
      </c>
      <c r="J176" s="119" t="s">
        <v>111</v>
      </c>
      <c r="K176" s="120"/>
      <c r="L176" s="128">
        <f>(IF(J176="u",0.333333333,IF(J176="W",0,IF(J176="C",L176,IF(J176="op",L176,(K176-J176))))))</f>
        <v>0</v>
      </c>
      <c r="M176" s="119">
        <v>0.125</v>
      </c>
      <c r="N176" s="120">
        <v>0.58333333333333337</v>
      </c>
      <c r="O176" s="128">
        <f>(IF(M176="u",0.333333333,IF(M176="W",0,IF(M176="C",O176,IF(M176="op",O176,(N176-M176))))))</f>
        <v>0.45833333333333337</v>
      </c>
      <c r="P176" s="119"/>
      <c r="Q176" s="120"/>
      <c r="R176" s="128">
        <f>(IF(P176="u",0.333333333,IF(P176="W",0,IF(P176="C",R176,IF(P176="op",R176,(Q176-P176))))))</f>
        <v>0</v>
      </c>
      <c r="S176" s="119" t="s">
        <v>111</v>
      </c>
      <c r="T176" s="120"/>
      <c r="U176" s="128">
        <f>(IF(S176="u",0.333333333,IF(S176="W",0,IF(S176="C",U176,IF(S176="op",U176,(T176-S176))))))</f>
        <v>0</v>
      </c>
      <c r="V176" s="119"/>
      <c r="W176" s="120"/>
      <c r="X176" s="128">
        <f>(IF(V176="u",0.333333333,IF(V176="W",0,IF(V176="C",X176,IF(V176="op",X176,(W176-V176))))))</f>
        <v>0</v>
      </c>
      <c r="Y176" s="119" t="s">
        <v>111</v>
      </c>
      <c r="Z176" s="120"/>
      <c r="AA176" s="128">
        <f>(IF(Y176="u",0.333333333,IF(Y176="W",0,IF(Y176="C",AA176,IF(Y176="op",AA176,(Z176-Y176))))))</f>
        <v>0</v>
      </c>
      <c r="AB176" s="119">
        <v>0.33333333333333331</v>
      </c>
      <c r="AC176" s="120">
        <v>0.41666666666666669</v>
      </c>
      <c r="AD176" s="129">
        <f>(IF(AB176="u",0.333333333,IF(AB176="W",0,IF(AB176="C",AD176,IF(AB176="op",AD176,(AC176-AB176))))))</f>
        <v>8.333333333333337E-2</v>
      </c>
      <c r="AE176" s="119"/>
      <c r="AF176" s="120"/>
      <c r="AG176" s="128">
        <f>(IF(AE176="u",0.333333333,IF(AE176="W",0,IF(AE176="C",AG176,IF(AE176="op",AG176,(AF176-AE176))))))</f>
        <v>0</v>
      </c>
      <c r="AH176" s="119">
        <v>0.66666666666666663</v>
      </c>
      <c r="AI176" s="120">
        <v>1.1666666666666667</v>
      </c>
      <c r="AJ176" s="128">
        <f>(IF(AH176="u",0.333333333,IF(AH176="W",0,IF(AH176="C",AJ176,IF(AH176="op",AJ176,(AI176-AH176))))))</f>
        <v>0.50000000000000011</v>
      </c>
      <c r="AK176" s="119">
        <v>0.125</v>
      </c>
      <c r="AL176" s="120">
        <v>0.58333333333333337</v>
      </c>
      <c r="AM176" s="128">
        <f>(IF(AK176="u",0.333333333,IF(AK176="W",0,IF(AK176="C",AM176,IF(AK176="op",AM176,(AL176-AK176))))))</f>
        <v>0.45833333333333337</v>
      </c>
      <c r="AN176" s="118">
        <v>2</v>
      </c>
      <c r="AO176" s="113" t="s">
        <v>12</v>
      </c>
    </row>
    <row r="177" spans="1:41" ht="15" customHeight="1">
      <c r="B177" s="118">
        <v>3</v>
      </c>
      <c r="C177" s="113" t="s">
        <v>85</v>
      </c>
      <c r="D177" s="119">
        <v>0.16666666666666666</v>
      </c>
      <c r="E177" s="120">
        <v>0.66666666666666663</v>
      </c>
      <c r="F177" s="128">
        <f t="shared" ref="F177:F178" si="179">(IF(D177="u",0.333333333,IF(D177="W",0,IF(D177="C",F177,IF(D177="op",F177,(E177-D177))))))</f>
        <v>0.5</v>
      </c>
      <c r="G177" s="119" t="s">
        <v>111</v>
      </c>
      <c r="H177" s="120"/>
      <c r="I177" s="128">
        <f t="shared" ref="I177:I178" si="180">(IF(G177="u",0.333333333,IF(G177="W",0,IF(G177="C",I177,IF(G177="op",I177,(H177-G177))))))</f>
        <v>0</v>
      </c>
      <c r="J177" s="119" t="s">
        <v>111</v>
      </c>
      <c r="K177" s="120"/>
      <c r="L177" s="128">
        <f t="shared" ref="L177:L178" si="181">(IF(J177="u",0.333333333,IF(J177="W",0,IF(J177="C",L177,IF(J177="op",L177,(K177-J177))))))</f>
        <v>0</v>
      </c>
      <c r="M177" s="119"/>
      <c r="N177" s="120"/>
      <c r="O177" s="128">
        <f t="shared" ref="O177:O178" si="182">(IF(M177="u",0.333333333,IF(M177="W",0,IF(M177="C",O177,IF(M177="op",O177,(N177-M177))))))</f>
        <v>0</v>
      </c>
      <c r="P177" s="119"/>
      <c r="Q177" s="120"/>
      <c r="R177" s="128">
        <f t="shared" ref="R177:R178" si="183">(IF(P177="u",0.333333333,IF(P177="W",0,IF(P177="C",R177,IF(P177="op",R177,(Q177-P177))))))</f>
        <v>0</v>
      </c>
      <c r="S177" s="119" t="s">
        <v>111</v>
      </c>
      <c r="T177" s="120"/>
      <c r="U177" s="128">
        <f t="shared" ref="U177:U178" si="184">(IF(S177="u",0.333333333,IF(S177="W",0,IF(S177="C",U177,IF(S177="op",U177,(T177-S177))))))</f>
        <v>0</v>
      </c>
      <c r="V177" s="119"/>
      <c r="W177" s="120"/>
      <c r="X177" s="128">
        <f t="shared" ref="X177:X178" si="185">(IF(V177="u",0.333333333,IF(V177="W",0,IF(V177="C",X177,IF(V177="op",X177,(W177-V177))))))</f>
        <v>0</v>
      </c>
      <c r="Y177" s="119" t="s">
        <v>111</v>
      </c>
      <c r="Z177" s="120"/>
      <c r="AA177" s="128">
        <f t="shared" ref="AA177:AA178" si="186">(IF(Y177="u",0.333333333,IF(Y177="W",0,IF(Y177="C",AA177,IF(Y177="op",AA177,(Z177-Y177))))))</f>
        <v>0</v>
      </c>
      <c r="AB177" s="119">
        <v>0.5</v>
      </c>
      <c r="AC177" s="120">
        <v>0.95833333333333337</v>
      </c>
      <c r="AD177" s="129">
        <f t="shared" ref="AD177:AD178" si="187">(IF(AB177="u",0.333333333,IF(AB177="W",0,IF(AB177="C",AD177,IF(AB177="op",AD177,(AC177-AB177))))))</f>
        <v>0.45833333333333337</v>
      </c>
      <c r="AE177" s="119">
        <v>0.5</v>
      </c>
      <c r="AF177" s="120">
        <v>0.95833333333333337</v>
      </c>
      <c r="AG177" s="128">
        <f t="shared" ref="AG177:AG178" si="188">(IF(AE177="u",0.333333333,IF(AE177="W",0,IF(AE177="C",AG177,IF(AE177="op",AG177,(AF177-AE177))))))</f>
        <v>0.45833333333333337</v>
      </c>
      <c r="AH177" s="119">
        <v>0.66666666666666663</v>
      </c>
      <c r="AI177" s="120">
        <v>1.1666666666666667</v>
      </c>
      <c r="AJ177" s="128">
        <f t="shared" ref="AJ177:AJ178" si="189">(IF(AH177="u",0.333333333,IF(AH177="W",0,IF(AH177="C",AJ177,IF(AH177="op",AJ177,(AI177-AH177))))))</f>
        <v>0.50000000000000011</v>
      </c>
      <c r="AK177" s="119"/>
      <c r="AL177" s="120"/>
      <c r="AM177" s="128">
        <f t="shared" ref="AM177:AM178" si="190">(IF(AK177="u",0.333333333,IF(AK177="W",0,IF(AK177="C",AM177,IF(AK177="op",AM177,(AL177-AK177))))))</f>
        <v>0</v>
      </c>
      <c r="AN177" s="118">
        <v>3</v>
      </c>
      <c r="AO177" s="113" t="s">
        <v>85</v>
      </c>
    </row>
    <row r="178" spans="1:41" ht="14.4">
      <c r="B178" s="118">
        <v>4</v>
      </c>
      <c r="C178" s="113" t="s">
        <v>4</v>
      </c>
      <c r="D178" s="119">
        <v>0.16666666666666666</v>
      </c>
      <c r="E178" s="120">
        <v>0.66666666666666663</v>
      </c>
      <c r="F178" s="128">
        <f t="shared" si="179"/>
        <v>0.5</v>
      </c>
      <c r="G178" s="119" t="s">
        <v>111</v>
      </c>
      <c r="H178" s="120"/>
      <c r="I178" s="128">
        <f t="shared" si="180"/>
        <v>0</v>
      </c>
      <c r="J178" s="119" t="s">
        <v>111</v>
      </c>
      <c r="K178" s="120"/>
      <c r="L178" s="128">
        <f t="shared" si="181"/>
        <v>0</v>
      </c>
      <c r="M178" s="119">
        <v>0.375</v>
      </c>
      <c r="N178" s="120">
        <v>0.875</v>
      </c>
      <c r="O178" s="128">
        <f t="shared" si="182"/>
        <v>0.5</v>
      </c>
      <c r="P178" s="119"/>
      <c r="Q178" s="120"/>
      <c r="R178" s="128">
        <f t="shared" si="183"/>
        <v>0</v>
      </c>
      <c r="S178" s="119" t="s">
        <v>111</v>
      </c>
      <c r="T178" s="120"/>
      <c r="U178" s="128">
        <f t="shared" si="184"/>
        <v>0</v>
      </c>
      <c r="V178" s="119"/>
      <c r="W178" s="120"/>
      <c r="X178" s="128">
        <f t="shared" si="185"/>
        <v>0</v>
      </c>
      <c r="Y178" s="119" t="s">
        <v>111</v>
      </c>
      <c r="Z178" s="120"/>
      <c r="AA178" s="128">
        <f t="shared" si="186"/>
        <v>0</v>
      </c>
      <c r="AB178" s="119" t="s">
        <v>111</v>
      </c>
      <c r="AC178" s="120"/>
      <c r="AD178" s="129">
        <f t="shared" si="187"/>
        <v>0</v>
      </c>
      <c r="AE178" s="119" t="s">
        <v>111</v>
      </c>
      <c r="AF178" s="120"/>
      <c r="AG178" s="128">
        <f t="shared" si="188"/>
        <v>0</v>
      </c>
      <c r="AH178" s="119" t="s">
        <v>111</v>
      </c>
      <c r="AI178" s="120"/>
      <c r="AJ178" s="128">
        <f t="shared" si="189"/>
        <v>0</v>
      </c>
      <c r="AK178" s="119"/>
      <c r="AL178" s="120"/>
      <c r="AM178" s="128">
        <f t="shared" si="190"/>
        <v>0</v>
      </c>
      <c r="AN178" s="118">
        <v>4</v>
      </c>
      <c r="AO178" s="113" t="s">
        <v>4</v>
      </c>
    </row>
    <row r="179" spans="1:41" ht="15" customHeight="1">
      <c r="B179" s="86">
        <v>5</v>
      </c>
      <c r="C179" s="87" t="s">
        <v>5</v>
      </c>
      <c r="D179" s="88"/>
      <c r="E179" s="89"/>
      <c r="F179" s="92">
        <f>(IF(D179="u",0.333333333,IF(D179="W",0,IF(D179="C",F179,IF(D179="op",F179,(E179-D179))))))</f>
        <v>0</v>
      </c>
      <c r="G179" s="88">
        <v>0.625</v>
      </c>
      <c r="H179" s="89">
        <v>1.125</v>
      </c>
      <c r="I179" s="92">
        <f>(IF(G179="u",0.333333333,IF(G179="W",0,IF(G179="C",I179,IF(G179="op",I179,(H179-G179))))))</f>
        <v>0.5</v>
      </c>
      <c r="J179" s="88">
        <v>0.125</v>
      </c>
      <c r="K179" s="89">
        <v>0.54166666666666663</v>
      </c>
      <c r="L179" s="92">
        <f>(IF(J179="u",0.333333333,IF(J179="W",0,IF(J179="C",L179,IF(J179="op",L179,(K179-J179))))))</f>
        <v>0.41666666666666663</v>
      </c>
      <c r="M179" s="88" t="s">
        <v>111</v>
      </c>
      <c r="N179" s="89"/>
      <c r="O179" s="92">
        <f>(IF(M179="u",0.333333333,IF(M179="W",0,IF(M179="C",O179,IF(M179="op",O179,(N179-M179))))))</f>
        <v>0</v>
      </c>
      <c r="P179" s="88"/>
      <c r="Q179" s="89"/>
      <c r="R179" s="92">
        <f>(IF(P179="u",0.333333333,IF(P179="W",0,IF(P179="C",R179,IF(P179="op",R179,(Q179-P179))))))</f>
        <v>0</v>
      </c>
      <c r="S179" s="88">
        <v>0.125</v>
      </c>
      <c r="T179" s="89">
        <v>0.54166666666666663</v>
      </c>
      <c r="U179" s="92">
        <f>(IF(S179="u",0.333333333,IF(S179="W",0,IF(S179="C",U179,IF(S179="op",U179,(T179-S179))))))</f>
        <v>0.41666666666666663</v>
      </c>
      <c r="V179" s="88"/>
      <c r="W179" s="89"/>
      <c r="X179" s="92">
        <f>(IF(V179="u",0.333333333,IF(V179="W",0,IF(V179="C",X179,IF(V179="op",X179,(W179-V179))))))</f>
        <v>0</v>
      </c>
      <c r="Y179" s="88" t="s">
        <v>111</v>
      </c>
      <c r="Z179" s="89"/>
      <c r="AA179" s="92">
        <f>(IF(Y179="u",0.333333333,IF(Y179="W",0,IF(Y179="C",AA179,IF(Y179="op",AA179,(Z179-Y179))))))</f>
        <v>0</v>
      </c>
      <c r="AB179" s="88" t="s">
        <v>111</v>
      </c>
      <c r="AC179" s="89"/>
      <c r="AD179" s="93">
        <f>(IF(AB179="u",0.333333333,IF(AB179="W",0,IF(AB179="C",AD179,IF(AB179="op",AD179,(AC179-AB179))))))</f>
        <v>0</v>
      </c>
      <c r="AE179" s="88" t="s">
        <v>111</v>
      </c>
      <c r="AF179" s="89"/>
      <c r="AG179" s="92">
        <f>(IF(AE179="u",0.333333333,IF(AE179="W",0,IF(AE179="C",AG179,IF(AE179="op",AG179,(AF179-AE179))))))</f>
        <v>0</v>
      </c>
      <c r="AH179" s="88"/>
      <c r="AI179" s="89"/>
      <c r="AJ179" s="92">
        <f>(IF(AH179="u",0.333333333,IF(AH179="W",0,IF(AH179="C",AJ179,IF(AH179="op",AJ179,(AI179-AH179))))))</f>
        <v>0</v>
      </c>
      <c r="AK179" s="88" t="s">
        <v>111</v>
      </c>
      <c r="AL179" s="89"/>
      <c r="AM179" s="92">
        <f>(IF(AK179="u",0.333333333,IF(AK179="W",0,IF(AK179="C",AM179,IF(AK179="op",AM179,(AL179-AK179))))))</f>
        <v>0</v>
      </c>
      <c r="AN179" s="86">
        <v>5</v>
      </c>
      <c r="AO179" s="87" t="s">
        <v>5</v>
      </c>
    </row>
    <row r="180" spans="1:41" ht="15" customHeight="1">
      <c r="B180" s="86">
        <v>6</v>
      </c>
      <c r="C180" s="87" t="s">
        <v>6</v>
      </c>
      <c r="D180" s="88">
        <v>0.14583333333333334</v>
      </c>
      <c r="E180" s="89">
        <v>0.64583333333333337</v>
      </c>
      <c r="F180" s="92">
        <f t="shared" ref="F180:F188" si="191">(IF(D180="u",0.333333333,IF(D180="W",0,IF(D180="C",F180,IF(D180="op",F180,(E180-D180))))))</f>
        <v>0.5</v>
      </c>
      <c r="G180" s="88" t="s">
        <v>111</v>
      </c>
      <c r="H180" s="89"/>
      <c r="I180" s="92">
        <f t="shared" ref="I180:I188" si="192">(IF(G180="u",0.333333333,IF(G180="W",0,IF(G180="C",I180,IF(G180="op",I180,(H180-G180))))))</f>
        <v>0</v>
      </c>
      <c r="J180" s="88" t="s">
        <v>111</v>
      </c>
      <c r="K180" s="89"/>
      <c r="L180" s="92">
        <f t="shared" ref="L180:L188" si="193">(IF(J180="u",0.333333333,IF(J180="W",0,IF(J180="C",L180,IF(J180="op",L180,(K180-J180))))))</f>
        <v>0</v>
      </c>
      <c r="M180" s="88" t="s">
        <v>111</v>
      </c>
      <c r="N180" s="89"/>
      <c r="O180" s="92">
        <f t="shared" ref="O180:O188" si="194">(IF(M180="u",0.333333333,IF(M180="W",0,IF(M180="C",O180,IF(M180="op",O180,(N180-M180))))))</f>
        <v>0</v>
      </c>
      <c r="P180" s="88"/>
      <c r="Q180" s="89"/>
      <c r="R180" s="92">
        <f t="shared" ref="R180:R188" si="195">(IF(P180="u",0.333333333,IF(P180="W",0,IF(P180="C",R180,IF(P180="op",R180,(Q180-P180))))))</f>
        <v>0</v>
      </c>
      <c r="S180" s="88">
        <v>0.125</v>
      </c>
      <c r="T180" s="89">
        <v>0.54166666666666663</v>
      </c>
      <c r="U180" s="92">
        <f t="shared" ref="U180:U188" si="196">(IF(S180="u",0.333333333,IF(S180="W",0,IF(S180="C",U180,IF(S180="op",U180,(T180-S180))))))</f>
        <v>0.41666666666666663</v>
      </c>
      <c r="V180" s="88"/>
      <c r="W180" s="89"/>
      <c r="X180" s="92">
        <f t="shared" ref="X180:X188" si="197">(IF(V180="u",0.333333333,IF(V180="W",0,IF(V180="C",X180,IF(V180="op",X180,(W180-V180))))))</f>
        <v>0</v>
      </c>
      <c r="Y180" s="88"/>
      <c r="Z180" s="89"/>
      <c r="AA180" s="92">
        <f t="shared" ref="AA180:AA188" si="198">(IF(Y180="u",0.333333333,IF(Y180="W",0,IF(Y180="C",AA180,IF(Y180="op",AA180,(Z180-Y180))))))</f>
        <v>0</v>
      </c>
      <c r="AB180" s="88" t="s">
        <v>111</v>
      </c>
      <c r="AC180" s="89"/>
      <c r="AD180" s="93">
        <f t="shared" ref="AD180:AD188" si="199">(IF(AB180="u",0.333333333,IF(AB180="W",0,IF(AB180="C",AD180,IF(AB180="op",AD180,(AC180-AB180))))))</f>
        <v>0</v>
      </c>
      <c r="AE180" s="88" t="s">
        <v>111</v>
      </c>
      <c r="AF180" s="89"/>
      <c r="AG180" s="92">
        <f t="shared" ref="AG180:AG188" si="200">(IF(AE180="u",0.333333333,IF(AE180="W",0,IF(AE180="C",AG180,IF(AE180="op",AG180,(AF180-AE180))))))</f>
        <v>0</v>
      </c>
      <c r="AH180" s="88">
        <v>0.14583333333333334</v>
      </c>
      <c r="AI180" s="89">
        <v>0.64583333333333337</v>
      </c>
      <c r="AJ180" s="92">
        <f t="shared" ref="AJ180:AJ188" si="201">(IF(AH180="u",0.333333333,IF(AH180="W",0,IF(AH180="C",AJ180,IF(AH180="op",AJ180,(AI180-AH180))))))</f>
        <v>0.5</v>
      </c>
      <c r="AK180" s="88" t="s">
        <v>111</v>
      </c>
      <c r="AL180" s="89"/>
      <c r="AM180" s="92">
        <f t="shared" ref="AM180:AM188" si="202">(IF(AK180="u",0.333333333,IF(AK180="W",0,IF(AK180="C",AM180,IF(AK180="op",AM180,(AL180-AK180))))))</f>
        <v>0</v>
      </c>
      <c r="AN180" s="86">
        <v>6</v>
      </c>
      <c r="AO180" s="87" t="s">
        <v>6</v>
      </c>
    </row>
    <row r="181" spans="1:41" ht="15" customHeight="1">
      <c r="B181" s="118">
        <v>7</v>
      </c>
      <c r="C181" s="113" t="s">
        <v>7</v>
      </c>
      <c r="D181" s="119" t="s">
        <v>111</v>
      </c>
      <c r="E181" s="120"/>
      <c r="F181" s="128">
        <f t="shared" si="191"/>
        <v>0</v>
      </c>
      <c r="G181" s="119" t="s">
        <v>111</v>
      </c>
      <c r="H181" s="120"/>
      <c r="I181" s="128">
        <f t="shared" si="192"/>
        <v>0</v>
      </c>
      <c r="J181" s="119" t="s">
        <v>111</v>
      </c>
      <c r="K181" s="120"/>
      <c r="L181" s="128">
        <f t="shared" si="193"/>
        <v>0</v>
      </c>
      <c r="M181" s="119">
        <v>0.16666666666666666</v>
      </c>
      <c r="N181" s="120">
        <v>0.66666666666666663</v>
      </c>
      <c r="O181" s="128">
        <f t="shared" si="194"/>
        <v>0.5</v>
      </c>
      <c r="P181" s="119"/>
      <c r="Q181" s="120"/>
      <c r="R181" s="128">
        <f t="shared" si="195"/>
        <v>0</v>
      </c>
      <c r="S181" s="119" t="s">
        <v>111</v>
      </c>
      <c r="T181" s="120"/>
      <c r="U181" s="128">
        <f t="shared" si="196"/>
        <v>0</v>
      </c>
      <c r="V181" s="119"/>
      <c r="W181" s="120"/>
      <c r="X181" s="128">
        <f t="shared" si="197"/>
        <v>0</v>
      </c>
      <c r="Y181" s="119">
        <v>0.125</v>
      </c>
      <c r="Z181" s="120">
        <v>0.54166666666666663</v>
      </c>
      <c r="AA181" s="128">
        <f t="shared" si="198"/>
        <v>0.41666666666666663</v>
      </c>
      <c r="AB181" s="119">
        <v>0.5</v>
      </c>
      <c r="AC181" s="120">
        <v>0.95833333333333337</v>
      </c>
      <c r="AD181" s="129">
        <f t="shared" si="199"/>
        <v>0.45833333333333337</v>
      </c>
      <c r="AE181" s="119">
        <v>0.5</v>
      </c>
      <c r="AF181" s="120">
        <v>0.95833333333333337</v>
      </c>
      <c r="AG181" s="128">
        <f t="shared" si="200"/>
        <v>0.45833333333333337</v>
      </c>
      <c r="AH181" s="119" t="s">
        <v>111</v>
      </c>
      <c r="AI181" s="120"/>
      <c r="AJ181" s="128">
        <f t="shared" si="201"/>
        <v>0</v>
      </c>
      <c r="AK181" s="119" t="s">
        <v>111</v>
      </c>
      <c r="AL181" s="120"/>
      <c r="AM181" s="128">
        <f t="shared" si="202"/>
        <v>0</v>
      </c>
      <c r="AN181" s="118">
        <v>7</v>
      </c>
      <c r="AO181" s="113" t="s">
        <v>7</v>
      </c>
    </row>
    <row r="182" spans="1:41" ht="15" customHeight="1">
      <c r="B182" s="118">
        <v>8</v>
      </c>
      <c r="C182" s="113" t="s">
        <v>8</v>
      </c>
      <c r="D182" s="119" t="s">
        <v>111</v>
      </c>
      <c r="E182" s="120"/>
      <c r="F182" s="128">
        <f t="shared" si="191"/>
        <v>0</v>
      </c>
      <c r="G182" s="119" t="s">
        <v>111</v>
      </c>
      <c r="H182" s="120"/>
      <c r="I182" s="128">
        <f t="shared" si="192"/>
        <v>0</v>
      </c>
      <c r="J182" s="119" t="s">
        <v>111</v>
      </c>
      <c r="K182" s="120"/>
      <c r="L182" s="128">
        <f t="shared" si="193"/>
        <v>0</v>
      </c>
      <c r="M182" s="119">
        <v>0.16666666666666666</v>
      </c>
      <c r="N182" s="120">
        <v>0.66666666666666663</v>
      </c>
      <c r="O182" s="128">
        <f t="shared" si="194"/>
        <v>0.5</v>
      </c>
      <c r="P182" s="119"/>
      <c r="Q182" s="120"/>
      <c r="R182" s="128">
        <f t="shared" si="195"/>
        <v>0</v>
      </c>
      <c r="S182" s="119" t="s">
        <v>111</v>
      </c>
      <c r="T182" s="120"/>
      <c r="U182" s="128">
        <f t="shared" si="196"/>
        <v>0</v>
      </c>
      <c r="V182" s="119"/>
      <c r="W182" s="120"/>
      <c r="X182" s="128">
        <f t="shared" si="197"/>
        <v>0</v>
      </c>
      <c r="Y182" s="119" t="s">
        <v>111</v>
      </c>
      <c r="Z182" s="120"/>
      <c r="AA182" s="128">
        <f t="shared" si="198"/>
        <v>0</v>
      </c>
      <c r="AB182" s="119">
        <v>0.5</v>
      </c>
      <c r="AC182" s="120">
        <v>0.91666666666666663</v>
      </c>
      <c r="AD182" s="129">
        <f t="shared" si="199"/>
        <v>0.41666666666666663</v>
      </c>
      <c r="AE182" s="119">
        <v>0.5</v>
      </c>
      <c r="AF182" s="120">
        <v>0.91666666666666663</v>
      </c>
      <c r="AG182" s="128">
        <f t="shared" si="200"/>
        <v>0.41666666666666663</v>
      </c>
      <c r="AH182" s="119">
        <v>0.125</v>
      </c>
      <c r="AI182" s="120">
        <v>0.58333333333333337</v>
      </c>
      <c r="AJ182" s="128">
        <f t="shared" si="201"/>
        <v>0.45833333333333337</v>
      </c>
      <c r="AK182" s="119" t="s">
        <v>111</v>
      </c>
      <c r="AL182" s="120"/>
      <c r="AM182" s="128">
        <f t="shared" si="202"/>
        <v>0</v>
      </c>
      <c r="AN182" s="118">
        <v>8</v>
      </c>
      <c r="AO182" s="113" t="s">
        <v>8</v>
      </c>
    </row>
    <row r="183" spans="1:41" ht="15" customHeight="1">
      <c r="B183" s="118">
        <v>9</v>
      </c>
      <c r="C183" s="113" t="s">
        <v>12</v>
      </c>
      <c r="D183" s="119">
        <v>0.16666666666666666</v>
      </c>
      <c r="E183" s="120">
        <v>0.66666666666666663</v>
      </c>
      <c r="F183" s="128">
        <f t="shared" si="191"/>
        <v>0.5</v>
      </c>
      <c r="G183" s="119" t="s">
        <v>111</v>
      </c>
      <c r="H183" s="120"/>
      <c r="I183" s="128">
        <f t="shared" si="192"/>
        <v>0</v>
      </c>
      <c r="J183" s="119" t="s">
        <v>111</v>
      </c>
      <c r="K183" s="120"/>
      <c r="L183" s="128">
        <f t="shared" si="193"/>
        <v>0</v>
      </c>
      <c r="M183" s="119">
        <v>0.125</v>
      </c>
      <c r="N183" s="120">
        <v>0.58333333333333337</v>
      </c>
      <c r="O183" s="128">
        <f t="shared" si="194"/>
        <v>0.45833333333333337</v>
      </c>
      <c r="P183" s="119"/>
      <c r="Q183" s="120"/>
      <c r="R183" s="128">
        <f t="shared" si="195"/>
        <v>0</v>
      </c>
      <c r="S183" s="119" t="s">
        <v>111</v>
      </c>
      <c r="T183" s="120"/>
      <c r="U183" s="128">
        <f t="shared" si="196"/>
        <v>0</v>
      </c>
      <c r="V183" s="119"/>
      <c r="W183" s="120"/>
      <c r="X183" s="128">
        <f t="shared" si="197"/>
        <v>0</v>
      </c>
      <c r="Y183" s="119" t="s">
        <v>111</v>
      </c>
      <c r="Z183" s="120"/>
      <c r="AA183" s="128">
        <f t="shared" si="198"/>
        <v>0</v>
      </c>
      <c r="AB183" s="119"/>
      <c r="AC183" s="120"/>
      <c r="AD183" s="129">
        <f t="shared" si="199"/>
        <v>0</v>
      </c>
      <c r="AE183" s="119"/>
      <c r="AF183" s="120"/>
      <c r="AG183" s="128">
        <f t="shared" si="200"/>
        <v>0</v>
      </c>
      <c r="AH183" s="119" t="s">
        <v>111</v>
      </c>
      <c r="AI183" s="120"/>
      <c r="AJ183" s="128">
        <f t="shared" si="201"/>
        <v>0</v>
      </c>
      <c r="AK183" s="119">
        <v>0.14583333333333334</v>
      </c>
      <c r="AL183" s="120">
        <v>0.64583333333333337</v>
      </c>
      <c r="AM183" s="128">
        <f t="shared" si="202"/>
        <v>0.5</v>
      </c>
      <c r="AN183" s="118">
        <v>9</v>
      </c>
      <c r="AO183" s="113" t="s">
        <v>12</v>
      </c>
    </row>
    <row r="184" spans="1:41" ht="15.75" customHeight="1">
      <c r="B184" s="118">
        <v>10</v>
      </c>
      <c r="C184" s="113" t="s">
        <v>85</v>
      </c>
      <c r="D184" s="119"/>
      <c r="E184" s="120"/>
      <c r="F184" s="128">
        <f t="shared" si="191"/>
        <v>0</v>
      </c>
      <c r="G184" s="119" t="s">
        <v>111</v>
      </c>
      <c r="H184" s="120"/>
      <c r="I184" s="128">
        <f t="shared" si="192"/>
        <v>0</v>
      </c>
      <c r="J184" s="119" t="s">
        <v>111</v>
      </c>
      <c r="K184" s="120"/>
      <c r="L184" s="128">
        <f t="shared" si="193"/>
        <v>0</v>
      </c>
      <c r="M184" s="119">
        <v>0.66666666666666663</v>
      </c>
      <c r="N184" s="120">
        <v>1.1666666666666667</v>
      </c>
      <c r="O184" s="128">
        <f t="shared" si="194"/>
        <v>0.50000000000000011</v>
      </c>
      <c r="P184" s="119"/>
      <c r="Q184" s="120"/>
      <c r="R184" s="128">
        <f t="shared" si="195"/>
        <v>0</v>
      </c>
      <c r="S184" s="119" t="s">
        <v>111</v>
      </c>
      <c r="T184" s="120"/>
      <c r="U184" s="128">
        <f t="shared" si="196"/>
        <v>0</v>
      </c>
      <c r="V184" s="119"/>
      <c r="W184" s="120"/>
      <c r="X184" s="128">
        <f t="shared" si="197"/>
        <v>0</v>
      </c>
      <c r="Y184" s="119" t="s">
        <v>111</v>
      </c>
      <c r="Z184" s="120"/>
      <c r="AA184" s="128">
        <f t="shared" si="198"/>
        <v>0</v>
      </c>
      <c r="AB184" s="119"/>
      <c r="AC184" s="120"/>
      <c r="AD184" s="129">
        <f t="shared" si="199"/>
        <v>0</v>
      </c>
      <c r="AE184" s="119"/>
      <c r="AF184" s="120"/>
      <c r="AG184" s="128">
        <f t="shared" si="200"/>
        <v>0</v>
      </c>
      <c r="AH184" s="119" t="s">
        <v>111</v>
      </c>
      <c r="AI184" s="120"/>
      <c r="AJ184" s="128">
        <f t="shared" si="201"/>
        <v>0</v>
      </c>
      <c r="AK184" s="119">
        <v>0.16666666666666666</v>
      </c>
      <c r="AL184" s="120">
        <v>0.66666666666666663</v>
      </c>
      <c r="AM184" s="128">
        <f t="shared" si="202"/>
        <v>0.5</v>
      </c>
      <c r="AN184" s="118">
        <v>10</v>
      </c>
      <c r="AO184" s="113" t="s">
        <v>85</v>
      </c>
    </row>
    <row r="185" spans="1:41" ht="15" customHeight="1">
      <c r="B185" s="118">
        <v>11</v>
      </c>
      <c r="C185" s="113" t="s">
        <v>4</v>
      </c>
      <c r="D185" s="119"/>
      <c r="E185" s="120"/>
      <c r="F185" s="128">
        <f t="shared" si="191"/>
        <v>0</v>
      </c>
      <c r="G185" s="119" t="s">
        <v>111</v>
      </c>
      <c r="H185" s="120"/>
      <c r="I185" s="128">
        <f t="shared" si="192"/>
        <v>0</v>
      </c>
      <c r="J185" s="119" t="s">
        <v>111</v>
      </c>
      <c r="K185" s="120"/>
      <c r="L185" s="128">
        <f t="shared" si="193"/>
        <v>0</v>
      </c>
      <c r="M185" s="119">
        <v>0.66666666666666663</v>
      </c>
      <c r="N185" s="120">
        <v>1.1666666666666667</v>
      </c>
      <c r="O185" s="128">
        <f t="shared" si="194"/>
        <v>0.50000000000000011</v>
      </c>
      <c r="P185" s="119"/>
      <c r="Q185" s="120"/>
      <c r="R185" s="128">
        <f t="shared" si="195"/>
        <v>0</v>
      </c>
      <c r="S185" s="119" t="s">
        <v>111</v>
      </c>
      <c r="T185" s="120"/>
      <c r="U185" s="128">
        <f t="shared" si="196"/>
        <v>0</v>
      </c>
      <c r="V185" s="119"/>
      <c r="W185" s="120"/>
      <c r="X185" s="128">
        <f t="shared" si="197"/>
        <v>0</v>
      </c>
      <c r="Y185" s="119" t="s">
        <v>111</v>
      </c>
      <c r="Z185" s="120"/>
      <c r="AA185" s="128">
        <f t="shared" si="198"/>
        <v>0</v>
      </c>
      <c r="AB185" s="119">
        <v>0.33333333333333331</v>
      </c>
      <c r="AC185" s="120">
        <v>0.83333333333333337</v>
      </c>
      <c r="AD185" s="129">
        <f t="shared" si="199"/>
        <v>0.5</v>
      </c>
      <c r="AE185" s="119">
        <v>0.33333333333333331</v>
      </c>
      <c r="AF185" s="120">
        <v>0.83333333333333337</v>
      </c>
      <c r="AG185" s="128">
        <f t="shared" si="200"/>
        <v>0.5</v>
      </c>
      <c r="AH185" s="119" t="s">
        <v>111</v>
      </c>
      <c r="AI185" s="120"/>
      <c r="AJ185" s="128">
        <f t="shared" si="201"/>
        <v>0</v>
      </c>
      <c r="AK185" s="119">
        <v>0.16666666666666666</v>
      </c>
      <c r="AL185" s="120">
        <v>0.66666666666666663</v>
      </c>
      <c r="AM185" s="128">
        <f t="shared" si="202"/>
        <v>0.5</v>
      </c>
      <c r="AN185" s="118">
        <v>11</v>
      </c>
      <c r="AO185" s="113" t="s">
        <v>4</v>
      </c>
    </row>
    <row r="186" spans="1:41" ht="14.25" customHeight="1">
      <c r="B186" s="86">
        <v>12</v>
      </c>
      <c r="C186" s="87" t="s">
        <v>5</v>
      </c>
      <c r="D186" s="88"/>
      <c r="E186" s="89"/>
      <c r="F186" s="92">
        <f t="shared" si="191"/>
        <v>0</v>
      </c>
      <c r="G186" s="88" t="s">
        <v>111</v>
      </c>
      <c r="H186" s="89"/>
      <c r="I186" s="92">
        <f t="shared" si="192"/>
        <v>0</v>
      </c>
      <c r="J186" s="88">
        <v>0.16666666666666666</v>
      </c>
      <c r="K186" s="89">
        <v>0.66666666666666663</v>
      </c>
      <c r="L186" s="92">
        <f t="shared" si="193"/>
        <v>0.5</v>
      </c>
      <c r="M186" s="88" t="s">
        <v>111</v>
      </c>
      <c r="N186" s="89"/>
      <c r="O186" s="92">
        <f t="shared" si="194"/>
        <v>0</v>
      </c>
      <c r="P186" s="88"/>
      <c r="Q186" s="89"/>
      <c r="R186" s="92">
        <f t="shared" si="195"/>
        <v>0</v>
      </c>
      <c r="S186" s="88">
        <v>0.16666666666666666</v>
      </c>
      <c r="T186" s="89">
        <v>0.66666666666666663</v>
      </c>
      <c r="U186" s="92">
        <f t="shared" si="196"/>
        <v>0.5</v>
      </c>
      <c r="V186" s="88"/>
      <c r="W186" s="89"/>
      <c r="X186" s="92">
        <f t="shared" si="197"/>
        <v>0</v>
      </c>
      <c r="Y186" s="88" t="s">
        <v>111</v>
      </c>
      <c r="Z186" s="89"/>
      <c r="AA186" s="92">
        <f t="shared" si="198"/>
        <v>0</v>
      </c>
      <c r="AB186" s="88" t="s">
        <v>111</v>
      </c>
      <c r="AC186" s="89"/>
      <c r="AD186" s="93">
        <f t="shared" si="199"/>
        <v>0</v>
      </c>
      <c r="AE186" s="88" t="s">
        <v>111</v>
      </c>
      <c r="AF186" s="89"/>
      <c r="AG186" s="92">
        <f t="shared" si="200"/>
        <v>0</v>
      </c>
      <c r="AH186" s="88"/>
      <c r="AI186" s="89"/>
      <c r="AJ186" s="92">
        <f t="shared" si="201"/>
        <v>0</v>
      </c>
      <c r="AK186" s="88" t="s">
        <v>111</v>
      </c>
      <c r="AL186" s="89"/>
      <c r="AM186" s="92">
        <f t="shared" si="202"/>
        <v>0</v>
      </c>
      <c r="AN186" s="86">
        <v>12</v>
      </c>
      <c r="AO186" s="87" t="s">
        <v>5</v>
      </c>
    </row>
    <row r="187" spans="1:41" ht="14.4">
      <c r="A187" s="33"/>
      <c r="B187" s="86">
        <v>13</v>
      </c>
      <c r="C187" s="87" t="s">
        <v>6</v>
      </c>
      <c r="D187" s="88">
        <v>0.14583333333333334</v>
      </c>
      <c r="E187" s="89">
        <v>0.64583333333333337</v>
      </c>
      <c r="F187" s="92">
        <f t="shared" si="191"/>
        <v>0.5</v>
      </c>
      <c r="G187" s="88"/>
      <c r="H187" s="89"/>
      <c r="I187" s="92">
        <f t="shared" si="192"/>
        <v>0</v>
      </c>
      <c r="J187" s="88" t="s">
        <v>111</v>
      </c>
      <c r="K187" s="89"/>
      <c r="L187" s="92">
        <f t="shared" si="193"/>
        <v>0</v>
      </c>
      <c r="M187" s="88" t="s">
        <v>111</v>
      </c>
      <c r="N187" s="89"/>
      <c r="O187" s="92">
        <f t="shared" si="194"/>
        <v>0</v>
      </c>
      <c r="P187" s="88"/>
      <c r="Q187" s="89"/>
      <c r="R187" s="92">
        <f t="shared" si="195"/>
        <v>0</v>
      </c>
      <c r="S187" s="88">
        <v>0.14583333333333334</v>
      </c>
      <c r="T187" s="89">
        <v>0.64583333333333337</v>
      </c>
      <c r="U187" s="92">
        <f t="shared" si="196"/>
        <v>0.5</v>
      </c>
      <c r="V187" s="88"/>
      <c r="W187" s="89"/>
      <c r="X187" s="92">
        <f t="shared" si="197"/>
        <v>0</v>
      </c>
      <c r="Y187" s="88">
        <v>0.14583333333333334</v>
      </c>
      <c r="Z187" s="89">
        <v>0.64583333333333337</v>
      </c>
      <c r="AA187" s="92">
        <f t="shared" si="198"/>
        <v>0.5</v>
      </c>
      <c r="AB187" s="88" t="s">
        <v>111</v>
      </c>
      <c r="AC187" s="89"/>
      <c r="AD187" s="93">
        <f t="shared" si="199"/>
        <v>0</v>
      </c>
      <c r="AE187" s="88" t="s">
        <v>111</v>
      </c>
      <c r="AF187" s="89"/>
      <c r="AG187" s="92">
        <f t="shared" si="200"/>
        <v>0</v>
      </c>
      <c r="AH187" s="88"/>
      <c r="AI187" s="89"/>
      <c r="AJ187" s="92">
        <f t="shared" si="201"/>
        <v>0</v>
      </c>
      <c r="AK187" s="88" t="s">
        <v>111</v>
      </c>
      <c r="AL187" s="89"/>
      <c r="AM187" s="92">
        <f t="shared" si="202"/>
        <v>0</v>
      </c>
      <c r="AN187" s="86">
        <v>13</v>
      </c>
      <c r="AO187" s="87" t="s">
        <v>6</v>
      </c>
    </row>
    <row r="188" spans="1:41" ht="14.4">
      <c r="A188" s="33"/>
      <c r="B188" s="118">
        <v>14</v>
      </c>
      <c r="C188" s="113" t="s">
        <v>7</v>
      </c>
      <c r="D188" s="132">
        <v>0.16666666666666666</v>
      </c>
      <c r="E188" s="133">
        <v>0.66666666666666663</v>
      </c>
      <c r="F188" s="148">
        <f t="shared" si="191"/>
        <v>0.5</v>
      </c>
      <c r="G188" s="119">
        <v>0.66666666666666663</v>
      </c>
      <c r="H188" s="120">
        <v>1.1666666666666667</v>
      </c>
      <c r="I188" s="128">
        <f t="shared" si="192"/>
        <v>0.50000000000000011</v>
      </c>
      <c r="J188" s="119" t="s">
        <v>111</v>
      </c>
      <c r="K188" s="120"/>
      <c r="L188" s="128">
        <f t="shared" si="193"/>
        <v>0</v>
      </c>
      <c r="M188" s="119">
        <v>0.125</v>
      </c>
      <c r="N188" s="120">
        <v>0.54166666666666663</v>
      </c>
      <c r="O188" s="128">
        <f t="shared" si="194"/>
        <v>0.41666666666666663</v>
      </c>
      <c r="P188" s="119"/>
      <c r="Q188" s="120"/>
      <c r="R188" s="128">
        <f t="shared" si="195"/>
        <v>0</v>
      </c>
      <c r="S188" s="119" t="s">
        <v>111</v>
      </c>
      <c r="T188" s="120"/>
      <c r="U188" s="128">
        <f t="shared" si="196"/>
        <v>0</v>
      </c>
      <c r="V188" s="119"/>
      <c r="W188" s="120"/>
      <c r="X188" s="128">
        <f t="shared" si="197"/>
        <v>0</v>
      </c>
      <c r="Y188" s="119">
        <v>0.66666666666666663</v>
      </c>
      <c r="Z188" s="120">
        <v>1.1666666666666667</v>
      </c>
      <c r="AA188" s="128">
        <f t="shared" si="198"/>
        <v>0.50000000000000011</v>
      </c>
      <c r="AB188" s="119">
        <v>0.5</v>
      </c>
      <c r="AC188" s="120">
        <v>0.95833333333333337</v>
      </c>
      <c r="AD188" s="129">
        <f t="shared" si="199"/>
        <v>0.45833333333333337</v>
      </c>
      <c r="AE188" s="119">
        <v>0.5</v>
      </c>
      <c r="AF188" s="120">
        <v>0.95833333333333337</v>
      </c>
      <c r="AG188" s="128">
        <f t="shared" si="200"/>
        <v>0.45833333333333337</v>
      </c>
      <c r="AH188" s="119" t="s">
        <v>111</v>
      </c>
      <c r="AI188" s="120"/>
      <c r="AJ188" s="128">
        <f t="shared" si="201"/>
        <v>0</v>
      </c>
      <c r="AK188" s="119">
        <v>0.14583333333333334</v>
      </c>
      <c r="AL188" s="120">
        <v>0.64583333333333337</v>
      </c>
      <c r="AM188" s="128">
        <f t="shared" si="202"/>
        <v>0.5</v>
      </c>
      <c r="AN188" s="118">
        <v>14</v>
      </c>
      <c r="AO188" s="113" t="s">
        <v>7</v>
      </c>
    </row>
    <row r="189" spans="1:41" ht="14.4">
      <c r="B189" s="118">
        <v>15</v>
      </c>
      <c r="C189" s="113" t="s">
        <v>8</v>
      </c>
      <c r="D189" s="119" t="s">
        <v>111</v>
      </c>
      <c r="E189" s="120"/>
      <c r="F189" s="128">
        <f>(IF(D189="u",0.333333333,IF(D189="W",0,IF(D189="C",F189,IF(D189="op",F189,(E189-D189))))))</f>
        <v>0</v>
      </c>
      <c r="G189" s="119" t="s">
        <v>111</v>
      </c>
      <c r="H189" s="120"/>
      <c r="I189" s="128">
        <f>(IF(G189="u",0.333333333,IF(G189="W",0,IF(G189="C",I189,IF(G189="op",I189,(H189-G189))))))</f>
        <v>0</v>
      </c>
      <c r="J189" s="119" t="s">
        <v>111</v>
      </c>
      <c r="K189" s="120"/>
      <c r="L189" s="128">
        <f>(IF(J189="u",0.333333333,IF(J189="W",0,IF(J189="C",L189,IF(J189="op",L189,(K189-J189))))))</f>
        <v>0</v>
      </c>
      <c r="M189" s="119">
        <v>0.16666666666666666</v>
      </c>
      <c r="N189" s="120">
        <v>0.66666666666666663</v>
      </c>
      <c r="O189" s="128">
        <f>(IF(M189="u",0.333333333,IF(M189="W",0,IF(M189="C",O189,IF(M189="op",O189,(N189-M189))))))</f>
        <v>0.5</v>
      </c>
      <c r="P189" s="119"/>
      <c r="Q189" s="120"/>
      <c r="R189" s="128">
        <f>(IF(P189="u",0.333333333,IF(P189="W",0,IF(P189="C",R189,IF(P189="op",R189,(Q189-P189))))))</f>
        <v>0</v>
      </c>
      <c r="S189" s="119" t="s">
        <v>111</v>
      </c>
      <c r="T189" s="120"/>
      <c r="U189" s="128">
        <f>(IF(S189="u",0.333333333,IF(S189="W",0,IF(S189="C",U189,IF(S189="op",U189,(T189-S189))))))</f>
        <v>0</v>
      </c>
      <c r="V189" s="119"/>
      <c r="W189" s="120"/>
      <c r="X189" s="128">
        <f>(IF(V189="u",0.333333333,IF(V189="W",0,IF(V189="C",X189,IF(V189="op",X189,(W189-V189))))))</f>
        <v>0</v>
      </c>
      <c r="Y189" s="119" t="s">
        <v>111</v>
      </c>
      <c r="Z189" s="120"/>
      <c r="AA189" s="128">
        <f>(IF(Y189="u",0.333333333,IF(Y189="W",0,IF(Y189="C",AA189,IF(Y189="op",AA189,(Z189-Y189))))))</f>
        <v>0</v>
      </c>
      <c r="AB189" s="119">
        <v>0.625</v>
      </c>
      <c r="AC189" s="120">
        <v>1.125</v>
      </c>
      <c r="AD189" s="129">
        <f>(IF(AB189="u",0.333333333,IF(AB189="W",0,IF(AB189="C",AD189,IF(AB189="op",AD189,(AC189-AB189))))))</f>
        <v>0.5</v>
      </c>
      <c r="AE189" s="119">
        <v>0.625</v>
      </c>
      <c r="AF189" s="120">
        <v>1.125</v>
      </c>
      <c r="AG189" s="128">
        <f>(IF(AE189="u",0.333333333,IF(AE189="W",0,IF(AE189="C",AG189,IF(AE189="op",AG189,(AF189-AE189))))))</f>
        <v>0.5</v>
      </c>
      <c r="AH189" s="119" t="s">
        <v>111</v>
      </c>
      <c r="AI189" s="120"/>
      <c r="AJ189" s="128">
        <f>(IF(AH189="u",0.333333333,IF(AH189="W",0,IF(AH189="C",AJ189,IF(AH189="op",AJ189,(AI189-AH189))))))</f>
        <v>0</v>
      </c>
      <c r="AK189" s="119">
        <v>0.16666666666666666</v>
      </c>
      <c r="AL189" s="120">
        <v>0.66666666666666663</v>
      </c>
      <c r="AM189" s="128">
        <f>(IF(AK189="u",0.333333333,IF(AK189="W",0,IF(AK189="C",AM189,IF(AK189="op",AM189,(AL189-AK189))))))</f>
        <v>0.5</v>
      </c>
      <c r="AN189" s="118">
        <v>15</v>
      </c>
      <c r="AO189" s="113" t="s">
        <v>8</v>
      </c>
    </row>
    <row r="190" spans="1:41" ht="15" customHeight="1">
      <c r="B190" s="118">
        <v>16</v>
      </c>
      <c r="C190" s="113" t="s">
        <v>12</v>
      </c>
      <c r="D190" s="119">
        <v>0.16666666666666666</v>
      </c>
      <c r="E190" s="120">
        <v>0.66666666666666663</v>
      </c>
      <c r="F190" s="128">
        <f t="shared" ref="F190:F205" si="203">(IF(D190="u",0.333333333,IF(D190="W",0,IF(D190="C",F190,IF(D190="op",F190,(E190-D190))))))</f>
        <v>0.5</v>
      </c>
      <c r="G190" s="119" t="s">
        <v>111</v>
      </c>
      <c r="H190" s="120"/>
      <c r="I190" s="128">
        <f t="shared" ref="I190:I205" si="204">(IF(G190="u",0.333333333,IF(G190="W",0,IF(G190="C",I190,IF(G190="op",I190,(H190-G190))))))</f>
        <v>0</v>
      </c>
      <c r="J190" s="119" t="s">
        <v>111</v>
      </c>
      <c r="K190" s="120"/>
      <c r="L190" s="128">
        <f t="shared" ref="L190:L205" si="205">(IF(J190="u",0.333333333,IF(J190="W",0,IF(J190="C",L190,IF(J190="op",L190,(K190-J190))))))</f>
        <v>0</v>
      </c>
      <c r="M190" s="119">
        <v>0.16666666666666666</v>
      </c>
      <c r="N190" s="120">
        <v>0.66666666666666663</v>
      </c>
      <c r="O190" s="128">
        <f t="shared" ref="O190:O205" si="206">(IF(M190="u",0.333333333,IF(M190="W",0,IF(M190="C",O190,IF(M190="op",O190,(N190-M190))))))</f>
        <v>0.5</v>
      </c>
      <c r="P190" s="119"/>
      <c r="Q190" s="120"/>
      <c r="R190" s="128">
        <f t="shared" ref="R190:R205" si="207">(IF(P190="u",0.333333333,IF(P190="W",0,IF(P190="C",R190,IF(P190="op",R190,(Q190-P190))))))</f>
        <v>0</v>
      </c>
      <c r="S190" s="119" t="s">
        <v>111</v>
      </c>
      <c r="T190" s="120"/>
      <c r="U190" s="128">
        <f t="shared" ref="U190:U205" si="208">(IF(S190="u",0.333333333,IF(S190="W",0,IF(S190="C",U190,IF(S190="op",U190,(T190-S190))))))</f>
        <v>0</v>
      </c>
      <c r="V190" s="119"/>
      <c r="W190" s="120"/>
      <c r="X190" s="128">
        <f t="shared" ref="X190:X205" si="209">(IF(V190="u",0.333333333,IF(V190="W",0,IF(V190="C",X190,IF(V190="op",X190,(W190-V190))))))</f>
        <v>0</v>
      </c>
      <c r="Y190" s="119" t="s">
        <v>111</v>
      </c>
      <c r="Z190" s="120"/>
      <c r="AA190" s="128">
        <f t="shared" ref="AA190:AA205" si="210">(IF(Y190="u",0.333333333,IF(Y190="W",0,IF(Y190="C",AA190,IF(Y190="op",AA190,(Z190-Y190))))))</f>
        <v>0</v>
      </c>
      <c r="AB190" s="119">
        <v>0.625</v>
      </c>
      <c r="AC190" s="120">
        <v>1.125</v>
      </c>
      <c r="AD190" s="129">
        <f t="shared" ref="AD190:AD205" si="211">(IF(AB190="u",0.333333333,IF(AB190="W",0,IF(AB190="C",AD190,IF(AB190="op",AD190,(AC190-AB190))))))</f>
        <v>0.5</v>
      </c>
      <c r="AE190" s="119">
        <v>0.625</v>
      </c>
      <c r="AF190" s="120">
        <v>1.125</v>
      </c>
      <c r="AG190" s="128">
        <f t="shared" ref="AG190:AG205" si="212">(IF(AE190="u",0.333333333,IF(AE190="W",0,IF(AE190="C",AG190,IF(AE190="op",AG190,(AF190-AE190))))))</f>
        <v>0.5</v>
      </c>
      <c r="AH190" s="119">
        <v>0.16666666666666666</v>
      </c>
      <c r="AI190" s="120">
        <v>0.66666666666666663</v>
      </c>
      <c r="AJ190" s="128">
        <f t="shared" ref="AJ190:AJ205" si="213">(IF(AH190="u",0.333333333,IF(AH190="W",0,IF(AH190="C",AJ190,IF(AH190="op",AJ190,(AI190-AH190))))))</f>
        <v>0.5</v>
      </c>
      <c r="AK190" s="119">
        <v>0.125</v>
      </c>
      <c r="AL190" s="120">
        <v>0.58333333333333337</v>
      </c>
      <c r="AM190" s="128">
        <f t="shared" ref="AM190:AM205" si="214">(IF(AK190="u",0.333333333,IF(AK190="W",0,IF(AK190="C",AM190,IF(AK190="op",AM190,(AL190-AK190))))))</f>
        <v>0.45833333333333337</v>
      </c>
      <c r="AN190" s="118">
        <v>16</v>
      </c>
      <c r="AO190" s="113" t="s">
        <v>12</v>
      </c>
    </row>
    <row r="191" spans="1:41" ht="15" customHeight="1">
      <c r="B191" s="118">
        <v>17</v>
      </c>
      <c r="C191" s="113" t="s">
        <v>85</v>
      </c>
      <c r="D191" s="119" t="s">
        <v>111</v>
      </c>
      <c r="E191" s="120"/>
      <c r="F191" s="128">
        <f t="shared" si="203"/>
        <v>0</v>
      </c>
      <c r="G191" s="119" t="s">
        <v>111</v>
      </c>
      <c r="H191" s="120"/>
      <c r="I191" s="128">
        <f t="shared" si="204"/>
        <v>0</v>
      </c>
      <c r="J191" s="119" t="s">
        <v>111</v>
      </c>
      <c r="K191" s="120"/>
      <c r="L191" s="128">
        <f t="shared" si="205"/>
        <v>0</v>
      </c>
      <c r="M191" s="119">
        <v>0.33333333333333331</v>
      </c>
      <c r="N191" s="120">
        <v>0.83333333333333337</v>
      </c>
      <c r="O191" s="128">
        <f t="shared" si="206"/>
        <v>0.5</v>
      </c>
      <c r="P191" s="119"/>
      <c r="Q191" s="120"/>
      <c r="R191" s="128">
        <f t="shared" si="207"/>
        <v>0</v>
      </c>
      <c r="S191" s="119" t="s">
        <v>111</v>
      </c>
      <c r="T191" s="120"/>
      <c r="U191" s="128">
        <f t="shared" si="208"/>
        <v>0</v>
      </c>
      <c r="V191" s="119"/>
      <c r="W191" s="120"/>
      <c r="X191" s="128">
        <f t="shared" si="209"/>
        <v>0</v>
      </c>
      <c r="Y191" s="119" t="s">
        <v>111</v>
      </c>
      <c r="Z191" s="120"/>
      <c r="AA191" s="128">
        <f t="shared" si="210"/>
        <v>0</v>
      </c>
      <c r="AB191" s="119"/>
      <c r="AC191" s="120"/>
      <c r="AD191" s="129">
        <f t="shared" si="211"/>
        <v>0</v>
      </c>
      <c r="AE191" s="119"/>
      <c r="AF191" s="120"/>
      <c r="AG191" s="128">
        <f t="shared" si="212"/>
        <v>0</v>
      </c>
      <c r="AH191" s="119">
        <v>0.16666666666666666</v>
      </c>
      <c r="AI191" s="120">
        <v>0.66666666666666663</v>
      </c>
      <c r="AJ191" s="128">
        <f t="shared" si="213"/>
        <v>0.5</v>
      </c>
      <c r="AK191" s="119">
        <v>0.16666666666666666</v>
      </c>
      <c r="AL191" s="120">
        <v>0.66666666666666663</v>
      </c>
      <c r="AM191" s="128">
        <f t="shared" si="214"/>
        <v>0.5</v>
      </c>
      <c r="AN191" s="118">
        <v>17</v>
      </c>
      <c r="AO191" s="113" t="s">
        <v>85</v>
      </c>
    </row>
    <row r="192" spans="1:41" ht="15" customHeight="1">
      <c r="B192" s="118">
        <v>18</v>
      </c>
      <c r="C192" s="113" t="s">
        <v>4</v>
      </c>
      <c r="D192" s="119">
        <v>0.16666666666666666</v>
      </c>
      <c r="E192" s="120">
        <v>0.66666666666666663</v>
      </c>
      <c r="F192" s="128">
        <f t="shared" si="203"/>
        <v>0.5</v>
      </c>
      <c r="G192" s="119" t="s">
        <v>111</v>
      </c>
      <c r="H192" s="120"/>
      <c r="I192" s="128">
        <f t="shared" si="204"/>
        <v>0</v>
      </c>
      <c r="J192" s="119">
        <v>0.125</v>
      </c>
      <c r="K192" s="120">
        <v>0.54166666666666663</v>
      </c>
      <c r="L192" s="128">
        <f t="shared" si="205"/>
        <v>0.41666666666666663</v>
      </c>
      <c r="M192" s="119" t="s">
        <v>111</v>
      </c>
      <c r="N192" s="120"/>
      <c r="O192" s="128">
        <f>(IF(M192="u",0.333333333,IF(M192="W",0,IF(M192="C",O192,IF(M192="op",O192,(N192-M192))))))</f>
        <v>0</v>
      </c>
      <c r="P192" s="119"/>
      <c r="Q192" s="120"/>
      <c r="R192" s="128">
        <f t="shared" si="207"/>
        <v>0</v>
      </c>
      <c r="S192" s="119" t="s">
        <v>111</v>
      </c>
      <c r="T192" s="120"/>
      <c r="U192" s="128">
        <f t="shared" si="208"/>
        <v>0</v>
      </c>
      <c r="V192" s="119"/>
      <c r="W192" s="120"/>
      <c r="X192" s="128">
        <f t="shared" si="209"/>
        <v>0</v>
      </c>
      <c r="Y192" s="119" t="s">
        <v>111</v>
      </c>
      <c r="Z192" s="120"/>
      <c r="AA192" s="128">
        <f t="shared" si="210"/>
        <v>0</v>
      </c>
      <c r="AB192" s="119" t="s">
        <v>111</v>
      </c>
      <c r="AC192" s="120"/>
      <c r="AD192" s="129">
        <f t="shared" si="211"/>
        <v>0</v>
      </c>
      <c r="AE192" s="119" t="s">
        <v>111</v>
      </c>
      <c r="AF192" s="120"/>
      <c r="AG192" s="128">
        <f t="shared" si="212"/>
        <v>0</v>
      </c>
      <c r="AH192" s="119">
        <v>0.16666666666666666</v>
      </c>
      <c r="AI192" s="120">
        <v>0.66666666666666663</v>
      </c>
      <c r="AJ192" s="128">
        <f t="shared" si="213"/>
        <v>0.5</v>
      </c>
      <c r="AK192" s="119"/>
      <c r="AL192" s="120"/>
      <c r="AM192" s="128">
        <f t="shared" si="214"/>
        <v>0</v>
      </c>
      <c r="AN192" s="118">
        <v>18</v>
      </c>
      <c r="AO192" s="113" t="s">
        <v>4</v>
      </c>
    </row>
    <row r="193" spans="2:121" ht="15" customHeight="1">
      <c r="B193" s="86">
        <v>19</v>
      </c>
      <c r="C193" s="87" t="s">
        <v>5</v>
      </c>
      <c r="D193" s="88"/>
      <c r="E193" s="89"/>
      <c r="F193" s="92">
        <f t="shared" si="203"/>
        <v>0</v>
      </c>
      <c r="G193" s="88" t="s">
        <v>111</v>
      </c>
      <c r="H193" s="89"/>
      <c r="I193" s="92">
        <f t="shared" si="204"/>
        <v>0</v>
      </c>
      <c r="J193" s="88" t="s">
        <v>111</v>
      </c>
      <c r="K193" s="89"/>
      <c r="L193" s="92">
        <f t="shared" si="205"/>
        <v>0</v>
      </c>
      <c r="M193" s="88" t="s">
        <v>111</v>
      </c>
      <c r="N193" s="89"/>
      <c r="O193" s="92">
        <f t="shared" si="206"/>
        <v>0</v>
      </c>
      <c r="P193" s="88"/>
      <c r="Q193" s="89"/>
      <c r="R193" s="92">
        <f t="shared" si="207"/>
        <v>0</v>
      </c>
      <c r="S193" s="88">
        <v>0.125</v>
      </c>
      <c r="T193" s="89">
        <v>0.54166666666666663</v>
      </c>
      <c r="U193" s="92">
        <f t="shared" si="208"/>
        <v>0.41666666666666663</v>
      </c>
      <c r="V193" s="88"/>
      <c r="W193" s="89"/>
      <c r="X193" s="92">
        <f t="shared" si="209"/>
        <v>0</v>
      </c>
      <c r="Y193" s="88" t="s">
        <v>111</v>
      </c>
      <c r="Z193" s="89"/>
      <c r="AA193" s="92">
        <f t="shared" si="210"/>
        <v>0</v>
      </c>
      <c r="AB193" s="88" t="s">
        <v>111</v>
      </c>
      <c r="AC193" s="89"/>
      <c r="AD193" s="93">
        <f t="shared" si="211"/>
        <v>0</v>
      </c>
      <c r="AE193" s="88" t="s">
        <v>111</v>
      </c>
      <c r="AF193" s="89"/>
      <c r="AG193" s="92">
        <f t="shared" si="212"/>
        <v>0</v>
      </c>
      <c r="AH193" s="88"/>
      <c r="AI193" s="89"/>
      <c r="AJ193" s="92">
        <f t="shared" si="213"/>
        <v>0</v>
      </c>
      <c r="AK193" s="88" t="s">
        <v>111</v>
      </c>
      <c r="AL193" s="89"/>
      <c r="AM193" s="92">
        <f t="shared" si="214"/>
        <v>0</v>
      </c>
      <c r="AN193" s="86">
        <v>19</v>
      </c>
      <c r="AO193" s="87" t="s">
        <v>5</v>
      </c>
    </row>
    <row r="194" spans="2:121" ht="14.4">
      <c r="B194" s="86">
        <v>20</v>
      </c>
      <c r="C194" s="87" t="s">
        <v>6</v>
      </c>
      <c r="D194" s="88" t="s">
        <v>111</v>
      </c>
      <c r="E194" s="89"/>
      <c r="F194" s="92">
        <f t="shared" si="203"/>
        <v>0</v>
      </c>
      <c r="G194" s="88"/>
      <c r="H194" s="89"/>
      <c r="I194" s="92">
        <f t="shared" si="204"/>
        <v>0</v>
      </c>
      <c r="J194" s="88" t="s">
        <v>111</v>
      </c>
      <c r="K194" s="89"/>
      <c r="L194" s="92">
        <f>(IF(J194="u",0.333333333,IF(J194="W",0,IF(J194="C",L194,IF(J194="op",L194,(K194-J194))))))</f>
        <v>0</v>
      </c>
      <c r="M194" s="88" t="s">
        <v>111</v>
      </c>
      <c r="N194" s="89"/>
      <c r="O194" s="92">
        <f t="shared" si="206"/>
        <v>0</v>
      </c>
      <c r="P194" s="88"/>
      <c r="Q194" s="89"/>
      <c r="R194" s="92">
        <f t="shared" si="207"/>
        <v>0</v>
      </c>
      <c r="S194" s="88">
        <v>0.16666666666666666</v>
      </c>
      <c r="T194" s="89">
        <v>0.66666666666666663</v>
      </c>
      <c r="U194" s="92">
        <f>(IF(S194="u",0.333333333,IF(S194="W",0,IF(S194="C",U194,IF(S194="op",U194,(T194-S194))))))</f>
        <v>0.5</v>
      </c>
      <c r="V194" s="88"/>
      <c r="W194" s="89"/>
      <c r="X194" s="92">
        <f t="shared" si="209"/>
        <v>0</v>
      </c>
      <c r="Y194" s="88" t="s">
        <v>111</v>
      </c>
      <c r="Z194" s="89"/>
      <c r="AA194" s="92">
        <f t="shared" si="210"/>
        <v>0</v>
      </c>
      <c r="AB194" s="88" t="s">
        <v>111</v>
      </c>
      <c r="AC194" s="89"/>
      <c r="AD194" s="93">
        <f t="shared" si="211"/>
        <v>0</v>
      </c>
      <c r="AE194" s="88" t="s">
        <v>111</v>
      </c>
      <c r="AF194" s="89"/>
      <c r="AG194" s="92">
        <f t="shared" si="212"/>
        <v>0</v>
      </c>
      <c r="AH194" s="88" t="s">
        <v>111</v>
      </c>
      <c r="AI194" s="89"/>
      <c r="AJ194" s="92">
        <f t="shared" si="213"/>
        <v>0</v>
      </c>
      <c r="AK194" s="88" t="s">
        <v>111</v>
      </c>
      <c r="AL194" s="89"/>
      <c r="AM194" s="92">
        <f t="shared" si="214"/>
        <v>0</v>
      </c>
      <c r="AN194" s="86">
        <v>20</v>
      </c>
      <c r="AO194" s="87" t="s">
        <v>6</v>
      </c>
    </row>
    <row r="195" spans="2:121" ht="15" customHeight="1">
      <c r="B195" s="118">
        <v>21</v>
      </c>
      <c r="C195" s="113" t="s">
        <v>7</v>
      </c>
      <c r="D195" s="119">
        <v>0.16666666666666666</v>
      </c>
      <c r="E195" s="120">
        <v>0.66666666666666663</v>
      </c>
      <c r="F195" s="128">
        <f t="shared" si="203"/>
        <v>0.5</v>
      </c>
      <c r="G195" s="119" t="s">
        <v>111</v>
      </c>
      <c r="H195" s="120"/>
      <c r="I195" s="128">
        <f t="shared" si="204"/>
        <v>0</v>
      </c>
      <c r="J195" s="119">
        <v>0.125</v>
      </c>
      <c r="K195" s="120">
        <v>0.52083333333333337</v>
      </c>
      <c r="L195" s="128">
        <f>(IF(J195="u",0.333333333,IF(J195="W",0,IF(J195="C",L195,IF(J195="op",L195,(K195-J195))))))</f>
        <v>0.39583333333333337</v>
      </c>
      <c r="M195" s="119">
        <v>0.16666666666666666</v>
      </c>
      <c r="N195" s="120">
        <v>0.66666666666666663</v>
      </c>
      <c r="O195" s="128">
        <f t="shared" si="206"/>
        <v>0.5</v>
      </c>
      <c r="P195" s="119"/>
      <c r="Q195" s="120"/>
      <c r="R195" s="128">
        <f t="shared" si="207"/>
        <v>0</v>
      </c>
      <c r="S195" s="119" t="s">
        <v>111</v>
      </c>
      <c r="T195" s="120"/>
      <c r="U195" s="128">
        <f t="shared" si="208"/>
        <v>0</v>
      </c>
      <c r="V195" s="119"/>
      <c r="W195" s="120"/>
      <c r="X195" s="128">
        <f t="shared" si="209"/>
        <v>0</v>
      </c>
      <c r="Y195" s="119" t="s">
        <v>111</v>
      </c>
      <c r="Z195" s="120"/>
      <c r="AA195" s="128">
        <f t="shared" si="210"/>
        <v>0</v>
      </c>
      <c r="AB195" s="119">
        <v>0.5</v>
      </c>
      <c r="AC195" s="120">
        <v>0.875</v>
      </c>
      <c r="AD195" s="129">
        <f t="shared" si="211"/>
        <v>0.375</v>
      </c>
      <c r="AE195" s="119">
        <v>0.5</v>
      </c>
      <c r="AF195" s="120">
        <v>0.875</v>
      </c>
      <c r="AG195" s="128">
        <f t="shared" si="212"/>
        <v>0.375</v>
      </c>
      <c r="AH195" s="119">
        <v>0.16666666666666666</v>
      </c>
      <c r="AI195" s="120">
        <v>0.66666666666666663</v>
      </c>
      <c r="AJ195" s="128">
        <f t="shared" si="213"/>
        <v>0.5</v>
      </c>
      <c r="AK195" s="119">
        <v>0.75</v>
      </c>
      <c r="AL195" s="120">
        <v>1.25</v>
      </c>
      <c r="AM195" s="128">
        <f t="shared" si="214"/>
        <v>0.5</v>
      </c>
      <c r="AN195" s="118">
        <v>21</v>
      </c>
      <c r="AO195" s="113" t="s">
        <v>7</v>
      </c>
    </row>
    <row r="196" spans="2:121" ht="15" customHeight="1">
      <c r="B196" s="118">
        <v>22</v>
      </c>
      <c r="C196" s="113" t="s">
        <v>8</v>
      </c>
      <c r="D196" s="119" t="s">
        <v>111</v>
      </c>
      <c r="E196" s="120"/>
      <c r="F196" s="128">
        <f t="shared" si="203"/>
        <v>0</v>
      </c>
      <c r="G196" s="119" t="s">
        <v>111</v>
      </c>
      <c r="H196" s="120"/>
      <c r="I196" s="128">
        <f t="shared" si="204"/>
        <v>0</v>
      </c>
      <c r="J196" s="119" t="s">
        <v>111</v>
      </c>
      <c r="K196" s="120"/>
      <c r="L196" s="128">
        <f t="shared" si="205"/>
        <v>0</v>
      </c>
      <c r="M196" s="119">
        <v>0.16666666666666666</v>
      </c>
      <c r="N196" s="120">
        <v>0.66666666666666663</v>
      </c>
      <c r="O196" s="128">
        <f t="shared" si="206"/>
        <v>0.5</v>
      </c>
      <c r="P196" s="119"/>
      <c r="Q196" s="120"/>
      <c r="R196" s="128">
        <f t="shared" si="207"/>
        <v>0</v>
      </c>
      <c r="S196" s="119" t="s">
        <v>111</v>
      </c>
      <c r="T196" s="120"/>
      <c r="U196" s="128">
        <f t="shared" si="208"/>
        <v>0</v>
      </c>
      <c r="V196" s="119"/>
      <c r="W196" s="120"/>
      <c r="X196" s="128">
        <f t="shared" si="209"/>
        <v>0</v>
      </c>
      <c r="Y196" s="119" t="s">
        <v>111</v>
      </c>
      <c r="Z196" s="120"/>
      <c r="AA196" s="128">
        <f t="shared" si="210"/>
        <v>0</v>
      </c>
      <c r="AB196" s="119">
        <v>0.45833333333333331</v>
      </c>
      <c r="AC196" s="120">
        <v>0.875</v>
      </c>
      <c r="AD196" s="129">
        <f t="shared" si="211"/>
        <v>0.41666666666666669</v>
      </c>
      <c r="AE196" s="119">
        <v>0.45833333333333331</v>
      </c>
      <c r="AF196" s="120">
        <v>0.875</v>
      </c>
      <c r="AG196" s="128">
        <f t="shared" si="212"/>
        <v>0.41666666666666669</v>
      </c>
      <c r="AH196" s="119">
        <v>0.16666666666666666</v>
      </c>
      <c r="AI196" s="120">
        <v>0.66666666666666663</v>
      </c>
      <c r="AJ196" s="128">
        <f t="shared" si="213"/>
        <v>0.5</v>
      </c>
      <c r="AK196" s="119">
        <v>0.75</v>
      </c>
      <c r="AL196" s="120">
        <v>1.25</v>
      </c>
      <c r="AM196" s="128">
        <f t="shared" si="214"/>
        <v>0.5</v>
      </c>
      <c r="AN196" s="118">
        <v>22</v>
      </c>
      <c r="AO196" s="113" t="s">
        <v>8</v>
      </c>
    </row>
    <row r="197" spans="2:121" ht="14.4">
      <c r="B197" s="118">
        <v>23</v>
      </c>
      <c r="C197" s="113" t="s">
        <v>12</v>
      </c>
      <c r="D197" s="119">
        <v>0.16666666666666666</v>
      </c>
      <c r="E197" s="120">
        <v>0.66666666666666663</v>
      </c>
      <c r="F197" s="128">
        <f t="shared" si="203"/>
        <v>0.5</v>
      </c>
      <c r="G197" s="119" t="s">
        <v>111</v>
      </c>
      <c r="H197" s="120"/>
      <c r="I197" s="128">
        <f t="shared" si="204"/>
        <v>0</v>
      </c>
      <c r="J197" s="119" t="s">
        <v>111</v>
      </c>
      <c r="K197" s="120"/>
      <c r="L197" s="128">
        <f t="shared" si="205"/>
        <v>0</v>
      </c>
      <c r="M197" s="119">
        <v>0.16666666666666666</v>
      </c>
      <c r="N197" s="120">
        <v>0.66666666666666663</v>
      </c>
      <c r="O197" s="128">
        <f t="shared" si="206"/>
        <v>0.5</v>
      </c>
      <c r="P197" s="119"/>
      <c r="Q197" s="120"/>
      <c r="R197" s="128">
        <f t="shared" si="207"/>
        <v>0</v>
      </c>
      <c r="S197" s="119" t="s">
        <v>111</v>
      </c>
      <c r="T197" s="120"/>
      <c r="U197" s="128">
        <f t="shared" si="208"/>
        <v>0</v>
      </c>
      <c r="V197" s="119"/>
      <c r="W197" s="120"/>
      <c r="X197" s="128">
        <f t="shared" si="209"/>
        <v>0</v>
      </c>
      <c r="Y197" s="119" t="s">
        <v>111</v>
      </c>
      <c r="Z197" s="120"/>
      <c r="AA197" s="128">
        <f t="shared" si="210"/>
        <v>0</v>
      </c>
      <c r="AB197" s="119">
        <v>0.4375</v>
      </c>
      <c r="AC197" s="120">
        <v>0.9375</v>
      </c>
      <c r="AD197" s="129">
        <f t="shared" si="211"/>
        <v>0.5</v>
      </c>
      <c r="AE197" s="119">
        <v>0.4375</v>
      </c>
      <c r="AF197" s="120">
        <v>0.9375</v>
      </c>
      <c r="AG197" s="128">
        <f t="shared" si="212"/>
        <v>0.5</v>
      </c>
      <c r="AH197" s="119">
        <v>0.16666666666666666</v>
      </c>
      <c r="AI197" s="120">
        <v>0.66666666666666663</v>
      </c>
      <c r="AJ197" s="128">
        <f t="shared" si="213"/>
        <v>0.5</v>
      </c>
      <c r="AK197" s="119"/>
      <c r="AL197" s="120"/>
      <c r="AM197" s="128">
        <f t="shared" si="214"/>
        <v>0</v>
      </c>
      <c r="AN197" s="118">
        <v>23</v>
      </c>
      <c r="AO197" s="113" t="s">
        <v>12</v>
      </c>
    </row>
    <row r="198" spans="2:121" ht="14.25" customHeight="1">
      <c r="B198" s="118">
        <v>24</v>
      </c>
      <c r="C198" s="113" t="s">
        <v>85</v>
      </c>
      <c r="D198" s="119" t="s">
        <v>111</v>
      </c>
      <c r="E198" s="120"/>
      <c r="F198" s="128">
        <f t="shared" si="203"/>
        <v>0</v>
      </c>
      <c r="G198" s="119" t="s">
        <v>111</v>
      </c>
      <c r="H198" s="120"/>
      <c r="I198" s="128">
        <f t="shared" si="204"/>
        <v>0</v>
      </c>
      <c r="J198" s="119">
        <v>0.16666666666666666</v>
      </c>
      <c r="K198" s="120">
        <v>0.66666666666666663</v>
      </c>
      <c r="L198" s="128">
        <f t="shared" si="205"/>
        <v>0.5</v>
      </c>
      <c r="M198" s="119">
        <v>0.16666666666666666</v>
      </c>
      <c r="N198" s="120">
        <v>0.66666666666666663</v>
      </c>
      <c r="O198" s="128">
        <f t="shared" si="206"/>
        <v>0.5</v>
      </c>
      <c r="P198" s="119"/>
      <c r="Q198" s="120"/>
      <c r="R198" s="128">
        <f t="shared" si="207"/>
        <v>0</v>
      </c>
      <c r="S198" s="119" t="s">
        <v>111</v>
      </c>
      <c r="T198" s="120"/>
      <c r="U198" s="128">
        <f t="shared" si="208"/>
        <v>0</v>
      </c>
      <c r="V198" s="119"/>
      <c r="W198" s="120"/>
      <c r="X198" s="128">
        <f t="shared" si="209"/>
        <v>0</v>
      </c>
      <c r="Y198" s="119" t="s">
        <v>111</v>
      </c>
      <c r="Z198" s="120"/>
      <c r="AA198" s="128">
        <f t="shared" si="210"/>
        <v>0</v>
      </c>
      <c r="AB198" s="119">
        <v>0.4375</v>
      </c>
      <c r="AC198" s="120">
        <v>0.89583333333333337</v>
      </c>
      <c r="AD198" s="129">
        <f t="shared" si="211"/>
        <v>0.45833333333333337</v>
      </c>
      <c r="AE198" s="119">
        <v>0.4375</v>
      </c>
      <c r="AF198" s="120">
        <v>0.89583333333333337</v>
      </c>
      <c r="AG198" s="128">
        <f t="shared" si="212"/>
        <v>0.45833333333333337</v>
      </c>
      <c r="AH198" s="119" t="s">
        <v>111</v>
      </c>
      <c r="AI198" s="120"/>
      <c r="AJ198" s="128">
        <f t="shared" si="213"/>
        <v>0</v>
      </c>
      <c r="AK198" s="119">
        <v>0.16666666666666666</v>
      </c>
      <c r="AL198" s="120">
        <v>0.66666666666666663</v>
      </c>
      <c r="AM198" s="128">
        <f t="shared" si="214"/>
        <v>0.5</v>
      </c>
      <c r="AN198" s="118">
        <v>24</v>
      </c>
      <c r="AO198" s="113" t="s">
        <v>85</v>
      </c>
    </row>
    <row r="199" spans="2:121" ht="14.25" customHeight="1">
      <c r="B199" s="118">
        <v>25</v>
      </c>
      <c r="C199" s="113" t="s">
        <v>4</v>
      </c>
      <c r="D199" s="119">
        <v>0.16666666666666666</v>
      </c>
      <c r="E199" s="120">
        <v>0.66666666666666663</v>
      </c>
      <c r="F199" s="128">
        <f t="shared" si="203"/>
        <v>0.5</v>
      </c>
      <c r="G199" s="119" t="s">
        <v>111</v>
      </c>
      <c r="H199" s="120"/>
      <c r="I199" s="128">
        <f t="shared" si="204"/>
        <v>0</v>
      </c>
      <c r="J199" s="119">
        <v>0.16666666666666666</v>
      </c>
      <c r="K199" s="120">
        <v>0.66666666666666663</v>
      </c>
      <c r="L199" s="128">
        <f t="shared" si="205"/>
        <v>0.5</v>
      </c>
      <c r="M199" s="119" t="s">
        <v>111</v>
      </c>
      <c r="N199" s="120"/>
      <c r="O199" s="128">
        <f t="shared" si="206"/>
        <v>0</v>
      </c>
      <c r="P199" s="119"/>
      <c r="Q199" s="120"/>
      <c r="R199" s="128">
        <f t="shared" si="207"/>
        <v>0</v>
      </c>
      <c r="S199" s="119" t="s">
        <v>111</v>
      </c>
      <c r="T199" s="120"/>
      <c r="U199" s="128">
        <f t="shared" si="208"/>
        <v>0</v>
      </c>
      <c r="V199" s="119"/>
      <c r="W199" s="120"/>
      <c r="X199" s="128" t="s">
        <v>95</v>
      </c>
      <c r="Y199" s="119" t="s">
        <v>111</v>
      </c>
      <c r="Z199" s="120"/>
      <c r="AA199" s="128">
        <f t="shared" si="210"/>
        <v>0</v>
      </c>
      <c r="AB199" s="119">
        <v>0.4375</v>
      </c>
      <c r="AC199" s="120">
        <v>0.89583333333333337</v>
      </c>
      <c r="AD199" s="129">
        <f t="shared" si="211"/>
        <v>0.45833333333333337</v>
      </c>
      <c r="AE199" s="119">
        <v>0.4375</v>
      </c>
      <c r="AF199" s="120">
        <v>0.89583333333333337</v>
      </c>
      <c r="AG199" s="128">
        <f t="shared" si="212"/>
        <v>0.45833333333333337</v>
      </c>
      <c r="AH199" s="119" t="s">
        <v>111</v>
      </c>
      <c r="AI199" s="120"/>
      <c r="AJ199" s="128">
        <f t="shared" si="213"/>
        <v>0</v>
      </c>
      <c r="AK199" s="119">
        <v>0.125</v>
      </c>
      <c r="AL199" s="120">
        <v>0.52083333333333337</v>
      </c>
      <c r="AM199" s="128">
        <f t="shared" si="214"/>
        <v>0.39583333333333337</v>
      </c>
      <c r="AN199" s="118">
        <v>25</v>
      </c>
      <c r="AO199" s="113" t="s">
        <v>4</v>
      </c>
    </row>
    <row r="200" spans="2:121" ht="15" customHeight="1">
      <c r="B200" s="86">
        <v>26</v>
      </c>
      <c r="C200" s="87" t="s">
        <v>5</v>
      </c>
      <c r="D200" s="88">
        <v>0.125</v>
      </c>
      <c r="E200" s="89">
        <v>0.52083333333333337</v>
      </c>
      <c r="F200" s="92">
        <f t="shared" si="203"/>
        <v>0.39583333333333337</v>
      </c>
      <c r="G200" s="88">
        <v>0.33333333333333331</v>
      </c>
      <c r="H200" s="89">
        <v>0.83333333333333337</v>
      </c>
      <c r="I200" s="92">
        <f t="shared" si="204"/>
        <v>0.5</v>
      </c>
      <c r="J200" s="88">
        <v>0.16666666666666666</v>
      </c>
      <c r="K200" s="89">
        <v>0.66666666666666663</v>
      </c>
      <c r="L200" s="92">
        <f t="shared" si="205"/>
        <v>0.5</v>
      </c>
      <c r="M200" s="88" t="s">
        <v>111</v>
      </c>
      <c r="N200" s="89"/>
      <c r="O200" s="92">
        <f t="shared" si="206"/>
        <v>0</v>
      </c>
      <c r="P200" s="88"/>
      <c r="Q200" s="89"/>
      <c r="R200" s="92">
        <f t="shared" si="207"/>
        <v>0</v>
      </c>
      <c r="S200" s="88">
        <v>0.125</v>
      </c>
      <c r="T200" s="89">
        <v>0.52083333333333337</v>
      </c>
      <c r="U200" s="92">
        <f t="shared" si="208"/>
        <v>0.39583333333333337</v>
      </c>
      <c r="V200" s="88"/>
      <c r="W200" s="89"/>
      <c r="X200" s="92">
        <f t="shared" si="209"/>
        <v>0</v>
      </c>
      <c r="Y200" s="88" t="s">
        <v>111</v>
      </c>
      <c r="Z200" s="89"/>
      <c r="AA200" s="92">
        <f t="shared" si="210"/>
        <v>0</v>
      </c>
      <c r="AB200" s="88" t="s">
        <v>111</v>
      </c>
      <c r="AC200" s="89"/>
      <c r="AD200" s="93">
        <f t="shared" si="211"/>
        <v>0</v>
      </c>
      <c r="AE200" s="88" t="s">
        <v>111</v>
      </c>
      <c r="AF200" s="89"/>
      <c r="AG200" s="92">
        <f t="shared" si="212"/>
        <v>0</v>
      </c>
      <c r="AH200" s="88" t="s">
        <v>111</v>
      </c>
      <c r="AI200" s="89"/>
      <c r="AJ200" s="92">
        <f t="shared" si="213"/>
        <v>0</v>
      </c>
      <c r="AK200" s="88" t="s">
        <v>111</v>
      </c>
      <c r="AL200" s="89"/>
      <c r="AM200" s="92">
        <f t="shared" si="214"/>
        <v>0</v>
      </c>
      <c r="AN200" s="86">
        <v>26</v>
      </c>
      <c r="AO200" s="87" t="s">
        <v>5</v>
      </c>
    </row>
    <row r="201" spans="2:121" ht="15.75" customHeight="1">
      <c r="B201" s="86">
        <v>27</v>
      </c>
      <c r="C201" s="87" t="s">
        <v>6</v>
      </c>
      <c r="D201" s="88">
        <v>0.16666666666666666</v>
      </c>
      <c r="E201" s="89">
        <v>0.66666666666666663</v>
      </c>
      <c r="F201" s="92">
        <f t="shared" si="203"/>
        <v>0.5</v>
      </c>
      <c r="G201" s="88">
        <v>0.41666666666666669</v>
      </c>
      <c r="H201" s="89">
        <v>0.875</v>
      </c>
      <c r="I201" s="92">
        <f t="shared" si="204"/>
        <v>0.45833333333333331</v>
      </c>
      <c r="J201" s="88" t="s">
        <v>111</v>
      </c>
      <c r="K201" s="89"/>
      <c r="L201" s="92">
        <f t="shared" si="205"/>
        <v>0</v>
      </c>
      <c r="M201" s="88" t="s">
        <v>111</v>
      </c>
      <c r="N201" s="89"/>
      <c r="O201" s="92">
        <f t="shared" si="206"/>
        <v>0</v>
      </c>
      <c r="P201" s="88"/>
      <c r="Q201" s="89"/>
      <c r="R201" s="92">
        <f t="shared" si="207"/>
        <v>0</v>
      </c>
      <c r="S201" s="88">
        <v>0.16666666666666666</v>
      </c>
      <c r="T201" s="89">
        <v>0.66666666666666663</v>
      </c>
      <c r="U201" s="92">
        <f t="shared" si="208"/>
        <v>0.5</v>
      </c>
      <c r="V201" s="88"/>
      <c r="W201" s="89"/>
      <c r="X201" s="92">
        <f t="shared" si="209"/>
        <v>0</v>
      </c>
      <c r="Y201" s="88">
        <v>0.75</v>
      </c>
      <c r="Z201" s="89">
        <v>1.25</v>
      </c>
      <c r="AA201" s="92">
        <f t="shared" si="210"/>
        <v>0.5</v>
      </c>
      <c r="AB201" s="88" t="s">
        <v>111</v>
      </c>
      <c r="AC201" s="89"/>
      <c r="AD201" s="93">
        <f t="shared" si="211"/>
        <v>0</v>
      </c>
      <c r="AE201" s="88" t="s">
        <v>111</v>
      </c>
      <c r="AF201" s="89"/>
      <c r="AG201" s="92">
        <f t="shared" si="212"/>
        <v>0</v>
      </c>
      <c r="AH201" s="88" t="s">
        <v>111</v>
      </c>
      <c r="AI201" s="89"/>
      <c r="AJ201" s="92">
        <f t="shared" si="213"/>
        <v>0</v>
      </c>
      <c r="AK201" s="88" t="s">
        <v>111</v>
      </c>
      <c r="AL201" s="89"/>
      <c r="AM201" s="92">
        <f t="shared" si="214"/>
        <v>0</v>
      </c>
      <c r="AN201" s="86">
        <v>27</v>
      </c>
      <c r="AO201" s="87" t="s">
        <v>6</v>
      </c>
    </row>
    <row r="202" spans="2:121" ht="15" customHeight="1">
      <c r="B202" s="118">
        <v>28</v>
      </c>
      <c r="C202" s="113" t="s">
        <v>7</v>
      </c>
      <c r="D202" s="119">
        <v>0.16666666666666666</v>
      </c>
      <c r="E202" s="120">
        <v>0.66666666666666663</v>
      </c>
      <c r="F202" s="128">
        <f t="shared" si="203"/>
        <v>0.5</v>
      </c>
      <c r="G202" s="119" t="s">
        <v>111</v>
      </c>
      <c r="H202" s="120"/>
      <c r="I202" s="128">
        <f t="shared" si="204"/>
        <v>0</v>
      </c>
      <c r="J202" s="119">
        <v>0.16666666666666666</v>
      </c>
      <c r="K202" s="120">
        <v>0.66666666666666663</v>
      </c>
      <c r="L202" s="128">
        <f t="shared" si="205"/>
        <v>0.5</v>
      </c>
      <c r="M202" s="119">
        <v>0.125</v>
      </c>
      <c r="N202" s="120">
        <v>0.52083333333333337</v>
      </c>
      <c r="O202" s="128">
        <f t="shared" si="206"/>
        <v>0.39583333333333337</v>
      </c>
      <c r="P202" s="119"/>
      <c r="Q202" s="120"/>
      <c r="R202" s="128">
        <f t="shared" si="207"/>
        <v>0</v>
      </c>
      <c r="S202" s="119" t="s">
        <v>111</v>
      </c>
      <c r="T202" s="120"/>
      <c r="U202" s="128">
        <f t="shared" si="208"/>
        <v>0</v>
      </c>
      <c r="V202" s="119"/>
      <c r="W202" s="120"/>
      <c r="X202" s="128">
        <f t="shared" si="209"/>
        <v>0</v>
      </c>
      <c r="Y202" s="119"/>
      <c r="Z202" s="120"/>
      <c r="AA202" s="128">
        <f t="shared" si="210"/>
        <v>0</v>
      </c>
      <c r="AB202" s="119">
        <v>0.5</v>
      </c>
      <c r="AC202" s="120">
        <v>0.875</v>
      </c>
      <c r="AD202" s="129">
        <f t="shared" si="211"/>
        <v>0.375</v>
      </c>
      <c r="AE202" s="119">
        <v>0.5</v>
      </c>
      <c r="AF202" s="120">
        <v>0.875</v>
      </c>
      <c r="AG202" s="128">
        <f t="shared" si="212"/>
        <v>0.375</v>
      </c>
      <c r="AH202" s="119">
        <v>0.125</v>
      </c>
      <c r="AI202" s="120">
        <v>0.52083333333333337</v>
      </c>
      <c r="AJ202" s="128">
        <f t="shared" si="213"/>
        <v>0.39583333333333337</v>
      </c>
      <c r="AK202" s="119">
        <v>0.125</v>
      </c>
      <c r="AL202" s="120">
        <v>0.52083333333333337</v>
      </c>
      <c r="AM202" s="128">
        <f t="shared" si="214"/>
        <v>0.39583333333333337</v>
      </c>
      <c r="AN202" s="118">
        <v>28</v>
      </c>
      <c r="AO202" s="113" t="s">
        <v>7</v>
      </c>
    </row>
    <row r="203" spans="2:121" ht="15" customHeight="1">
      <c r="B203" s="118">
        <v>29</v>
      </c>
      <c r="C203" s="113" t="s">
        <v>8</v>
      </c>
      <c r="D203" s="119" t="s">
        <v>111</v>
      </c>
      <c r="E203" s="120"/>
      <c r="F203" s="128">
        <f t="shared" si="203"/>
        <v>0</v>
      </c>
      <c r="G203" s="119" t="s">
        <v>111</v>
      </c>
      <c r="H203" s="120"/>
      <c r="I203" s="128">
        <f t="shared" si="204"/>
        <v>0</v>
      </c>
      <c r="J203" s="119" t="s">
        <v>111</v>
      </c>
      <c r="K203" s="120"/>
      <c r="L203" s="128">
        <f t="shared" si="205"/>
        <v>0</v>
      </c>
      <c r="M203" s="119">
        <v>0.16666666666666666</v>
      </c>
      <c r="N203" s="120">
        <v>0.66666666666666663</v>
      </c>
      <c r="O203" s="128">
        <f t="shared" si="206"/>
        <v>0.5</v>
      </c>
      <c r="P203" s="119"/>
      <c r="Q203" s="120"/>
      <c r="R203" s="128">
        <f t="shared" si="207"/>
        <v>0</v>
      </c>
      <c r="S203" s="119" t="s">
        <v>111</v>
      </c>
      <c r="T203" s="120"/>
      <c r="U203" s="128">
        <f t="shared" si="208"/>
        <v>0</v>
      </c>
      <c r="V203" s="119"/>
      <c r="W203" s="120"/>
      <c r="X203" s="128">
        <f t="shared" si="209"/>
        <v>0</v>
      </c>
      <c r="Y203" s="119" t="s">
        <v>111</v>
      </c>
      <c r="Z203" s="120"/>
      <c r="AA203" s="128">
        <f t="shared" si="210"/>
        <v>0</v>
      </c>
      <c r="AB203" s="119">
        <v>0.45833333333333331</v>
      </c>
      <c r="AC203" s="120">
        <v>0.875</v>
      </c>
      <c r="AD203" s="129">
        <f t="shared" si="211"/>
        <v>0.41666666666666669</v>
      </c>
      <c r="AE203" s="119">
        <v>0.45833333333333331</v>
      </c>
      <c r="AF203" s="120">
        <v>0.875</v>
      </c>
      <c r="AG203" s="128">
        <f t="shared" si="212"/>
        <v>0.41666666666666669</v>
      </c>
      <c r="AH203" s="119">
        <v>0.125</v>
      </c>
      <c r="AI203" s="120">
        <v>0.52083333333333337</v>
      </c>
      <c r="AJ203" s="128">
        <f t="shared" si="213"/>
        <v>0.39583333333333337</v>
      </c>
      <c r="AK203" s="119">
        <v>0.125</v>
      </c>
      <c r="AL203" s="120">
        <v>0.52083333333333337</v>
      </c>
      <c r="AM203" s="128">
        <f t="shared" si="214"/>
        <v>0.39583333333333337</v>
      </c>
      <c r="AN203" s="118">
        <v>29</v>
      </c>
      <c r="AO203" s="113" t="s">
        <v>8</v>
      </c>
    </row>
    <row r="204" spans="2:121" ht="15" customHeight="1">
      <c r="B204" s="118">
        <v>30</v>
      </c>
      <c r="C204" s="113" t="s">
        <v>12</v>
      </c>
      <c r="D204" s="119">
        <v>0.125</v>
      </c>
      <c r="E204" s="120">
        <v>0.52083333333333337</v>
      </c>
      <c r="F204" s="128">
        <f t="shared" si="203"/>
        <v>0.39583333333333337</v>
      </c>
      <c r="G204" s="119" t="s">
        <v>111</v>
      </c>
      <c r="H204" s="120"/>
      <c r="I204" s="128">
        <f t="shared" si="204"/>
        <v>0</v>
      </c>
      <c r="J204" s="119" t="s">
        <v>111</v>
      </c>
      <c r="K204" s="120"/>
      <c r="L204" s="128">
        <f t="shared" si="205"/>
        <v>0</v>
      </c>
      <c r="M204" s="119">
        <v>0.16666666666666666</v>
      </c>
      <c r="N204" s="120">
        <v>0.66666666666666663</v>
      </c>
      <c r="O204" s="128">
        <f t="shared" si="206"/>
        <v>0.5</v>
      </c>
      <c r="P204" s="119"/>
      <c r="Q204" s="120"/>
      <c r="R204" s="128">
        <f t="shared" si="207"/>
        <v>0</v>
      </c>
      <c r="S204" s="119" t="s">
        <v>111</v>
      </c>
      <c r="T204" s="120"/>
      <c r="U204" s="128">
        <f t="shared" si="208"/>
        <v>0</v>
      </c>
      <c r="V204" s="119"/>
      <c r="W204" s="120"/>
      <c r="X204" s="128">
        <f t="shared" si="209"/>
        <v>0</v>
      </c>
      <c r="Y204" s="119" t="s">
        <v>111</v>
      </c>
      <c r="Z204" s="120"/>
      <c r="AA204" s="128">
        <f t="shared" si="210"/>
        <v>0</v>
      </c>
      <c r="AB204" s="119">
        <v>0.4375</v>
      </c>
      <c r="AC204" s="120">
        <v>0.9375</v>
      </c>
      <c r="AD204" s="129">
        <f t="shared" si="211"/>
        <v>0.5</v>
      </c>
      <c r="AE204" s="119">
        <v>0.4375</v>
      </c>
      <c r="AF204" s="120">
        <v>0.9375</v>
      </c>
      <c r="AG204" s="128">
        <f t="shared" si="212"/>
        <v>0.5</v>
      </c>
      <c r="AH204" s="119" t="s">
        <v>111</v>
      </c>
      <c r="AI204" s="120"/>
      <c r="AJ204" s="128">
        <f t="shared" si="213"/>
        <v>0</v>
      </c>
      <c r="AK204" s="119">
        <v>0.125</v>
      </c>
      <c r="AL204" s="120">
        <v>0.52083333333333337</v>
      </c>
      <c r="AM204" s="128">
        <f t="shared" si="214"/>
        <v>0.39583333333333337</v>
      </c>
      <c r="AN204" s="118">
        <v>30</v>
      </c>
      <c r="AO204" s="113" t="s">
        <v>12</v>
      </c>
    </row>
    <row r="205" spans="2:121" ht="15" customHeight="1">
      <c r="B205" s="118">
        <v>31</v>
      </c>
      <c r="C205" s="113" t="s">
        <v>85</v>
      </c>
      <c r="D205" s="119" t="s">
        <v>111</v>
      </c>
      <c r="E205" s="120"/>
      <c r="F205" s="128">
        <f t="shared" si="203"/>
        <v>0</v>
      </c>
      <c r="G205" s="119" t="s">
        <v>111</v>
      </c>
      <c r="H205" s="120"/>
      <c r="I205" s="128">
        <f t="shared" si="204"/>
        <v>0</v>
      </c>
      <c r="J205" s="119" t="s">
        <v>111</v>
      </c>
      <c r="K205" s="120"/>
      <c r="L205" s="128">
        <f t="shared" si="205"/>
        <v>0</v>
      </c>
      <c r="M205" s="119">
        <v>0.16666666666666666</v>
      </c>
      <c r="N205" s="120">
        <v>0.66666666666666663</v>
      </c>
      <c r="O205" s="128">
        <f t="shared" si="206"/>
        <v>0.5</v>
      </c>
      <c r="P205" s="119"/>
      <c r="Q205" s="120"/>
      <c r="R205" s="128">
        <f t="shared" si="207"/>
        <v>0</v>
      </c>
      <c r="S205" s="119" t="s">
        <v>111</v>
      </c>
      <c r="T205" s="120"/>
      <c r="U205" s="128">
        <f t="shared" si="208"/>
        <v>0</v>
      </c>
      <c r="V205" s="119"/>
      <c r="W205" s="120"/>
      <c r="X205" s="128">
        <f t="shared" si="209"/>
        <v>0</v>
      </c>
      <c r="Y205" s="119" t="s">
        <v>111</v>
      </c>
      <c r="Z205" s="120"/>
      <c r="AA205" s="128">
        <f t="shared" si="210"/>
        <v>0</v>
      </c>
      <c r="AB205" s="119" t="s">
        <v>111</v>
      </c>
      <c r="AC205" s="120"/>
      <c r="AD205" s="129">
        <f t="shared" si="211"/>
        <v>0</v>
      </c>
      <c r="AE205" s="119" t="s">
        <v>111</v>
      </c>
      <c r="AF205" s="120"/>
      <c r="AG205" s="128">
        <f t="shared" si="212"/>
        <v>0</v>
      </c>
      <c r="AH205" s="119"/>
      <c r="AI205" s="120"/>
      <c r="AJ205" s="128">
        <f t="shared" si="213"/>
        <v>0</v>
      </c>
      <c r="AK205" s="119">
        <v>0.4375</v>
      </c>
      <c r="AL205" s="120">
        <v>0.9375</v>
      </c>
      <c r="AM205" s="128">
        <f t="shared" si="214"/>
        <v>0.5</v>
      </c>
      <c r="AN205" s="118">
        <v>31</v>
      </c>
      <c r="AO205" s="113" t="s">
        <v>85</v>
      </c>
    </row>
    <row r="206" spans="2:121" ht="15" customHeight="1" thickBot="1">
      <c r="B206" s="85"/>
      <c r="C206" s="39"/>
      <c r="D206" s="77"/>
      <c r="E206" s="78"/>
      <c r="F206" s="50"/>
      <c r="G206" s="77"/>
      <c r="H206" s="78"/>
      <c r="I206" s="50"/>
      <c r="J206" s="77"/>
      <c r="K206" s="78"/>
      <c r="L206" s="50"/>
      <c r="M206" s="77"/>
      <c r="N206" s="78"/>
      <c r="O206" s="50"/>
      <c r="P206" s="77"/>
      <c r="Q206" s="78"/>
      <c r="R206" s="50"/>
      <c r="S206" s="77"/>
      <c r="T206" s="78"/>
      <c r="U206" s="50"/>
      <c r="V206" s="77"/>
      <c r="W206" s="78"/>
      <c r="X206" s="50"/>
      <c r="Y206" s="77"/>
      <c r="Z206" s="78"/>
      <c r="AA206" s="50"/>
      <c r="AB206" s="77"/>
      <c r="AC206" s="78"/>
      <c r="AD206" s="73"/>
      <c r="AE206" s="77"/>
      <c r="AF206" s="78"/>
      <c r="AG206" s="50"/>
      <c r="AH206" s="77"/>
      <c r="AI206" s="78"/>
      <c r="AJ206" s="50"/>
      <c r="AK206" s="77"/>
      <c r="AL206" s="78"/>
      <c r="AM206" s="50"/>
      <c r="AN206" s="85"/>
      <c r="AO206" s="39"/>
      <c r="AQ206" s="33"/>
      <c r="AR206" s="33"/>
      <c r="AS206" s="33"/>
      <c r="AT206" s="33"/>
      <c r="AU206" s="33"/>
      <c r="AV206" s="33"/>
      <c r="AW206" s="33"/>
      <c r="AX206" s="33"/>
      <c r="AY206" s="33"/>
      <c r="AZ206" s="33"/>
      <c r="BA206" s="33"/>
      <c r="BB206" s="33"/>
      <c r="BC206" s="33"/>
      <c r="BD206" s="33"/>
      <c r="BE206" s="33"/>
      <c r="BF206" s="33"/>
      <c r="BG206" s="33"/>
      <c r="BH206" s="33"/>
      <c r="BI206" s="33"/>
      <c r="BJ206" s="33"/>
      <c r="BK206" s="33"/>
      <c r="BL206" s="33"/>
      <c r="BM206" s="33"/>
      <c r="BN206" s="33"/>
      <c r="BO206" s="33"/>
      <c r="BP206" s="33"/>
      <c r="BQ206" s="33"/>
      <c r="BR206" s="33"/>
      <c r="BS206" s="33"/>
      <c r="BT206" s="33"/>
      <c r="BU206" s="33"/>
      <c r="BV206" s="33"/>
      <c r="BW206" s="33"/>
      <c r="BX206" s="33"/>
      <c r="BY206" s="33"/>
      <c r="BZ206" s="33"/>
      <c r="CA206" s="33"/>
      <c r="CB206" s="33"/>
      <c r="CC206" s="33"/>
      <c r="CD206" s="33"/>
      <c r="CE206" s="33"/>
      <c r="CF206" s="33"/>
      <c r="CG206" s="33"/>
      <c r="CH206" s="33"/>
      <c r="CI206" s="33"/>
      <c r="CJ206" s="33"/>
      <c r="CK206" s="33"/>
      <c r="CL206" s="33"/>
      <c r="CM206" s="33"/>
      <c r="CN206" s="33"/>
      <c r="CO206" s="33"/>
      <c r="CP206" s="33"/>
      <c r="CQ206" s="33"/>
      <c r="CR206" s="33"/>
      <c r="CS206" s="33"/>
      <c r="CT206" s="33"/>
      <c r="CU206" s="33"/>
      <c r="CV206" s="33"/>
      <c r="CW206" s="33"/>
      <c r="CX206" s="33"/>
      <c r="CY206" s="33"/>
      <c r="CZ206" s="33"/>
      <c r="DA206" s="33"/>
      <c r="DB206" s="33"/>
      <c r="DC206" s="33"/>
      <c r="DD206" s="33"/>
      <c r="DE206" s="33"/>
      <c r="DF206" s="33"/>
      <c r="DG206" s="33"/>
      <c r="DH206" s="33"/>
      <c r="DI206" s="33"/>
      <c r="DJ206" s="33"/>
      <c r="DK206" s="33"/>
      <c r="DL206" s="33"/>
      <c r="DM206" s="33"/>
      <c r="DN206" s="33"/>
      <c r="DO206" s="33"/>
      <c r="DP206" s="33"/>
      <c r="DQ206" s="33"/>
    </row>
    <row r="207" spans="2:121" ht="15" customHeight="1" thickBot="1">
      <c r="B207" s="168" t="s">
        <v>0</v>
      </c>
      <c r="C207" s="168" t="s">
        <v>1</v>
      </c>
      <c r="D207" s="218" t="s">
        <v>121</v>
      </c>
      <c r="E207" s="219"/>
      <c r="F207" s="220"/>
      <c r="G207" s="218" t="s">
        <v>57</v>
      </c>
      <c r="H207" s="219"/>
      <c r="I207" s="220"/>
      <c r="J207" s="218" t="s">
        <v>92</v>
      </c>
      <c r="K207" s="219"/>
      <c r="L207" s="220"/>
      <c r="M207" s="218" t="s">
        <v>45</v>
      </c>
      <c r="N207" s="219"/>
      <c r="O207" s="220"/>
      <c r="P207" s="218"/>
      <c r="Q207" s="219"/>
      <c r="R207" s="220"/>
      <c r="S207" s="218" t="s">
        <v>61</v>
      </c>
      <c r="T207" s="219"/>
      <c r="U207" s="220"/>
      <c r="V207" s="218" t="s">
        <v>93</v>
      </c>
      <c r="W207" s="219"/>
      <c r="X207" s="220"/>
      <c r="Y207" s="218" t="s">
        <v>66</v>
      </c>
      <c r="Z207" s="219"/>
      <c r="AA207" s="220"/>
      <c r="AB207" s="218" t="s">
        <v>49</v>
      </c>
      <c r="AC207" s="219"/>
      <c r="AD207" s="220"/>
      <c r="AE207" s="218" t="s">
        <v>105</v>
      </c>
      <c r="AF207" s="219"/>
      <c r="AG207" s="220"/>
      <c r="AH207" s="219" t="s">
        <v>59</v>
      </c>
      <c r="AI207" s="219"/>
      <c r="AJ207" s="220"/>
      <c r="AK207" s="218" t="s">
        <v>100</v>
      </c>
      <c r="AL207" s="219"/>
      <c r="AM207" s="220"/>
      <c r="AN207" s="168" t="s">
        <v>0</v>
      </c>
      <c r="AO207" s="168" t="s">
        <v>1</v>
      </c>
      <c r="AQ207" s="33"/>
      <c r="AR207" s="33"/>
      <c r="AS207" s="33"/>
      <c r="AT207" s="33"/>
      <c r="AU207" s="33"/>
      <c r="AV207" s="33"/>
      <c r="AW207" s="33"/>
      <c r="AX207" s="33"/>
      <c r="AY207" s="33"/>
      <c r="AZ207" s="33"/>
      <c r="BA207" s="33"/>
      <c r="BB207" s="33"/>
      <c r="BC207" s="33"/>
      <c r="BD207" s="33"/>
      <c r="BE207" s="33"/>
      <c r="BF207" s="33"/>
      <c r="BG207" s="33"/>
      <c r="BH207" s="33"/>
      <c r="BI207" s="33"/>
      <c r="BJ207" s="33"/>
      <c r="BK207" s="33"/>
      <c r="BL207" s="33"/>
      <c r="BM207" s="33"/>
      <c r="BN207" s="33"/>
      <c r="BO207" s="33"/>
      <c r="BP207" s="33"/>
      <c r="BQ207" s="33"/>
      <c r="BR207" s="33"/>
      <c r="BS207" s="33"/>
      <c r="BT207" s="33"/>
      <c r="BU207" s="33"/>
      <c r="BV207" s="33"/>
      <c r="BW207" s="33"/>
      <c r="BX207" s="33"/>
      <c r="BY207" s="33"/>
      <c r="BZ207" s="33"/>
      <c r="CA207" s="33"/>
      <c r="CB207" s="33"/>
      <c r="CC207" s="33"/>
      <c r="CD207" s="33"/>
      <c r="CE207" s="33"/>
      <c r="CF207" s="33"/>
      <c r="CG207" s="33"/>
      <c r="CH207" s="33"/>
      <c r="CI207" s="33"/>
      <c r="CJ207" s="33"/>
      <c r="CK207" s="33"/>
      <c r="CL207" s="33"/>
      <c r="CM207" s="33"/>
      <c r="CN207" s="33"/>
      <c r="CO207" s="33"/>
      <c r="CP207" s="33"/>
      <c r="CQ207" s="33"/>
      <c r="CR207" s="33"/>
      <c r="CS207" s="33"/>
      <c r="CT207" s="33"/>
      <c r="CU207" s="33"/>
      <c r="CV207" s="33"/>
      <c r="CW207" s="33"/>
      <c r="CX207" s="33"/>
      <c r="CY207" s="33"/>
      <c r="CZ207" s="33"/>
      <c r="DA207" s="33"/>
      <c r="DB207" s="33"/>
      <c r="DC207" s="33"/>
      <c r="DD207" s="33"/>
      <c r="DE207" s="33"/>
      <c r="DF207" s="33"/>
      <c r="DG207" s="33"/>
      <c r="DH207" s="33"/>
      <c r="DI207" s="33"/>
      <c r="DJ207" s="33"/>
      <c r="DK207" s="33"/>
      <c r="DL207" s="33"/>
      <c r="DM207" s="33"/>
      <c r="DN207" s="33"/>
      <c r="DO207" s="33"/>
      <c r="DP207" s="33"/>
      <c r="DQ207" s="33"/>
    </row>
    <row r="208" spans="2:121" ht="15" customHeight="1" thickBot="1">
      <c r="B208" s="168"/>
      <c r="C208" s="168"/>
      <c r="D208" s="221"/>
      <c r="E208" s="222"/>
      <c r="F208" s="223"/>
      <c r="G208" s="221"/>
      <c r="H208" s="222"/>
      <c r="I208" s="223"/>
      <c r="J208" s="221"/>
      <c r="K208" s="222"/>
      <c r="L208" s="223"/>
      <c r="M208" s="221"/>
      <c r="N208" s="222"/>
      <c r="O208" s="223"/>
      <c r="P208" s="221"/>
      <c r="Q208" s="222"/>
      <c r="R208" s="223"/>
      <c r="S208" s="221"/>
      <c r="T208" s="222"/>
      <c r="U208" s="223"/>
      <c r="V208" s="221"/>
      <c r="W208" s="222"/>
      <c r="X208" s="223"/>
      <c r="Y208" s="221"/>
      <c r="Z208" s="222"/>
      <c r="AA208" s="223"/>
      <c r="AB208" s="221"/>
      <c r="AC208" s="222"/>
      <c r="AD208" s="223"/>
      <c r="AE208" s="221"/>
      <c r="AF208" s="222"/>
      <c r="AG208" s="223"/>
      <c r="AH208" s="222"/>
      <c r="AI208" s="222"/>
      <c r="AJ208" s="223"/>
      <c r="AK208" s="221"/>
      <c r="AL208" s="222"/>
      <c r="AM208" s="223"/>
      <c r="AN208" s="168"/>
      <c r="AO208" s="168"/>
      <c r="AQ208" s="33"/>
      <c r="AR208" s="33"/>
      <c r="AS208" s="33"/>
      <c r="AT208" s="33"/>
      <c r="AU208" s="33"/>
      <c r="AV208" s="33"/>
      <c r="AW208" s="33"/>
      <c r="AX208" s="33"/>
      <c r="AY208" s="33"/>
      <c r="AZ208" s="33"/>
      <c r="BA208" s="33"/>
      <c r="BB208" s="33"/>
      <c r="BC208" s="33"/>
      <c r="BD208" s="33"/>
      <c r="BE208" s="33"/>
      <c r="BF208" s="33"/>
      <c r="BG208" s="33"/>
      <c r="BH208" s="33"/>
      <c r="BI208" s="33"/>
      <c r="BJ208" s="33"/>
      <c r="BK208" s="33"/>
      <c r="BL208" s="33"/>
      <c r="BM208" s="33"/>
      <c r="BN208" s="33"/>
      <c r="BO208" s="33"/>
      <c r="BP208" s="33"/>
      <c r="BQ208" s="33"/>
      <c r="BR208" s="33"/>
      <c r="BS208" s="33"/>
      <c r="BT208" s="33"/>
      <c r="BU208" s="33"/>
      <c r="BV208" s="33"/>
      <c r="BW208" s="33"/>
      <c r="BX208" s="33"/>
      <c r="BY208" s="33"/>
      <c r="BZ208" s="33"/>
      <c r="CA208" s="33"/>
      <c r="CB208" s="33"/>
      <c r="CC208" s="33"/>
      <c r="CD208" s="33"/>
      <c r="CE208" s="33"/>
      <c r="CF208" s="33"/>
      <c r="CG208" s="33"/>
      <c r="CH208" s="33"/>
      <c r="CI208" s="33"/>
      <c r="CJ208" s="33"/>
      <c r="CK208" s="33"/>
      <c r="CL208" s="33"/>
      <c r="CM208" s="33"/>
      <c r="CN208" s="33"/>
      <c r="CO208" s="33"/>
      <c r="CP208" s="33"/>
      <c r="CQ208" s="33"/>
      <c r="CR208" s="33"/>
      <c r="CS208" s="33"/>
      <c r="CT208" s="33"/>
      <c r="CU208" s="33"/>
      <c r="CV208" s="33"/>
      <c r="CW208" s="33"/>
      <c r="CX208" s="33"/>
      <c r="CY208" s="33"/>
      <c r="CZ208" s="33"/>
      <c r="DA208" s="33"/>
      <c r="DB208" s="33"/>
      <c r="DC208" s="33"/>
      <c r="DD208" s="33"/>
      <c r="DE208" s="33"/>
      <c r="DF208" s="33"/>
      <c r="DG208" s="33"/>
      <c r="DH208" s="33"/>
      <c r="DI208" s="33"/>
      <c r="DJ208" s="33"/>
      <c r="DK208" s="33"/>
      <c r="DL208" s="33"/>
      <c r="DM208" s="33"/>
      <c r="DN208" s="33"/>
      <c r="DO208" s="33"/>
      <c r="DP208" s="33"/>
      <c r="DQ208" s="33"/>
    </row>
    <row r="209" spans="1:121" ht="15" customHeight="1" thickBot="1">
      <c r="B209" s="168"/>
      <c r="C209" s="168"/>
      <c r="D209" s="169"/>
      <c r="E209" s="170"/>
      <c r="F209" s="171"/>
      <c r="G209" s="169"/>
      <c r="H209" s="170"/>
      <c r="I209" s="171"/>
      <c r="J209" s="169"/>
      <c r="K209" s="170"/>
      <c r="L209" s="171"/>
      <c r="M209" s="169"/>
      <c r="N209" s="170"/>
      <c r="O209" s="171"/>
      <c r="P209" s="169"/>
      <c r="Q209" s="170"/>
      <c r="R209" s="171"/>
      <c r="S209" s="169"/>
      <c r="T209" s="170"/>
      <c r="U209" s="171"/>
      <c r="V209" s="169"/>
      <c r="W209" s="170"/>
      <c r="X209" s="171"/>
      <c r="Y209" s="169"/>
      <c r="Z209" s="170"/>
      <c r="AA209" s="171"/>
      <c r="AB209" s="169"/>
      <c r="AC209" s="170"/>
      <c r="AD209" s="171"/>
      <c r="AE209" s="169"/>
      <c r="AF209" s="170"/>
      <c r="AG209" s="171"/>
      <c r="AH209" s="169"/>
      <c r="AI209" s="170"/>
      <c r="AJ209" s="171"/>
      <c r="AK209" s="169"/>
      <c r="AL209" s="170"/>
      <c r="AM209" s="171"/>
      <c r="AN209" s="168"/>
      <c r="AO209" s="168"/>
      <c r="AQ209" s="33"/>
      <c r="AR209" s="33"/>
      <c r="AS209" s="33"/>
      <c r="AT209" s="33"/>
      <c r="AU209" s="33"/>
      <c r="AV209" s="33"/>
      <c r="AW209" s="33"/>
      <c r="AX209" s="33"/>
      <c r="AY209" s="33"/>
      <c r="AZ209" s="33"/>
      <c r="BA209" s="33"/>
      <c r="BB209" s="33"/>
      <c r="BC209" s="33"/>
      <c r="BD209" s="33"/>
      <c r="BE209" s="33"/>
      <c r="BF209" s="33"/>
      <c r="BG209" s="33"/>
      <c r="BH209" s="33"/>
      <c r="BI209" s="33"/>
      <c r="BJ209" s="33"/>
      <c r="BK209" s="33"/>
      <c r="BL209" s="33"/>
      <c r="BM209" s="33"/>
      <c r="BN209" s="33"/>
      <c r="BO209" s="33"/>
      <c r="BP209" s="33"/>
      <c r="BQ209" s="33"/>
      <c r="BR209" s="33"/>
      <c r="BS209" s="33"/>
      <c r="BT209" s="33"/>
      <c r="BU209" s="33"/>
      <c r="BV209" s="33"/>
      <c r="BW209" s="33"/>
      <c r="BX209" s="33"/>
      <c r="BY209" s="33"/>
      <c r="BZ209" s="33"/>
      <c r="CA209" s="33"/>
      <c r="CB209" s="33"/>
      <c r="CC209" s="33"/>
      <c r="CD209" s="33"/>
      <c r="CE209" s="33"/>
      <c r="CF209" s="33"/>
      <c r="CG209" s="33"/>
      <c r="CH209" s="33"/>
      <c r="CI209" s="33"/>
      <c r="CJ209" s="33"/>
      <c r="CK209" s="33"/>
      <c r="CL209" s="33"/>
      <c r="CM209" s="33"/>
      <c r="CN209" s="33"/>
      <c r="CO209" s="33"/>
      <c r="CP209" s="33"/>
      <c r="CQ209" s="33"/>
      <c r="CR209" s="33"/>
      <c r="CS209" s="33"/>
      <c r="CT209" s="33"/>
      <c r="CU209" s="33"/>
      <c r="CV209" s="33"/>
      <c r="CW209" s="33"/>
      <c r="CX209" s="33"/>
      <c r="CY209" s="33"/>
      <c r="CZ209" s="33"/>
      <c r="DA209" s="33"/>
      <c r="DB209" s="33"/>
      <c r="DC209" s="33"/>
      <c r="DD209" s="33"/>
      <c r="DE209" s="33"/>
      <c r="DF209" s="33"/>
      <c r="DG209" s="33"/>
      <c r="DH209" s="33"/>
      <c r="DI209" s="33"/>
      <c r="DJ209" s="33"/>
      <c r="DK209" s="33"/>
      <c r="DL209" s="33"/>
      <c r="DM209" s="33"/>
      <c r="DN209" s="33"/>
      <c r="DO209" s="33"/>
      <c r="DP209" s="33"/>
      <c r="DQ209" s="33"/>
    </row>
    <row r="210" spans="1:121" ht="15" customHeight="1" thickBot="1">
      <c r="B210" s="168"/>
      <c r="C210" s="168"/>
      <c r="D210" s="9"/>
      <c r="E210" s="6"/>
      <c r="F210" s="7"/>
      <c r="G210" s="9"/>
      <c r="H210" s="6"/>
      <c r="I210" s="7"/>
      <c r="J210" s="9"/>
      <c r="K210" s="6"/>
      <c r="L210" s="7"/>
      <c r="M210" s="9"/>
      <c r="N210" s="6"/>
      <c r="O210" s="7"/>
      <c r="P210" s="9"/>
      <c r="Q210" s="6"/>
      <c r="R210" s="7"/>
      <c r="S210" s="9"/>
      <c r="T210" s="6"/>
      <c r="U210" s="7"/>
      <c r="V210" s="9"/>
      <c r="W210" s="6"/>
      <c r="X210" s="7"/>
      <c r="Y210" s="9"/>
      <c r="Z210" s="6"/>
      <c r="AA210" s="7"/>
      <c r="AB210" s="9"/>
      <c r="AC210" s="6"/>
      <c r="AD210" s="7"/>
      <c r="AE210" s="9"/>
      <c r="AF210" s="6"/>
      <c r="AG210" s="7"/>
      <c r="AH210" s="9"/>
      <c r="AI210" s="6"/>
      <c r="AJ210" s="7"/>
      <c r="AK210" s="9"/>
      <c r="AL210" s="6"/>
      <c r="AM210" s="7"/>
      <c r="AN210" s="168"/>
      <c r="AO210" s="168"/>
      <c r="AQ210" s="33"/>
      <c r="AR210" s="33"/>
      <c r="AS210" s="33"/>
      <c r="AT210" s="33"/>
      <c r="AU210" s="33"/>
      <c r="AV210" s="33"/>
      <c r="AW210" s="33"/>
      <c r="AX210" s="33"/>
      <c r="AY210" s="33"/>
      <c r="AZ210" s="33"/>
      <c r="BA210" s="33"/>
      <c r="BB210" s="33"/>
      <c r="BC210" s="33"/>
      <c r="BD210" s="33"/>
      <c r="BE210" s="33"/>
      <c r="BF210" s="33"/>
      <c r="BG210" s="33"/>
      <c r="BH210" s="33"/>
      <c r="BI210" s="33"/>
      <c r="BJ210" s="33"/>
      <c r="BK210" s="33"/>
      <c r="BL210" s="33"/>
      <c r="BM210" s="33"/>
      <c r="BN210" s="33"/>
      <c r="BO210" s="33"/>
      <c r="BP210" s="33"/>
      <c r="BQ210" s="33"/>
      <c r="BR210" s="33"/>
      <c r="BS210" s="33"/>
      <c r="BT210" s="33"/>
      <c r="BU210" s="33"/>
      <c r="BV210" s="33"/>
      <c r="BW210" s="33"/>
      <c r="BX210" s="33"/>
      <c r="BY210" s="33"/>
      <c r="BZ210" s="33"/>
      <c r="CA210" s="33"/>
      <c r="CB210" s="33"/>
      <c r="CC210" s="33"/>
      <c r="CD210" s="33"/>
      <c r="CE210" s="33"/>
      <c r="CF210" s="33"/>
      <c r="CG210" s="33"/>
      <c r="CH210" s="33"/>
      <c r="CI210" s="33"/>
      <c r="CJ210" s="33"/>
      <c r="CK210" s="33"/>
      <c r="CL210" s="33"/>
      <c r="CM210" s="33"/>
      <c r="CN210" s="33"/>
      <c r="CO210" s="33"/>
      <c r="CP210" s="33"/>
      <c r="CQ210" s="33"/>
      <c r="CR210" s="33"/>
      <c r="CS210" s="33"/>
      <c r="CT210" s="33"/>
      <c r="CU210" s="33"/>
      <c r="CV210" s="33"/>
      <c r="CW210" s="33"/>
      <c r="CX210" s="33"/>
      <c r="CY210" s="33"/>
      <c r="CZ210" s="33"/>
      <c r="DA210" s="33"/>
      <c r="DB210" s="33"/>
      <c r="DC210" s="33"/>
      <c r="DD210" s="33"/>
      <c r="DE210" s="33"/>
      <c r="DF210" s="33"/>
      <c r="DG210" s="33"/>
      <c r="DH210" s="33"/>
      <c r="DI210" s="33"/>
      <c r="DJ210" s="33"/>
      <c r="DK210" s="33"/>
      <c r="DL210" s="33"/>
      <c r="DM210" s="33"/>
      <c r="DN210" s="33"/>
      <c r="DO210" s="33"/>
      <c r="DP210" s="33"/>
      <c r="DQ210" s="33"/>
    </row>
    <row r="211" spans="1:121" ht="15" customHeight="1" thickBot="1">
      <c r="B211" s="28"/>
      <c r="C211" s="28"/>
      <c r="D211" s="29"/>
      <c r="E211" s="30"/>
      <c r="F211" s="31"/>
      <c r="G211" s="29"/>
      <c r="H211" s="30"/>
      <c r="I211" s="31"/>
      <c r="J211" s="29"/>
      <c r="K211" s="30"/>
      <c r="L211" s="31"/>
      <c r="M211" s="29"/>
      <c r="N211" s="30"/>
      <c r="O211" s="31"/>
      <c r="P211" s="29"/>
      <c r="Q211" s="30"/>
      <c r="R211" s="31"/>
      <c r="S211" s="32"/>
      <c r="T211" s="30"/>
      <c r="U211" s="31"/>
      <c r="V211" s="29"/>
      <c r="W211" s="30"/>
      <c r="X211" s="31"/>
      <c r="Y211" s="29"/>
      <c r="Z211" s="30"/>
      <c r="AA211" s="31"/>
      <c r="AB211" s="32"/>
      <c r="AC211" s="30"/>
      <c r="AD211" s="31"/>
      <c r="AE211" s="29"/>
      <c r="AF211" s="30"/>
      <c r="AG211" s="31"/>
      <c r="AH211" s="29"/>
      <c r="AI211" s="30"/>
      <c r="AJ211" s="31"/>
      <c r="AK211" s="29"/>
      <c r="AL211" s="30"/>
      <c r="AM211" s="31"/>
      <c r="AN211" s="28"/>
      <c r="AO211" s="28"/>
      <c r="AQ211" s="33"/>
      <c r="AR211" s="33"/>
      <c r="AS211" s="33"/>
      <c r="AT211" s="33"/>
      <c r="AU211" s="33"/>
      <c r="AV211" s="33"/>
      <c r="AW211" s="33"/>
      <c r="AX211" s="33"/>
      <c r="AY211" s="33"/>
      <c r="AZ211" s="33"/>
      <c r="BA211" s="33"/>
      <c r="BB211" s="33"/>
      <c r="BC211" s="33"/>
      <c r="BD211" s="33"/>
      <c r="BE211" s="33"/>
      <c r="BF211" s="33"/>
      <c r="BG211" s="33"/>
      <c r="BH211" s="33"/>
      <c r="BI211" s="33"/>
      <c r="BJ211" s="33"/>
      <c r="BK211" s="33"/>
      <c r="BL211" s="33"/>
      <c r="BM211" s="33"/>
      <c r="BN211" s="33"/>
      <c r="BO211" s="33"/>
      <c r="BP211" s="33"/>
      <c r="BQ211" s="33"/>
      <c r="BR211" s="33"/>
      <c r="BS211" s="33"/>
      <c r="BT211" s="33"/>
      <c r="BU211" s="33"/>
      <c r="BV211" s="33"/>
      <c r="BW211" s="33"/>
      <c r="BX211" s="33"/>
      <c r="BY211" s="33"/>
      <c r="BZ211" s="33"/>
      <c r="CA211" s="33"/>
      <c r="CB211" s="33"/>
      <c r="CC211" s="33"/>
      <c r="CD211" s="33"/>
      <c r="CE211" s="33"/>
      <c r="CF211" s="33"/>
      <c r="CG211" s="33"/>
      <c r="CH211" s="33"/>
      <c r="CI211" s="33"/>
      <c r="CJ211" s="33"/>
      <c r="CK211" s="33"/>
      <c r="CL211" s="33"/>
      <c r="CM211" s="33"/>
      <c r="CN211" s="33"/>
      <c r="CO211" s="33"/>
      <c r="CP211" s="33"/>
      <c r="CQ211" s="33"/>
      <c r="CR211" s="33"/>
      <c r="CS211" s="33"/>
      <c r="CT211" s="33"/>
      <c r="CU211" s="33"/>
      <c r="CV211" s="33"/>
      <c r="CW211" s="33"/>
      <c r="CX211" s="33"/>
      <c r="CY211" s="33"/>
      <c r="CZ211" s="33"/>
      <c r="DA211" s="33"/>
      <c r="DB211" s="33"/>
      <c r="DC211" s="33"/>
      <c r="DD211" s="33"/>
      <c r="DE211" s="33"/>
      <c r="DF211" s="33"/>
      <c r="DG211" s="33"/>
      <c r="DH211" s="33"/>
      <c r="DI211" s="33"/>
      <c r="DJ211" s="33"/>
      <c r="DK211" s="33"/>
      <c r="DL211" s="33"/>
      <c r="DM211" s="33"/>
      <c r="DN211" s="33"/>
      <c r="DO211" s="33"/>
      <c r="DP211" s="33"/>
      <c r="DQ211" s="33"/>
    </row>
    <row r="212" spans="1:121" ht="15" customHeight="1" thickBot="1">
      <c r="B212" s="168" t="s">
        <v>0</v>
      </c>
      <c r="C212" s="168" t="s">
        <v>1</v>
      </c>
      <c r="D212" s="218" t="s">
        <v>58</v>
      </c>
      <c r="E212" s="219"/>
      <c r="F212" s="220"/>
      <c r="G212" s="218" t="s">
        <v>104</v>
      </c>
      <c r="H212" s="219"/>
      <c r="I212" s="220"/>
      <c r="J212" s="218" t="s">
        <v>55</v>
      </c>
      <c r="K212" s="219"/>
      <c r="L212" s="220"/>
      <c r="M212" s="218" t="s">
        <v>113</v>
      </c>
      <c r="N212" s="219"/>
      <c r="O212" s="220"/>
      <c r="P212" s="218" t="s">
        <v>64</v>
      </c>
      <c r="Q212" s="219"/>
      <c r="R212" s="220"/>
      <c r="S212" s="218" t="s">
        <v>67</v>
      </c>
      <c r="T212" s="219"/>
      <c r="U212" s="220"/>
      <c r="V212" s="218" t="s">
        <v>68</v>
      </c>
      <c r="W212" s="219"/>
      <c r="X212" s="220"/>
      <c r="Y212" s="297" t="s">
        <v>125</v>
      </c>
      <c r="Z212" s="298"/>
      <c r="AA212" s="299"/>
      <c r="AB212" s="218" t="s">
        <v>74</v>
      </c>
      <c r="AC212" s="219"/>
      <c r="AD212" s="220"/>
      <c r="AE212" s="303" t="s">
        <v>62</v>
      </c>
      <c r="AF212" s="303"/>
      <c r="AG212" s="304"/>
      <c r="AH212" s="218" t="s">
        <v>54</v>
      </c>
      <c r="AI212" s="219"/>
      <c r="AJ212" s="220"/>
      <c r="AK212" s="218" t="s">
        <v>63</v>
      </c>
      <c r="AL212" s="219"/>
      <c r="AM212" s="220"/>
      <c r="AN212" s="168" t="s">
        <v>0</v>
      </c>
      <c r="AO212" s="168" t="s">
        <v>1</v>
      </c>
      <c r="AQ212" s="33"/>
      <c r="AR212" s="33"/>
      <c r="AS212" s="33"/>
      <c r="AT212" s="33"/>
      <c r="AU212" s="33"/>
      <c r="AV212" s="33"/>
      <c r="AW212" s="33"/>
      <c r="AX212" s="33"/>
      <c r="AY212" s="33"/>
      <c r="AZ212" s="33"/>
      <c r="BA212" s="33"/>
      <c r="BB212" s="33"/>
      <c r="BC212" s="33"/>
      <c r="BD212" s="33"/>
      <c r="BE212" s="33"/>
      <c r="BF212" s="33"/>
      <c r="BG212" s="33"/>
      <c r="BH212" s="33"/>
      <c r="BI212" s="33"/>
      <c r="BJ212" s="33"/>
      <c r="BK212" s="33"/>
      <c r="BL212" s="33"/>
      <c r="BM212" s="33"/>
      <c r="BN212" s="33"/>
      <c r="BO212" s="33"/>
      <c r="BP212" s="33"/>
      <c r="BQ212" s="33"/>
      <c r="BR212" s="33"/>
      <c r="BS212" s="33"/>
      <c r="BT212" s="33"/>
      <c r="BU212" s="33"/>
      <c r="BV212" s="33"/>
      <c r="BW212" s="33"/>
      <c r="BX212" s="33"/>
      <c r="BY212" s="33"/>
      <c r="BZ212" s="33"/>
      <c r="CA212" s="33"/>
      <c r="CB212" s="33"/>
      <c r="CC212" s="33"/>
      <c r="CD212" s="33"/>
      <c r="CE212" s="33"/>
      <c r="CF212" s="33"/>
      <c r="CG212" s="33"/>
      <c r="CH212" s="33"/>
      <c r="CI212" s="33"/>
      <c r="CJ212" s="33"/>
      <c r="CK212" s="33"/>
      <c r="CL212" s="33"/>
      <c r="CM212" s="33"/>
      <c r="CN212" s="33"/>
      <c r="CO212" s="33"/>
      <c r="CP212" s="33"/>
      <c r="CQ212" s="33"/>
      <c r="CR212" s="33"/>
      <c r="CS212" s="33"/>
      <c r="CT212" s="33"/>
      <c r="CU212" s="33"/>
      <c r="CV212" s="33"/>
      <c r="CW212" s="33"/>
      <c r="CX212" s="33"/>
      <c r="CY212" s="33"/>
      <c r="CZ212" s="33"/>
      <c r="DA212" s="33"/>
      <c r="DB212" s="33"/>
      <c r="DC212" s="33"/>
      <c r="DD212" s="33"/>
      <c r="DE212" s="33"/>
      <c r="DF212" s="33"/>
      <c r="DG212" s="33"/>
      <c r="DH212" s="33"/>
      <c r="DI212" s="33"/>
      <c r="DJ212" s="33"/>
      <c r="DK212" s="33"/>
      <c r="DL212" s="33"/>
      <c r="DM212" s="33"/>
      <c r="DN212" s="33"/>
      <c r="DO212" s="33"/>
      <c r="DP212" s="33"/>
      <c r="DQ212" s="33"/>
    </row>
    <row r="213" spans="1:121" ht="15" customHeight="1" thickBot="1">
      <c r="B213" s="168"/>
      <c r="C213" s="168"/>
      <c r="D213" s="221"/>
      <c r="E213" s="222"/>
      <c r="F213" s="223"/>
      <c r="G213" s="221"/>
      <c r="H213" s="222"/>
      <c r="I213" s="223"/>
      <c r="J213" s="221"/>
      <c r="K213" s="222"/>
      <c r="L213" s="223"/>
      <c r="M213" s="221"/>
      <c r="N213" s="222"/>
      <c r="O213" s="223"/>
      <c r="P213" s="221"/>
      <c r="Q213" s="222"/>
      <c r="R213" s="223"/>
      <c r="S213" s="221"/>
      <c r="T213" s="222"/>
      <c r="U213" s="223"/>
      <c r="V213" s="221"/>
      <c r="W213" s="222"/>
      <c r="X213" s="223"/>
      <c r="Y213" s="300"/>
      <c r="Z213" s="301"/>
      <c r="AA213" s="302"/>
      <c r="AB213" s="221"/>
      <c r="AC213" s="222"/>
      <c r="AD213" s="223"/>
      <c r="AE213" s="305"/>
      <c r="AF213" s="305"/>
      <c r="AG213" s="306"/>
      <c r="AH213" s="221"/>
      <c r="AI213" s="222"/>
      <c r="AJ213" s="223"/>
      <c r="AK213" s="221"/>
      <c r="AL213" s="222"/>
      <c r="AM213" s="223"/>
      <c r="AN213" s="168"/>
      <c r="AO213" s="168"/>
      <c r="AQ213" s="33"/>
      <c r="AR213" s="33"/>
      <c r="AS213" s="33"/>
      <c r="AT213" s="33"/>
      <c r="AU213" s="33"/>
      <c r="AV213" s="33"/>
      <c r="AW213" s="33"/>
      <c r="AX213" s="33"/>
      <c r="AY213" s="33"/>
      <c r="AZ213" s="33"/>
      <c r="BA213" s="33"/>
      <c r="BB213" s="33"/>
      <c r="BC213" s="33"/>
      <c r="BD213" s="33"/>
      <c r="BE213" s="33"/>
      <c r="BF213" s="33"/>
      <c r="BG213" s="33"/>
      <c r="BH213" s="33"/>
      <c r="BI213" s="33"/>
      <c r="BJ213" s="33"/>
      <c r="BK213" s="33"/>
      <c r="BL213" s="33"/>
      <c r="BM213" s="33"/>
      <c r="BN213" s="33"/>
      <c r="BO213" s="33"/>
      <c r="BP213" s="33"/>
      <c r="BQ213" s="33"/>
      <c r="BR213" s="33"/>
      <c r="BS213" s="33"/>
      <c r="BT213" s="33"/>
      <c r="BU213" s="33"/>
      <c r="BV213" s="33"/>
      <c r="BW213" s="33"/>
      <c r="BX213" s="33"/>
      <c r="BY213" s="33"/>
      <c r="BZ213" s="33"/>
      <c r="CA213" s="33"/>
      <c r="CB213" s="33"/>
      <c r="CC213" s="33"/>
      <c r="CD213" s="33"/>
      <c r="CE213" s="33"/>
      <c r="CF213" s="33"/>
      <c r="CG213" s="33"/>
      <c r="CH213" s="33"/>
      <c r="CI213" s="33"/>
      <c r="CJ213" s="33"/>
      <c r="CK213" s="33"/>
      <c r="CL213" s="33"/>
      <c r="CM213" s="33"/>
      <c r="CN213" s="33"/>
      <c r="CO213" s="33"/>
      <c r="CP213" s="33"/>
      <c r="CQ213" s="33"/>
      <c r="CR213" s="33"/>
      <c r="CS213" s="33"/>
      <c r="CT213" s="33"/>
      <c r="CU213" s="33"/>
      <c r="CV213" s="33"/>
      <c r="CW213" s="33"/>
      <c r="CX213" s="33"/>
      <c r="CY213" s="33"/>
      <c r="CZ213" s="33"/>
      <c r="DA213" s="33"/>
      <c r="DB213" s="33"/>
      <c r="DC213" s="33"/>
      <c r="DD213" s="33"/>
      <c r="DE213" s="33"/>
      <c r="DF213" s="33"/>
      <c r="DG213" s="33"/>
      <c r="DH213" s="33"/>
      <c r="DI213" s="33"/>
      <c r="DJ213" s="33"/>
      <c r="DK213" s="33"/>
      <c r="DL213" s="33"/>
      <c r="DM213" s="33"/>
      <c r="DN213" s="33"/>
      <c r="DO213" s="33"/>
      <c r="DP213" s="33"/>
      <c r="DQ213" s="33"/>
    </row>
    <row r="214" spans="1:121" ht="15" customHeight="1" thickBot="1">
      <c r="B214" s="168"/>
      <c r="C214" s="168"/>
      <c r="D214" s="224">
        <v>61</v>
      </c>
      <c r="E214" s="224"/>
      <c r="F214" s="225"/>
      <c r="G214" s="310">
        <v>62</v>
      </c>
      <c r="H214" s="310"/>
      <c r="I214" s="311"/>
      <c r="J214" s="307">
        <v>63</v>
      </c>
      <c r="K214" s="308"/>
      <c r="L214" s="309"/>
      <c r="M214" s="307">
        <v>64</v>
      </c>
      <c r="N214" s="308"/>
      <c r="O214" s="309"/>
      <c r="P214" s="307">
        <v>65</v>
      </c>
      <c r="Q214" s="308"/>
      <c r="R214" s="309"/>
      <c r="S214" s="307">
        <v>66</v>
      </c>
      <c r="T214" s="308"/>
      <c r="U214" s="309"/>
      <c r="V214" s="307">
        <v>67</v>
      </c>
      <c r="W214" s="308"/>
      <c r="X214" s="309"/>
      <c r="Y214" s="307">
        <v>68</v>
      </c>
      <c r="Z214" s="308"/>
      <c r="AA214" s="309"/>
      <c r="AB214" s="307">
        <v>69</v>
      </c>
      <c r="AC214" s="308"/>
      <c r="AD214" s="309"/>
      <c r="AE214" s="169">
        <v>70</v>
      </c>
      <c r="AF214" s="170"/>
      <c r="AG214" s="171"/>
      <c r="AH214" s="169">
        <v>71</v>
      </c>
      <c r="AI214" s="170"/>
      <c r="AJ214" s="171"/>
      <c r="AK214" s="169">
        <v>72</v>
      </c>
      <c r="AL214" s="170"/>
      <c r="AM214" s="171"/>
      <c r="AN214" s="168"/>
      <c r="AO214" s="168"/>
      <c r="AQ214" s="33"/>
      <c r="AR214" s="33"/>
      <c r="AS214" s="33"/>
      <c r="AT214" s="33"/>
      <c r="AU214" s="33"/>
      <c r="AV214" s="33"/>
      <c r="AW214" s="33"/>
      <c r="AX214" s="33"/>
      <c r="AY214" s="33"/>
      <c r="AZ214" s="33"/>
      <c r="BA214" s="33"/>
      <c r="BB214" s="33"/>
      <c r="BC214" s="33"/>
      <c r="BD214" s="33"/>
      <c r="BE214" s="33"/>
      <c r="BF214" s="33"/>
      <c r="BG214" s="33"/>
      <c r="BH214" s="33"/>
      <c r="BI214" s="33"/>
      <c r="BJ214" s="33"/>
      <c r="BK214" s="33"/>
      <c r="BL214" s="33"/>
      <c r="BM214" s="33"/>
      <c r="BN214" s="33"/>
      <c r="BO214" s="33"/>
      <c r="BP214" s="33"/>
      <c r="BQ214" s="33"/>
      <c r="BR214" s="33"/>
      <c r="BS214" s="33"/>
      <c r="BT214" s="33"/>
      <c r="BU214" s="33"/>
      <c r="BV214" s="33"/>
      <c r="BW214" s="33"/>
      <c r="BX214" s="33"/>
      <c r="BY214" s="33"/>
      <c r="BZ214" s="33"/>
      <c r="CA214" s="33"/>
      <c r="CB214" s="33"/>
      <c r="CC214" s="33"/>
      <c r="CD214" s="33"/>
      <c r="CE214" s="33"/>
      <c r="CF214" s="33"/>
      <c r="CG214" s="33"/>
      <c r="CH214" s="33"/>
      <c r="CI214" s="33"/>
      <c r="CJ214" s="33"/>
      <c r="CK214" s="33"/>
      <c r="CL214" s="33"/>
      <c r="CM214" s="33"/>
      <c r="CN214" s="33"/>
      <c r="CO214" s="33"/>
      <c r="CP214" s="33"/>
      <c r="CQ214" s="33"/>
      <c r="CR214" s="33"/>
      <c r="CS214" s="33"/>
      <c r="CT214" s="33"/>
      <c r="CU214" s="33"/>
      <c r="CV214" s="33"/>
      <c r="CW214" s="33"/>
      <c r="CX214" s="33"/>
      <c r="CY214" s="33"/>
      <c r="CZ214" s="33"/>
      <c r="DA214" s="33"/>
      <c r="DB214" s="33"/>
      <c r="DC214" s="33"/>
      <c r="DD214" s="33"/>
      <c r="DE214" s="33"/>
      <c r="DF214" s="33"/>
      <c r="DG214" s="33"/>
      <c r="DH214" s="33"/>
      <c r="DI214" s="33"/>
      <c r="DJ214" s="33"/>
      <c r="DK214" s="33"/>
      <c r="DL214" s="33"/>
      <c r="DM214" s="33"/>
      <c r="DN214" s="33"/>
      <c r="DO214" s="33"/>
      <c r="DP214" s="33"/>
      <c r="DQ214" s="33"/>
    </row>
    <row r="215" spans="1:121" ht="15" customHeight="1" thickBot="1">
      <c r="B215" s="168"/>
      <c r="C215" s="168"/>
      <c r="D215" s="2"/>
      <c r="E215" s="3"/>
      <c r="F215" s="4"/>
      <c r="G215" s="2"/>
      <c r="H215" s="3"/>
      <c r="I215" s="4"/>
      <c r="J215" s="2"/>
      <c r="K215" s="3"/>
      <c r="L215" s="4"/>
      <c r="M215" s="5"/>
      <c r="N215" s="6"/>
      <c r="O215" s="7"/>
      <c r="P215" s="2"/>
      <c r="Q215" s="3"/>
      <c r="R215" s="4"/>
      <c r="S215" s="2"/>
      <c r="T215" s="3"/>
      <c r="U215" s="4"/>
      <c r="V215" s="5"/>
      <c r="W215" s="6"/>
      <c r="X215" s="7"/>
      <c r="Y215" s="2"/>
      <c r="Z215" s="3"/>
      <c r="AA215" s="4"/>
      <c r="AB215" s="2"/>
      <c r="AC215" s="3"/>
      <c r="AD215" s="4"/>
      <c r="AE215" s="5"/>
      <c r="AF215" s="6"/>
      <c r="AG215" s="7"/>
      <c r="AH215" s="5"/>
      <c r="AI215" s="6"/>
      <c r="AJ215" s="7"/>
      <c r="AK215" s="2"/>
      <c r="AL215" s="3"/>
      <c r="AM215" s="4"/>
      <c r="AN215" s="168"/>
      <c r="AO215" s="168"/>
      <c r="AQ215" s="33"/>
      <c r="AR215" s="33"/>
      <c r="AS215" s="33"/>
      <c r="AT215" s="33"/>
      <c r="AU215" s="33"/>
      <c r="AV215" s="33"/>
      <c r="AW215" s="33"/>
      <c r="AX215" s="33"/>
      <c r="AY215" s="33"/>
      <c r="AZ215" s="33"/>
      <c r="BA215" s="33"/>
      <c r="BB215" s="33"/>
      <c r="BC215" s="33"/>
      <c r="BD215" s="33"/>
      <c r="BE215" s="33"/>
      <c r="BF215" s="33"/>
      <c r="BG215" s="33"/>
      <c r="BH215" s="33"/>
      <c r="BI215" s="33"/>
      <c r="BJ215" s="33"/>
      <c r="BK215" s="33"/>
      <c r="BL215" s="33"/>
      <c r="BM215" s="33"/>
      <c r="BN215" s="33"/>
      <c r="BO215" s="33"/>
      <c r="BP215" s="33"/>
      <c r="BQ215" s="33"/>
      <c r="BR215" s="33"/>
      <c r="BS215" s="33"/>
      <c r="BT215" s="33"/>
      <c r="BU215" s="33"/>
      <c r="BV215" s="33"/>
      <c r="BW215" s="33"/>
      <c r="BX215" s="33"/>
      <c r="BY215" s="33"/>
      <c r="BZ215" s="33"/>
      <c r="CA215" s="33"/>
      <c r="CB215" s="33"/>
      <c r="CC215" s="33"/>
      <c r="CD215" s="33"/>
      <c r="CE215" s="33"/>
      <c r="CF215" s="33"/>
      <c r="CG215" s="33"/>
      <c r="CH215" s="33"/>
      <c r="CI215" s="33"/>
      <c r="CJ215" s="33"/>
      <c r="CK215" s="33"/>
      <c r="CL215" s="33"/>
      <c r="CM215" s="33"/>
      <c r="CN215" s="33"/>
      <c r="CO215" s="33"/>
      <c r="CP215" s="33"/>
      <c r="CQ215" s="33"/>
      <c r="CR215" s="33"/>
      <c r="CS215" s="33"/>
      <c r="CT215" s="33"/>
      <c r="CU215" s="33"/>
      <c r="CV215" s="33"/>
      <c r="CW215" s="33"/>
      <c r="CX215" s="33"/>
      <c r="CY215" s="33"/>
      <c r="CZ215" s="33"/>
      <c r="DA215" s="33"/>
      <c r="DB215" s="33"/>
      <c r="DC215" s="33"/>
      <c r="DD215" s="33"/>
      <c r="DE215" s="33"/>
      <c r="DF215" s="33"/>
      <c r="DG215" s="33"/>
      <c r="DH215" s="33"/>
      <c r="DI215" s="33"/>
      <c r="DJ215" s="33"/>
      <c r="DK215" s="33"/>
      <c r="DL215" s="33"/>
      <c r="DM215" s="33"/>
      <c r="DN215" s="33"/>
      <c r="DO215" s="33"/>
      <c r="DP215" s="33"/>
      <c r="DQ215" s="33"/>
    </row>
    <row r="216" spans="1:121" ht="15" customHeight="1" thickBot="1">
      <c r="B216" s="1"/>
      <c r="C216" s="44"/>
      <c r="D216" s="162">
        <f>SUM(F217:F248)</f>
        <v>1.9583333333333333</v>
      </c>
      <c r="E216" s="163"/>
      <c r="F216" s="163"/>
      <c r="G216" s="162">
        <f t="shared" ref="G216" si="215">SUM(I217:I248)</f>
        <v>3.375</v>
      </c>
      <c r="H216" s="163"/>
      <c r="I216" s="163"/>
      <c r="J216" s="162">
        <f t="shared" ref="J216" si="216">SUM(L217:L248)</f>
        <v>5.9583333333333339</v>
      </c>
      <c r="K216" s="163"/>
      <c r="L216" s="163"/>
      <c r="M216" s="162">
        <f t="shared" ref="M216" si="217">SUM(O217:O248)</f>
        <v>5.75</v>
      </c>
      <c r="N216" s="163"/>
      <c r="O216" s="163"/>
      <c r="P216" s="162">
        <f t="shared" ref="P216" si="218">SUM(R217:R248)</f>
        <v>7.1041666666666661</v>
      </c>
      <c r="Q216" s="163"/>
      <c r="R216" s="163"/>
      <c r="S216" s="162">
        <f t="shared" ref="S216" si="219">SUM(U217:U248)</f>
        <v>7.520833333333333</v>
      </c>
      <c r="T216" s="163"/>
      <c r="U216" s="163"/>
      <c r="V216" s="162">
        <f t="shared" ref="V216" si="220">SUM(X217:X248)</f>
        <v>4.3125</v>
      </c>
      <c r="W216" s="163"/>
      <c r="X216" s="163"/>
      <c r="Y216" s="162">
        <f t="shared" ref="Y216" si="221">SUM(AA217:AA248)</f>
        <v>7.125</v>
      </c>
      <c r="Z216" s="163"/>
      <c r="AA216" s="163"/>
      <c r="AB216" s="162">
        <f t="shared" ref="AB216" si="222">SUM(AD217:AD248)</f>
        <v>4.9166666666666661</v>
      </c>
      <c r="AC216" s="163"/>
      <c r="AD216" s="163"/>
      <c r="AE216" s="162">
        <f t="shared" ref="AE216" si="223">SUM(AG217:AG248)</f>
        <v>2.5</v>
      </c>
      <c r="AF216" s="163"/>
      <c r="AG216" s="163"/>
      <c r="AH216" s="162">
        <f t="shared" ref="AH216" si="224">SUM(AJ217:AJ248)</f>
        <v>2.25</v>
      </c>
      <c r="AI216" s="163"/>
      <c r="AJ216" s="163"/>
      <c r="AK216" s="162">
        <f t="shared" ref="AK216" si="225">SUM(AM217:AM248)</f>
        <v>2</v>
      </c>
      <c r="AL216" s="163"/>
      <c r="AM216" s="163"/>
      <c r="AN216" s="8"/>
      <c r="AO216" s="45"/>
      <c r="AP216" s="19">
        <f>SUM(D216:AO216)</f>
        <v>54.770833333333336</v>
      </c>
      <c r="AQ216" s="33"/>
      <c r="AR216" s="33"/>
      <c r="AS216" s="33"/>
      <c r="AT216" s="33"/>
      <c r="AU216" s="33"/>
      <c r="AV216" s="33"/>
      <c r="AW216" s="33"/>
      <c r="AX216" s="33"/>
      <c r="AY216" s="33"/>
      <c r="AZ216" s="33"/>
      <c r="BA216" s="33"/>
      <c r="BB216" s="33"/>
      <c r="BC216" s="33"/>
      <c r="BD216" s="33"/>
      <c r="BE216" s="33"/>
      <c r="BF216" s="33"/>
      <c r="BG216" s="33"/>
      <c r="BH216" s="33"/>
      <c r="BI216" s="33"/>
      <c r="BJ216" s="33"/>
      <c r="BK216" s="33"/>
      <c r="BL216" s="33"/>
      <c r="BM216" s="33"/>
      <c r="BN216" s="33"/>
      <c r="BO216" s="33"/>
      <c r="BP216" s="33"/>
      <c r="BQ216" s="33"/>
      <c r="BR216" s="33"/>
      <c r="BS216" s="33"/>
      <c r="BT216" s="33"/>
      <c r="BU216" s="33"/>
      <c r="BV216" s="33"/>
      <c r="BW216" s="33"/>
      <c r="BX216" s="33"/>
      <c r="BY216" s="33"/>
      <c r="BZ216" s="33"/>
      <c r="CA216" s="33"/>
      <c r="CB216" s="33"/>
      <c r="CC216" s="33"/>
      <c r="CD216" s="33"/>
      <c r="CE216" s="33"/>
      <c r="CF216" s="33"/>
      <c r="CG216" s="33"/>
      <c r="CH216" s="33"/>
      <c r="CI216" s="33"/>
      <c r="CJ216" s="33"/>
      <c r="CK216" s="33"/>
      <c r="CL216" s="33"/>
      <c r="CM216" s="33"/>
      <c r="CN216" s="33"/>
      <c r="CO216" s="33"/>
      <c r="CP216" s="33"/>
      <c r="CQ216" s="33"/>
      <c r="CR216" s="33"/>
      <c r="CS216" s="33"/>
      <c r="CT216" s="33"/>
      <c r="CU216" s="33"/>
      <c r="CV216" s="33"/>
      <c r="CW216" s="33"/>
      <c r="CX216" s="33"/>
      <c r="CY216" s="33"/>
      <c r="CZ216" s="33"/>
      <c r="DA216" s="33"/>
      <c r="DB216" s="33"/>
      <c r="DC216" s="33"/>
      <c r="DD216" s="33"/>
      <c r="DE216" s="33"/>
      <c r="DF216" s="33"/>
      <c r="DG216" s="33"/>
      <c r="DH216" s="33"/>
      <c r="DI216" s="33"/>
      <c r="DJ216" s="33"/>
      <c r="DK216" s="33"/>
      <c r="DL216" s="33"/>
      <c r="DM216" s="33"/>
      <c r="DN216" s="33"/>
      <c r="DO216" s="33"/>
      <c r="DP216" s="33"/>
      <c r="DQ216" s="33"/>
    </row>
    <row r="217" spans="1:121" ht="15" customHeight="1">
      <c r="B217" s="112">
        <v>1</v>
      </c>
      <c r="C217" s="113" t="s">
        <v>8</v>
      </c>
      <c r="D217" s="114" t="s">
        <v>111</v>
      </c>
      <c r="E217" s="115"/>
      <c r="F217" s="127">
        <f>(IF(D217="u",0.333333333,IF(D217="W",0,IF(D217="C",F217,IF(D217="op",F217,(E217-D217))))))</f>
        <v>0</v>
      </c>
      <c r="G217" s="114" t="s">
        <v>111</v>
      </c>
      <c r="H217" s="115"/>
      <c r="I217" s="127">
        <f>(IF(G217="u",0.333333333,IF(G217="W",0,IF(G217="C",I217,IF(G217="op",I217,(H217-G217))))))</f>
        <v>0</v>
      </c>
      <c r="J217" s="114" t="s">
        <v>111</v>
      </c>
      <c r="K217" s="115"/>
      <c r="L217" s="127">
        <f>(IF(J217="u",0.333333333,IF(J217="W",0,IF(J217="C",L217,IF(J217="op",L217,(K217-J217))))))</f>
        <v>0</v>
      </c>
      <c r="M217" s="114">
        <v>0.14583333333333334</v>
      </c>
      <c r="N217" s="115">
        <v>0.64583333333333337</v>
      </c>
      <c r="O217" s="127">
        <f>(IF(M217="u",0.333333333,IF(M217="W",0,IF(M217="C",O217,IF(M217="op",O217,(N217-M217))))))</f>
        <v>0.5</v>
      </c>
      <c r="P217" s="114" t="s">
        <v>111</v>
      </c>
      <c r="Q217" s="115"/>
      <c r="R217" s="127">
        <f>(IF(P217="u",0.333333333,IF(P217="W",0,IF(P217="C",R217,IF(P217="op",R217,(Q217-P217))))))</f>
        <v>0</v>
      </c>
      <c r="S217" s="114" t="s">
        <v>111</v>
      </c>
      <c r="T217" s="115"/>
      <c r="U217" s="127">
        <f>(IF(S217="u",0.333333333,IF(S217="W",0,IF(S217="C",U217,IF(S217="op",U217,(T217-S217))))))</f>
        <v>0</v>
      </c>
      <c r="V217" s="114" t="s">
        <v>111</v>
      </c>
      <c r="W217" s="115"/>
      <c r="X217" s="127">
        <f>(IF(V217="u",0.333333333,IF(V217="W",0,IF(V217="C",X217,IF(V217="op",X217,(W217-V217))))))</f>
        <v>0</v>
      </c>
      <c r="Y217" s="114">
        <v>0.14583333333333334</v>
      </c>
      <c r="Z217" s="115">
        <v>0.64583333333333337</v>
      </c>
      <c r="AA217" s="127">
        <f>(IF(Y217="u",0.333333333,IF(Y217="W",0,IF(Y217="C",AA217,IF(Y217="op",AA217,(Z217-Y217))))))</f>
        <v>0.5</v>
      </c>
      <c r="AB217" s="114" t="s">
        <v>111</v>
      </c>
      <c r="AC217" s="115"/>
      <c r="AD217" s="127">
        <f>(IF(AB217="u",0.333333333,IF(AB217="W",0,IF(AB217="C",AD217,IF(AB217="op",AD217,(AC217-AB217))))))</f>
        <v>0</v>
      </c>
      <c r="AE217" s="114" t="s">
        <v>111</v>
      </c>
      <c r="AF217" s="115"/>
      <c r="AG217" s="127">
        <f>(IF(AE217="u",0.333333333,IF(AE217="W",0,IF(AE217="C",AG217,IF(AE217="op",AG217,(AF217-AE217))))))</f>
        <v>0</v>
      </c>
      <c r="AH217" s="114" t="s">
        <v>111</v>
      </c>
      <c r="AI217" s="115"/>
      <c r="AJ217" s="127">
        <f>(IF(AH217="u",0.333333333,IF(AH217="W",0,IF(AH217="C",AJ217,IF(AH217="op",AJ217,(AI217-AH217))))))</f>
        <v>0</v>
      </c>
      <c r="AK217" s="114" t="s">
        <v>111</v>
      </c>
      <c r="AL217" s="115"/>
      <c r="AM217" s="127">
        <f>(IF(AK217="u",0.333333333,IF(AK217="W",0,IF(AK217="C",AM217,IF(AK217="op",AM217,(AL217-AK217))))))</f>
        <v>0</v>
      </c>
      <c r="AN217" s="112">
        <v>1</v>
      </c>
      <c r="AO217" s="113" t="s">
        <v>8</v>
      </c>
      <c r="AQ217" s="33"/>
      <c r="AR217" s="33"/>
      <c r="AS217" s="33"/>
      <c r="AT217" s="33"/>
      <c r="AU217" s="33"/>
      <c r="AV217" s="33"/>
      <c r="AW217" s="33"/>
      <c r="AX217" s="33"/>
      <c r="AY217" s="33"/>
      <c r="AZ217" s="33"/>
      <c r="BA217" s="33"/>
      <c r="BB217" s="33"/>
      <c r="BC217" s="33"/>
      <c r="BD217" s="33"/>
      <c r="BE217" s="33"/>
      <c r="BF217" s="33"/>
      <c r="BG217" s="33"/>
      <c r="BH217" s="33"/>
      <c r="BI217" s="33"/>
      <c r="BJ217" s="33"/>
      <c r="BK217" s="33"/>
      <c r="BL217" s="33"/>
      <c r="BM217" s="33"/>
      <c r="BN217" s="33"/>
      <c r="BO217" s="33"/>
      <c r="BP217" s="33"/>
      <c r="BQ217" s="33"/>
      <c r="BR217" s="33"/>
      <c r="BS217" s="33"/>
      <c r="BT217" s="33"/>
      <c r="BU217" s="33"/>
      <c r="BV217" s="33"/>
      <c r="BW217" s="33"/>
      <c r="BX217" s="33"/>
      <c r="BY217" s="33"/>
      <c r="BZ217" s="33"/>
      <c r="CA217" s="33"/>
      <c r="CB217" s="33"/>
      <c r="CC217" s="33"/>
      <c r="CD217" s="33"/>
      <c r="CE217" s="33"/>
      <c r="CF217" s="33"/>
      <c r="CG217" s="33"/>
      <c r="CH217" s="33"/>
      <c r="CI217" s="33"/>
      <c r="CJ217" s="33"/>
      <c r="CK217" s="33"/>
      <c r="CL217" s="33"/>
      <c r="CM217" s="33"/>
      <c r="CN217" s="33"/>
      <c r="CO217" s="33"/>
      <c r="CP217" s="33"/>
      <c r="CQ217" s="33"/>
      <c r="CR217" s="33"/>
      <c r="CS217" s="33"/>
      <c r="CT217" s="33"/>
      <c r="CU217" s="33"/>
      <c r="CV217" s="33"/>
      <c r="CW217" s="33"/>
      <c r="CX217" s="33"/>
      <c r="CY217" s="33"/>
      <c r="CZ217" s="33"/>
      <c r="DA217" s="33"/>
      <c r="DB217" s="33"/>
      <c r="DC217" s="33"/>
      <c r="DD217" s="33"/>
      <c r="DE217" s="33"/>
      <c r="DF217" s="33"/>
      <c r="DG217" s="33"/>
      <c r="DH217" s="33"/>
      <c r="DI217" s="33"/>
      <c r="DJ217" s="33"/>
      <c r="DK217" s="33"/>
      <c r="DL217" s="33"/>
      <c r="DM217" s="33"/>
      <c r="DN217" s="33"/>
      <c r="DO217" s="33"/>
      <c r="DP217" s="33"/>
      <c r="DQ217" s="33"/>
    </row>
    <row r="218" spans="1:121" ht="15" customHeight="1">
      <c r="B218" s="118">
        <v>2</v>
      </c>
      <c r="C218" s="113" t="s">
        <v>12</v>
      </c>
      <c r="D218" s="119" t="s">
        <v>111</v>
      </c>
      <c r="E218" s="120"/>
      <c r="F218" s="128">
        <f>(IF(D218="u",0.333333333,IF(D218="W",0,IF(D218="C",F218,IF(D218="op",F218,(E218-D218))))))</f>
        <v>0</v>
      </c>
      <c r="G218" s="119" t="s">
        <v>111</v>
      </c>
      <c r="H218" s="120"/>
      <c r="I218" s="128">
        <f>(IF(G218="u",0.333333333,IF(G218="W",0,IF(G218="C",I218,IF(G218="op",I218,(H218-G218))))))</f>
        <v>0</v>
      </c>
      <c r="J218" s="119">
        <v>0.125</v>
      </c>
      <c r="K218" s="120">
        <v>0.58333333333333337</v>
      </c>
      <c r="L218" s="128">
        <f>(IF(J218="u",0.333333333,IF(J218="W",0,IF(J218="C",L218,IF(J218="op",L218,(K218-J218))))))</f>
        <v>0.45833333333333337</v>
      </c>
      <c r="M218" s="119"/>
      <c r="N218" s="120"/>
      <c r="O218" s="128">
        <f>(IF(M218="u",0.333333333,IF(M218="W",0,IF(M218="C",O218,IF(M218="op",O218,(N218-M218))))))</f>
        <v>0</v>
      </c>
      <c r="P218" s="119" t="s">
        <v>111</v>
      </c>
      <c r="Q218" s="120"/>
      <c r="R218" s="128">
        <f>(IF(P218="u",0.333333333,IF(P218="W",0,IF(P218="C",R218,IF(P218="op",R218,(Q218-P218))))))</f>
        <v>0</v>
      </c>
      <c r="S218" s="119" t="s">
        <v>111</v>
      </c>
      <c r="T218" s="120"/>
      <c r="U218" s="128">
        <f>(IF(S218="u",0.333333333,IF(S218="W",0,IF(S218="C",U218,IF(S218="op",U218,(T218-S218))))))</f>
        <v>0</v>
      </c>
      <c r="V218" s="119">
        <v>0.125</v>
      </c>
      <c r="W218" s="120">
        <v>0.625</v>
      </c>
      <c r="X218" s="128">
        <f>(IF(V218="u",0.333333333,IF(V218="W",0,IF(V218="C",X218,IF(V218="op",X218,(W218-V218))))))</f>
        <v>0.5</v>
      </c>
      <c r="Y218" s="119"/>
      <c r="Z218" s="120"/>
      <c r="AA218" s="128">
        <f>(IF(Y218="u",0.333333333,IF(Y218="W",0,IF(Y218="C",AA218,IF(Y218="op",AA218,(Z218-Y218))))))</f>
        <v>0</v>
      </c>
      <c r="AB218" s="119" t="s">
        <v>111</v>
      </c>
      <c r="AC218" s="120"/>
      <c r="AD218" s="128">
        <f>(IF(AB218="u",0.333333333,IF(AB218="W",0,IF(AB218="C",AD218,IF(AB218="op",AD218,(AC218-AB218))))))</f>
        <v>0</v>
      </c>
      <c r="AE218" s="119" t="s">
        <v>111</v>
      </c>
      <c r="AF218" s="120"/>
      <c r="AG218" s="128">
        <f>(IF(AE218="u",0.333333333,IF(AE218="W",0,IF(AE218="C",AG218,IF(AE218="op",AG218,(AF218-AE218))))))</f>
        <v>0</v>
      </c>
      <c r="AH218" s="119" t="s">
        <v>111</v>
      </c>
      <c r="AI218" s="120"/>
      <c r="AJ218" s="128">
        <f>(IF(AH218="u",0.333333333,IF(AH218="W",0,IF(AH218="C",AJ218,IF(AH218="op",AJ218,(AI218-AH218))))))</f>
        <v>0</v>
      </c>
      <c r="AK218" s="119">
        <v>0.66666666666666663</v>
      </c>
      <c r="AL218" s="120">
        <v>1.1666666666666667</v>
      </c>
      <c r="AM218" s="128">
        <f>(IF(AK218="u",0.333333333,IF(AK218="W",0,IF(AK218="C",AM218,IF(AK218="op",AM218,(AL218-AK218))))))</f>
        <v>0.50000000000000011</v>
      </c>
      <c r="AN218" s="118">
        <v>2</v>
      </c>
      <c r="AO218" s="113" t="s">
        <v>12</v>
      </c>
      <c r="AP218" s="33"/>
      <c r="AQ218" s="33"/>
      <c r="AR218" s="33"/>
      <c r="AS218" s="33"/>
      <c r="AT218" s="33"/>
      <c r="AU218" s="33"/>
      <c r="AV218" s="33"/>
      <c r="AW218" s="33"/>
      <c r="AX218" s="33"/>
      <c r="AY218" s="33"/>
      <c r="AZ218" s="33"/>
      <c r="BA218" s="33"/>
      <c r="BB218" s="33"/>
      <c r="BC218" s="33"/>
      <c r="BD218" s="33"/>
      <c r="BE218" s="33"/>
      <c r="BF218" s="33"/>
      <c r="BG218" s="33"/>
      <c r="BH218" s="33"/>
      <c r="BI218" s="33"/>
      <c r="BJ218" s="33"/>
      <c r="BK218" s="33"/>
      <c r="BL218" s="33"/>
      <c r="BM218" s="33"/>
      <c r="BN218" s="33"/>
      <c r="BO218" s="33"/>
      <c r="BP218" s="33"/>
      <c r="BQ218" s="33"/>
      <c r="BR218" s="33"/>
      <c r="BS218" s="33"/>
      <c r="BT218" s="33"/>
      <c r="BU218" s="33"/>
      <c r="BV218" s="33"/>
      <c r="BW218" s="33"/>
      <c r="BX218" s="33"/>
      <c r="BY218" s="33"/>
      <c r="BZ218" s="33"/>
      <c r="CA218" s="33"/>
      <c r="CB218" s="33"/>
      <c r="CC218" s="33"/>
      <c r="CD218" s="33"/>
      <c r="CE218" s="33"/>
      <c r="CF218" s="33"/>
      <c r="CG218" s="33"/>
      <c r="CH218" s="33"/>
      <c r="CI218" s="33"/>
      <c r="CJ218" s="33"/>
      <c r="CK218" s="33"/>
      <c r="CL218" s="33"/>
      <c r="CM218" s="33"/>
      <c r="CN218" s="33"/>
      <c r="CO218" s="33"/>
      <c r="CP218" s="33"/>
      <c r="CQ218" s="33"/>
      <c r="CR218" s="33"/>
      <c r="CS218" s="33"/>
      <c r="CT218" s="33"/>
      <c r="CU218" s="33"/>
      <c r="CV218" s="33"/>
      <c r="CW218" s="33"/>
      <c r="CX218" s="33"/>
      <c r="CY218" s="33"/>
      <c r="CZ218" s="33"/>
      <c r="DA218" s="33"/>
      <c r="DB218" s="33"/>
      <c r="DC218" s="33"/>
      <c r="DD218" s="33"/>
      <c r="DE218" s="33"/>
      <c r="DF218" s="33"/>
      <c r="DG218" s="33"/>
      <c r="DH218" s="33"/>
      <c r="DI218" s="33"/>
      <c r="DJ218" s="33"/>
      <c r="DK218" s="33"/>
      <c r="DL218" s="33"/>
      <c r="DM218" s="33"/>
      <c r="DN218" s="33"/>
      <c r="DO218" s="33"/>
      <c r="DP218" s="33"/>
      <c r="DQ218" s="33"/>
    </row>
    <row r="219" spans="1:121" ht="15" customHeight="1">
      <c r="B219" s="118">
        <v>3</v>
      </c>
      <c r="C219" s="113" t="s">
        <v>85</v>
      </c>
      <c r="D219" s="119" t="s">
        <v>111</v>
      </c>
      <c r="E219" s="120"/>
      <c r="F219" s="128">
        <f t="shared" ref="F219:F220" si="226">(IF(D219="u",0.333333333,IF(D219="W",0,IF(D219="C",F219,IF(D219="op",F219,(E219-D219))))))</f>
        <v>0</v>
      </c>
      <c r="G219" s="119">
        <v>0.125</v>
      </c>
      <c r="H219" s="120">
        <v>0.54166666666666663</v>
      </c>
      <c r="I219" s="128">
        <f t="shared" ref="I219:I220" si="227">(IF(G219="u",0.333333333,IF(G219="W",0,IF(G219="C",I219,IF(G219="op",I219,(H219-G219))))))</f>
        <v>0.41666666666666663</v>
      </c>
      <c r="J219" s="119">
        <v>0.16666666666666666</v>
      </c>
      <c r="K219" s="120">
        <v>0.66666666666666663</v>
      </c>
      <c r="L219" s="128">
        <f t="shared" ref="L219:L220" si="228">(IF(J219="u",0.333333333,IF(J219="W",0,IF(J219="C",L219,IF(J219="op",L219,(K219-J219))))))</f>
        <v>0.5</v>
      </c>
      <c r="M219" s="119">
        <v>0.16666666666666666</v>
      </c>
      <c r="N219" s="120">
        <v>0.66666666666666663</v>
      </c>
      <c r="O219" s="128">
        <f t="shared" ref="O219:O220" si="229">(IF(M219="u",0.333333333,IF(M219="W",0,IF(M219="C",O219,IF(M219="op",O219,(N219-M219))))))</f>
        <v>0.5</v>
      </c>
      <c r="P219" s="119" t="s">
        <v>111</v>
      </c>
      <c r="Q219" s="120"/>
      <c r="R219" s="128">
        <f t="shared" ref="R219:R220" si="230">(IF(P219="u",0.333333333,IF(P219="W",0,IF(P219="C",R219,IF(P219="op",R219,(Q219-P219))))))</f>
        <v>0</v>
      </c>
      <c r="S219" s="119" t="s">
        <v>111</v>
      </c>
      <c r="T219" s="120"/>
      <c r="U219" s="128">
        <f t="shared" ref="U219:U220" si="231">(IF(S219="u",0.333333333,IF(S219="W",0,IF(S219="C",U219,IF(S219="op",U219,(T219-S219))))))</f>
        <v>0</v>
      </c>
      <c r="V219" s="119">
        <v>0.625</v>
      </c>
      <c r="W219" s="120">
        <v>1.125</v>
      </c>
      <c r="X219" s="128">
        <f t="shared" ref="X219:X220" si="232">(IF(V219="u",0.333333333,IF(V219="W",0,IF(V219="C",X219,IF(V219="op",X219,(W219-V219))))))</f>
        <v>0.5</v>
      </c>
      <c r="Y219" s="119"/>
      <c r="Z219" s="120"/>
      <c r="AA219" s="128">
        <f t="shared" ref="AA219:AA220" si="233">(IF(Y219="u",0.333333333,IF(Y219="W",0,IF(Y219="C",AA219,IF(Y219="op",AA219,(Z219-Y219))))))</f>
        <v>0</v>
      </c>
      <c r="AB219" s="119" t="s">
        <v>111</v>
      </c>
      <c r="AC219" s="120"/>
      <c r="AD219" s="128">
        <f t="shared" ref="AD219:AD220" si="234">(IF(AB219="u",0.333333333,IF(AB219="W",0,IF(AB219="C",AD219,IF(AB219="op",AD219,(AC219-AB219))))))</f>
        <v>0</v>
      </c>
      <c r="AE219" s="119" t="s">
        <v>111</v>
      </c>
      <c r="AF219" s="120"/>
      <c r="AG219" s="128">
        <f t="shared" ref="AG219:AG220" si="235">(IF(AE219="u",0.333333333,IF(AE219="W",0,IF(AE219="C",AG219,IF(AE219="op",AG219,(AF219-AE219))))))</f>
        <v>0</v>
      </c>
      <c r="AH219" s="119" t="s">
        <v>111</v>
      </c>
      <c r="AI219" s="120"/>
      <c r="AJ219" s="128">
        <f t="shared" ref="AJ219:AJ220" si="236">(IF(AH219="u",0.333333333,IF(AH219="W",0,IF(AH219="C",AJ219,IF(AH219="op",AJ219,(AI219-AH219))))))</f>
        <v>0</v>
      </c>
      <c r="AK219" s="119" t="s">
        <v>111</v>
      </c>
      <c r="AL219" s="120"/>
      <c r="AM219" s="128">
        <f t="shared" ref="AM219:AM220" si="237">(IF(AK219="u",0.333333333,IF(AK219="W",0,IF(AK219="C",AM219,IF(AK219="op",AM219,(AL219-AK219))))))</f>
        <v>0</v>
      </c>
      <c r="AN219" s="118">
        <v>3</v>
      </c>
      <c r="AO219" s="113" t="s">
        <v>85</v>
      </c>
      <c r="AP219" s="54"/>
      <c r="AQ219" s="33"/>
      <c r="AR219" s="33"/>
      <c r="AS219" s="33"/>
      <c r="AT219" s="33"/>
      <c r="AU219" s="33"/>
      <c r="AV219" s="33"/>
      <c r="AW219" s="33"/>
      <c r="AX219" s="33"/>
      <c r="AY219" s="33"/>
      <c r="AZ219" s="33"/>
      <c r="BA219" s="33"/>
      <c r="BB219" s="33"/>
      <c r="BC219" s="33"/>
      <c r="BD219" s="33"/>
      <c r="BE219" s="33"/>
      <c r="BF219" s="33"/>
      <c r="BG219" s="33"/>
      <c r="BH219" s="33"/>
      <c r="BI219" s="33"/>
      <c r="BJ219" s="33"/>
      <c r="BK219" s="33"/>
      <c r="BL219" s="33"/>
      <c r="BM219" s="33"/>
      <c r="BN219" s="33"/>
      <c r="BO219" s="33"/>
      <c r="BP219" s="33"/>
      <c r="BQ219" s="33"/>
      <c r="BR219" s="33"/>
      <c r="BS219" s="33"/>
      <c r="BT219" s="33"/>
      <c r="BU219" s="33"/>
      <c r="BV219" s="33"/>
      <c r="BW219" s="33"/>
      <c r="BX219" s="33"/>
      <c r="BY219" s="33"/>
      <c r="BZ219" s="33"/>
      <c r="CA219" s="33"/>
      <c r="CB219" s="33"/>
      <c r="CC219" s="33"/>
      <c r="CD219" s="33"/>
      <c r="CE219" s="33"/>
      <c r="CF219" s="33"/>
      <c r="CG219" s="33"/>
      <c r="CH219" s="33"/>
      <c r="CI219" s="33"/>
      <c r="CJ219" s="33"/>
      <c r="CK219" s="33"/>
      <c r="CL219" s="33"/>
      <c r="CM219" s="33"/>
      <c r="CN219" s="33"/>
      <c r="CO219" s="33"/>
      <c r="CP219" s="33"/>
      <c r="CQ219" s="33"/>
      <c r="CR219" s="33"/>
      <c r="CS219" s="33"/>
      <c r="CT219" s="33"/>
      <c r="CU219" s="33"/>
      <c r="CV219" s="33"/>
      <c r="CW219" s="33"/>
      <c r="CX219" s="33"/>
      <c r="CY219" s="33"/>
      <c r="CZ219" s="33"/>
      <c r="DA219" s="33"/>
      <c r="DB219" s="33"/>
      <c r="DC219" s="33"/>
      <c r="DD219" s="33"/>
      <c r="DE219" s="33"/>
      <c r="DF219" s="33"/>
      <c r="DG219" s="33"/>
      <c r="DH219" s="33"/>
      <c r="DI219" s="33"/>
      <c r="DJ219" s="33"/>
      <c r="DK219" s="33"/>
      <c r="DL219" s="33"/>
      <c r="DM219" s="33"/>
      <c r="DN219" s="33"/>
      <c r="DO219" s="33"/>
      <c r="DP219" s="33"/>
      <c r="DQ219" s="33"/>
    </row>
    <row r="220" spans="1:121" ht="15" customHeight="1">
      <c r="A220" s="42"/>
      <c r="B220" s="118">
        <v>4</v>
      </c>
      <c r="C220" s="113" t="s">
        <v>4</v>
      </c>
      <c r="D220" s="119" t="s">
        <v>111</v>
      </c>
      <c r="E220" s="120"/>
      <c r="F220" s="128">
        <f t="shared" si="226"/>
        <v>0</v>
      </c>
      <c r="G220" s="119" t="s">
        <v>111</v>
      </c>
      <c r="H220" s="120"/>
      <c r="I220" s="128">
        <f t="shared" si="227"/>
        <v>0</v>
      </c>
      <c r="J220" s="119" t="s">
        <v>111</v>
      </c>
      <c r="K220" s="120"/>
      <c r="L220" s="128">
        <f t="shared" si="228"/>
        <v>0</v>
      </c>
      <c r="M220" s="119">
        <v>0.16666666666666666</v>
      </c>
      <c r="N220" s="120">
        <v>0.66666666666666663</v>
      </c>
      <c r="O220" s="128">
        <f t="shared" si="229"/>
        <v>0.5</v>
      </c>
      <c r="P220" s="119" t="s">
        <v>111</v>
      </c>
      <c r="Q220" s="120"/>
      <c r="R220" s="128">
        <f t="shared" si="230"/>
        <v>0</v>
      </c>
      <c r="S220" s="119" t="s">
        <v>111</v>
      </c>
      <c r="T220" s="120"/>
      <c r="U220" s="128">
        <f t="shared" si="231"/>
        <v>0</v>
      </c>
      <c r="V220" s="119" t="s">
        <v>111</v>
      </c>
      <c r="W220" s="120"/>
      <c r="X220" s="128">
        <f t="shared" si="232"/>
        <v>0</v>
      </c>
      <c r="Y220" s="119">
        <v>0.125</v>
      </c>
      <c r="Z220" s="120">
        <v>0.54166666666666663</v>
      </c>
      <c r="AA220" s="128">
        <f t="shared" si="233"/>
        <v>0.41666666666666663</v>
      </c>
      <c r="AB220" s="119">
        <v>0.16666666666666666</v>
      </c>
      <c r="AC220" s="120">
        <v>0.66666666666666663</v>
      </c>
      <c r="AD220" s="128">
        <f t="shared" si="234"/>
        <v>0.5</v>
      </c>
      <c r="AE220" s="119" t="s">
        <v>111</v>
      </c>
      <c r="AF220" s="120"/>
      <c r="AG220" s="128">
        <f t="shared" si="235"/>
        <v>0</v>
      </c>
      <c r="AH220" s="119" t="s">
        <v>111</v>
      </c>
      <c r="AI220" s="120"/>
      <c r="AJ220" s="128">
        <f t="shared" si="236"/>
        <v>0</v>
      </c>
      <c r="AK220" s="119" t="s">
        <v>111</v>
      </c>
      <c r="AL220" s="120"/>
      <c r="AM220" s="128">
        <f t="shared" si="237"/>
        <v>0</v>
      </c>
      <c r="AN220" s="118">
        <v>4</v>
      </c>
      <c r="AO220" s="113" t="s">
        <v>4</v>
      </c>
      <c r="AP220" s="33"/>
      <c r="AQ220" s="33"/>
      <c r="AR220" s="33"/>
      <c r="AS220" s="33"/>
      <c r="AT220" s="33"/>
      <c r="AU220" s="33"/>
      <c r="AV220" s="33"/>
      <c r="AW220" s="33"/>
      <c r="AX220" s="33"/>
      <c r="AY220" s="33"/>
      <c r="AZ220" s="33"/>
      <c r="BA220" s="33"/>
      <c r="BB220" s="33"/>
      <c r="BC220" s="33"/>
      <c r="BD220" s="33"/>
      <c r="BE220" s="33"/>
      <c r="BF220" s="33"/>
      <c r="BG220" s="33"/>
      <c r="BH220" s="33"/>
      <c r="BI220" s="33"/>
      <c r="BJ220" s="33"/>
      <c r="BK220" s="33"/>
      <c r="BL220" s="33"/>
      <c r="BM220" s="33"/>
      <c r="BN220" s="33"/>
      <c r="BO220" s="33"/>
      <c r="BP220" s="33"/>
      <c r="BQ220" s="33"/>
      <c r="BR220" s="33"/>
      <c r="BS220" s="33"/>
      <c r="BT220" s="33"/>
      <c r="BU220" s="33"/>
      <c r="BV220" s="33"/>
      <c r="BW220" s="33"/>
      <c r="BX220" s="33"/>
      <c r="BY220" s="33"/>
      <c r="BZ220" s="33"/>
      <c r="CA220" s="33"/>
      <c r="CB220" s="33"/>
      <c r="CC220" s="33"/>
      <c r="CD220" s="33"/>
      <c r="CE220" s="33"/>
      <c r="CF220" s="33"/>
      <c r="CG220" s="33"/>
      <c r="CH220" s="33"/>
      <c r="CI220" s="33"/>
      <c r="CJ220" s="33"/>
      <c r="CK220" s="33"/>
      <c r="CL220" s="33"/>
      <c r="CM220" s="33"/>
      <c r="CN220" s="33"/>
      <c r="CO220" s="33"/>
      <c r="CP220" s="33"/>
      <c r="CQ220" s="33"/>
      <c r="CR220" s="33"/>
      <c r="CS220" s="33"/>
      <c r="CT220" s="33"/>
      <c r="CU220" s="33"/>
      <c r="CV220" s="33"/>
      <c r="CW220" s="33"/>
      <c r="CX220" s="33"/>
      <c r="CY220" s="33"/>
      <c r="CZ220" s="33"/>
      <c r="DA220" s="33"/>
      <c r="DB220" s="33"/>
      <c r="DC220" s="33"/>
      <c r="DD220" s="33"/>
      <c r="DE220" s="33"/>
      <c r="DF220" s="33"/>
      <c r="DG220" s="33"/>
      <c r="DH220" s="33"/>
      <c r="DI220" s="33"/>
      <c r="DJ220" s="33"/>
      <c r="DK220" s="33"/>
      <c r="DL220" s="33"/>
      <c r="DM220" s="33"/>
      <c r="DN220" s="33"/>
      <c r="DO220" s="33"/>
      <c r="DP220" s="33"/>
      <c r="DQ220" s="33"/>
    </row>
    <row r="221" spans="1:121" ht="14.4">
      <c r="A221" s="42"/>
      <c r="B221" s="86">
        <v>5</v>
      </c>
      <c r="C221" s="87" t="s">
        <v>5</v>
      </c>
      <c r="D221" s="88" t="s">
        <v>111</v>
      </c>
      <c r="E221" s="89"/>
      <c r="F221" s="92">
        <f>(IF(D221="u",0.333333333,IF(D221="W",0,IF(D221="C",F221,IF(D221="op",F221,(E221-D221))))))</f>
        <v>0</v>
      </c>
      <c r="G221" s="88">
        <v>0.66666666666666663</v>
      </c>
      <c r="H221" s="89">
        <v>1.1666666666666667</v>
      </c>
      <c r="I221" s="92">
        <f>(IF(G221="u",0.333333333,IF(G221="W",0,IF(G221="C",I221,IF(G221="op",I221,(H221-G221))))))</f>
        <v>0.50000000000000011</v>
      </c>
      <c r="J221" s="88" t="s">
        <v>111</v>
      </c>
      <c r="K221" s="89"/>
      <c r="L221" s="92">
        <f>(IF(J221="u",0.333333333,IF(J221="W",0,IF(J221="C",L221,IF(J221="op",L221,(K221-J221))))))</f>
        <v>0</v>
      </c>
      <c r="M221" s="88"/>
      <c r="N221" s="89"/>
      <c r="O221" s="92">
        <f>(IF(M221="u",0.333333333,IF(M221="W",0,IF(M221="C",O221,IF(M221="op",O221,(N221-M221))))))</f>
        <v>0</v>
      </c>
      <c r="P221" s="88"/>
      <c r="Q221" s="89"/>
      <c r="R221" s="92">
        <f>(IF(P221="u",0.333333333,IF(P221="W",0,IF(P221="C",R221,IF(P221="op",R221,(Q221-P221))))))</f>
        <v>0</v>
      </c>
      <c r="S221" s="88">
        <v>0.66666666666666663</v>
      </c>
      <c r="T221" s="89">
        <v>1.1666666666666667</v>
      </c>
      <c r="U221" s="92">
        <f>(IF(S221="u",0.333333333,IF(S221="W",0,IF(S221="C",U221,IF(S221="op",U221,(T221-S221))))))</f>
        <v>0.50000000000000011</v>
      </c>
      <c r="V221" s="88" t="s">
        <v>111</v>
      </c>
      <c r="W221" s="89"/>
      <c r="X221" s="92">
        <f>(IF(V221="u",0.333333333,IF(V221="W",0,IF(V221="C",X221,IF(V221="op",X221,(W221-V221))))))</f>
        <v>0</v>
      </c>
      <c r="Y221" s="88"/>
      <c r="Z221" s="89"/>
      <c r="AA221" s="92">
        <f>(IF(Y221="u",0.333333333,IF(Y221="W",0,IF(Y221="C",AA221,IF(Y221="op",AA221,(Z221-Y221))))))</f>
        <v>0</v>
      </c>
      <c r="AB221" s="88">
        <v>0.66666666666666663</v>
      </c>
      <c r="AC221" s="89">
        <v>1.1666666666666667</v>
      </c>
      <c r="AD221" s="92">
        <f>(IF(AB221="u",0.333333333,IF(AB221="W",0,IF(AB221="C",AD221,IF(AB221="op",AD221,(AC221-AB221))))))</f>
        <v>0.50000000000000011</v>
      </c>
      <c r="AE221" s="88">
        <v>0.33333333333333331</v>
      </c>
      <c r="AF221" s="89">
        <v>0.83333333333333337</v>
      </c>
      <c r="AG221" s="92">
        <f>(IF(AE221="u",0.333333333,IF(AE221="W",0,IF(AE221="C",AG221,IF(AE221="op",AG221,(AF221-AE221))))))</f>
        <v>0.5</v>
      </c>
      <c r="AH221" s="88">
        <v>0.66666666666666663</v>
      </c>
      <c r="AI221" s="89">
        <v>1.1666666666666667</v>
      </c>
      <c r="AJ221" s="92">
        <f>(IF(AH221="u",0.333333333,IF(AH221="W",0,IF(AH221="C",AJ221,IF(AH221="op",AJ221,(AI221-AH221))))))</f>
        <v>0.50000000000000011</v>
      </c>
      <c r="AK221" s="88" t="s">
        <v>111</v>
      </c>
      <c r="AL221" s="89"/>
      <c r="AM221" s="92">
        <f>(IF(AK221="u",0.333333333,IF(AK221="W",0,IF(AK221="C",AM221,IF(AK221="op",AM221,(AL221-AK221))))))</f>
        <v>0</v>
      </c>
      <c r="AN221" s="86">
        <v>5</v>
      </c>
      <c r="AO221" s="87" t="s">
        <v>5</v>
      </c>
      <c r="AP221" s="33"/>
      <c r="AQ221" s="33"/>
      <c r="AR221" s="33"/>
      <c r="AS221" s="33"/>
      <c r="AT221" s="33"/>
      <c r="AU221" s="33"/>
      <c r="AV221" s="33"/>
      <c r="AW221" s="33"/>
      <c r="AX221" s="33"/>
      <c r="AY221" s="33"/>
      <c r="AZ221" s="33"/>
      <c r="BA221" s="33"/>
      <c r="BB221" s="33"/>
      <c r="BC221" s="33"/>
      <c r="BD221" s="33"/>
      <c r="BE221" s="33"/>
      <c r="BF221" s="33"/>
      <c r="BG221" s="33"/>
      <c r="BH221" s="33"/>
      <c r="BI221" s="33"/>
      <c r="BJ221" s="33"/>
      <c r="BK221" s="33"/>
      <c r="BL221" s="33"/>
      <c r="BM221" s="33"/>
      <c r="BN221" s="33"/>
      <c r="BO221" s="33"/>
      <c r="BP221" s="33"/>
      <c r="BQ221" s="33"/>
      <c r="BR221" s="33"/>
      <c r="BS221" s="33"/>
      <c r="BT221" s="33"/>
      <c r="BU221" s="33"/>
      <c r="BV221" s="33"/>
      <c r="BW221" s="33"/>
      <c r="BX221" s="33"/>
      <c r="BY221" s="33"/>
      <c r="BZ221" s="33"/>
      <c r="CA221" s="33"/>
      <c r="CB221" s="33"/>
      <c r="CC221" s="33"/>
      <c r="CD221" s="33"/>
      <c r="CE221" s="33"/>
      <c r="CF221" s="33"/>
      <c r="CG221" s="33"/>
      <c r="CH221" s="33"/>
      <c r="CI221" s="33"/>
      <c r="CJ221" s="33"/>
      <c r="CK221" s="33"/>
      <c r="CL221" s="33"/>
      <c r="CM221" s="33"/>
      <c r="CN221" s="33"/>
      <c r="CO221" s="33"/>
      <c r="CP221" s="33"/>
      <c r="CQ221" s="33"/>
      <c r="CR221" s="33"/>
      <c r="CS221" s="33"/>
      <c r="CT221" s="33"/>
      <c r="CU221" s="33"/>
      <c r="CV221" s="33"/>
      <c r="CW221" s="33"/>
      <c r="CX221" s="33"/>
      <c r="CY221" s="33"/>
      <c r="CZ221" s="33"/>
      <c r="DA221" s="33"/>
      <c r="DB221" s="33"/>
      <c r="DC221" s="33"/>
      <c r="DD221" s="33"/>
      <c r="DE221" s="33"/>
      <c r="DF221" s="33"/>
      <c r="DG221" s="33"/>
      <c r="DH221" s="33"/>
      <c r="DI221" s="33"/>
      <c r="DJ221" s="33"/>
      <c r="DK221" s="33"/>
      <c r="DL221" s="33"/>
      <c r="DM221" s="33"/>
      <c r="DN221" s="33"/>
      <c r="DO221" s="33"/>
      <c r="DP221" s="33"/>
      <c r="DQ221" s="33"/>
    </row>
    <row r="222" spans="1:121" s="40" customFormat="1" ht="15" customHeight="1">
      <c r="A222" s="42"/>
      <c r="B222" s="86">
        <v>6</v>
      </c>
      <c r="C222" s="87" t="s">
        <v>6</v>
      </c>
      <c r="D222" s="88" t="s">
        <v>111</v>
      </c>
      <c r="E222" s="89"/>
      <c r="F222" s="92">
        <f t="shared" ref="F222:F230" si="238">(IF(D222="u",0.333333333,IF(D222="W",0,IF(D222="C",F222,IF(D222="op",F222,(E222-D222))))))</f>
        <v>0</v>
      </c>
      <c r="G222" s="88" t="s">
        <v>111</v>
      </c>
      <c r="H222" s="89"/>
      <c r="I222" s="92">
        <f t="shared" ref="I222:I230" si="239">(IF(G222="u",0.333333333,IF(G222="W",0,IF(G222="C",I222,IF(G222="op",I222,(H222-G222))))))</f>
        <v>0</v>
      </c>
      <c r="J222" s="88" t="s">
        <v>111</v>
      </c>
      <c r="K222" s="89"/>
      <c r="L222" s="92">
        <f t="shared" ref="L222:L230" si="240">(IF(J222="u",0.333333333,IF(J222="W",0,IF(J222="C",L222,IF(J222="op",L222,(K222-J222))))))</f>
        <v>0</v>
      </c>
      <c r="M222" s="88">
        <v>0.125</v>
      </c>
      <c r="N222" s="89">
        <v>0.54166666666666663</v>
      </c>
      <c r="O222" s="92">
        <f t="shared" ref="O222:O230" si="241">(IF(M222="u",0.333333333,IF(M222="W",0,IF(M222="C",O222,IF(M222="op",O222,(N222-M222))))))</f>
        <v>0.41666666666666663</v>
      </c>
      <c r="P222" s="88">
        <v>0.16666666666666666</v>
      </c>
      <c r="Q222" s="89">
        <v>0.66666666666666663</v>
      </c>
      <c r="R222" s="92">
        <f t="shared" ref="R222:R230" si="242">(IF(P222="u",0.333333333,IF(P222="W",0,IF(P222="C",R222,IF(P222="op",R222,(Q222-P222))))))</f>
        <v>0.5</v>
      </c>
      <c r="S222" s="88"/>
      <c r="T222" s="89"/>
      <c r="U222" s="92">
        <f t="shared" ref="U222:U230" si="243">(IF(S222="u",0.333333333,IF(S222="W",0,IF(S222="C",U222,IF(S222="op",U222,(T222-S222))))))</f>
        <v>0</v>
      </c>
      <c r="V222" s="88" t="s">
        <v>111</v>
      </c>
      <c r="W222" s="89"/>
      <c r="X222" s="92">
        <f t="shared" ref="X222:X230" si="244">(IF(V222="u",0.333333333,IF(V222="W",0,IF(V222="C",X222,IF(V222="op",X222,(W222-V222))))))</f>
        <v>0</v>
      </c>
      <c r="Y222" s="88">
        <v>0.16666666666666666</v>
      </c>
      <c r="Z222" s="89">
        <v>0.66666666666666663</v>
      </c>
      <c r="AA222" s="92">
        <f t="shared" ref="AA222:AA230" si="245">(IF(Y222="u",0.333333333,IF(Y222="W",0,IF(Y222="C",AA222,IF(Y222="op",AA222,(Z222-Y222))))))</f>
        <v>0.5</v>
      </c>
      <c r="AB222" s="88"/>
      <c r="AC222" s="89"/>
      <c r="AD222" s="92">
        <f t="shared" ref="AD222:AD230" si="246">(IF(AB222="u",0.333333333,IF(AB222="W",0,IF(AB222="C",AD222,IF(AB222="op",AD222,(AC222-AB222))))))</f>
        <v>0</v>
      </c>
      <c r="AE222" s="88">
        <v>0.33333333333333331</v>
      </c>
      <c r="AF222" s="89">
        <v>0.83333333333333337</v>
      </c>
      <c r="AG222" s="92">
        <f t="shared" ref="AG222:AG230" si="247">(IF(AE222="u",0.333333333,IF(AE222="W",0,IF(AE222="C",AG222,IF(AE222="op",AG222,(AF222-AE222))))))</f>
        <v>0.5</v>
      </c>
      <c r="AH222" s="88"/>
      <c r="AI222" s="89"/>
      <c r="AJ222" s="92">
        <f t="shared" ref="AJ222:AJ230" si="248">(IF(AH222="u",0.333333333,IF(AH222="W",0,IF(AH222="C",AJ222,IF(AH222="op",AJ222,(AI222-AH222))))))</f>
        <v>0</v>
      </c>
      <c r="AK222" s="88" t="s">
        <v>111</v>
      </c>
      <c r="AL222" s="89"/>
      <c r="AM222" s="92">
        <f t="shared" ref="AM222:AM230" si="249">(IF(AK222="u",0.333333333,IF(AK222="W",0,IF(AK222="C",AM222,IF(AK222="op",AM222,(AL222-AK222))))))</f>
        <v>0</v>
      </c>
      <c r="AN222" s="86">
        <v>6</v>
      </c>
      <c r="AO222" s="87" t="s">
        <v>6</v>
      </c>
      <c r="AP222" s="33"/>
      <c r="AQ222" s="33"/>
      <c r="AR222" s="33"/>
      <c r="AS222" s="33"/>
      <c r="AT222" s="33"/>
      <c r="AU222" s="33"/>
      <c r="AV222" s="33"/>
      <c r="AW222" s="33"/>
      <c r="AX222" s="33"/>
      <c r="AY222" s="33"/>
      <c r="AZ222" s="33"/>
      <c r="BA222" s="33"/>
      <c r="BB222" s="33"/>
      <c r="BC222" s="33"/>
      <c r="BD222" s="33"/>
      <c r="BE222" s="33"/>
      <c r="BF222" s="33"/>
      <c r="BG222" s="33"/>
      <c r="BH222" s="33"/>
      <c r="BI222" s="33"/>
      <c r="BJ222" s="33"/>
      <c r="BK222" s="33"/>
      <c r="BL222" s="33"/>
      <c r="BM222" s="33"/>
      <c r="BN222" s="33"/>
      <c r="BO222" s="33"/>
      <c r="BP222" s="33"/>
      <c r="BQ222" s="33"/>
      <c r="BR222" s="33"/>
      <c r="BS222" s="33"/>
      <c r="BT222" s="33"/>
      <c r="BU222" s="33"/>
      <c r="BV222" s="33"/>
      <c r="BW222" s="33"/>
      <c r="BX222" s="33"/>
      <c r="BY222" s="33"/>
      <c r="BZ222" s="33"/>
      <c r="CA222" s="33"/>
      <c r="CB222" s="33"/>
      <c r="CC222" s="33"/>
      <c r="CD222" s="33"/>
      <c r="CE222" s="33"/>
      <c r="CF222" s="33"/>
      <c r="CG222" s="33"/>
      <c r="CH222" s="33"/>
      <c r="CI222" s="33"/>
      <c r="CJ222" s="33"/>
      <c r="CK222" s="33"/>
      <c r="CL222" s="33"/>
      <c r="CM222" s="33"/>
      <c r="CN222" s="33"/>
      <c r="CO222" s="33"/>
      <c r="CP222" s="33"/>
      <c r="CQ222" s="33"/>
      <c r="CR222" s="33"/>
      <c r="CS222" s="33"/>
      <c r="CT222" s="33"/>
      <c r="CU222" s="33"/>
      <c r="CV222" s="33"/>
      <c r="CW222" s="33"/>
      <c r="CX222" s="33"/>
      <c r="CY222" s="33"/>
      <c r="CZ222" s="33"/>
      <c r="DA222" s="33"/>
      <c r="DB222" s="33"/>
      <c r="DC222" s="33"/>
      <c r="DD222" s="33"/>
      <c r="DE222" s="33"/>
      <c r="DF222" s="33"/>
      <c r="DG222" s="33"/>
      <c r="DH222" s="33"/>
      <c r="DI222" s="33"/>
      <c r="DJ222" s="33"/>
      <c r="DK222" s="33"/>
      <c r="DL222" s="33"/>
      <c r="DM222" s="33"/>
      <c r="DN222" s="33"/>
      <c r="DO222" s="33"/>
      <c r="DP222" s="33"/>
      <c r="DQ222" s="33"/>
    </row>
    <row r="223" spans="1:121" s="40" customFormat="1" ht="15" customHeight="1">
      <c r="A223" s="42"/>
      <c r="B223" s="118">
        <v>7</v>
      </c>
      <c r="C223" s="113" t="s">
        <v>7</v>
      </c>
      <c r="D223" s="119" t="s">
        <v>111</v>
      </c>
      <c r="E223" s="120"/>
      <c r="F223" s="128">
        <f t="shared" si="238"/>
        <v>0</v>
      </c>
      <c r="G223" s="119" t="s">
        <v>111</v>
      </c>
      <c r="H223" s="120"/>
      <c r="I223" s="128">
        <f t="shared" si="239"/>
        <v>0</v>
      </c>
      <c r="J223" s="119">
        <v>0.5</v>
      </c>
      <c r="K223" s="120">
        <v>0.95833333333333337</v>
      </c>
      <c r="L223" s="128">
        <f t="shared" si="240"/>
        <v>0.45833333333333337</v>
      </c>
      <c r="M223" s="119" t="s">
        <v>111</v>
      </c>
      <c r="N223" s="120"/>
      <c r="O223" s="128">
        <f t="shared" si="241"/>
        <v>0</v>
      </c>
      <c r="P223" s="119">
        <v>0.125</v>
      </c>
      <c r="Q223" s="120">
        <v>0.54166666666666663</v>
      </c>
      <c r="R223" s="128">
        <f t="shared" si="242"/>
        <v>0.41666666666666663</v>
      </c>
      <c r="S223" s="119">
        <v>0.125</v>
      </c>
      <c r="T223" s="120">
        <v>0.54166666666666663</v>
      </c>
      <c r="U223" s="128">
        <f t="shared" si="243"/>
        <v>0.41666666666666663</v>
      </c>
      <c r="V223" s="119">
        <v>0.5</v>
      </c>
      <c r="W223" s="120">
        <v>0.95833333333333337</v>
      </c>
      <c r="X223" s="128">
        <f t="shared" si="244"/>
        <v>0.45833333333333337</v>
      </c>
      <c r="Y223" s="119"/>
      <c r="Z223" s="120"/>
      <c r="AA223" s="128">
        <f t="shared" si="245"/>
        <v>0</v>
      </c>
      <c r="AB223" s="119">
        <v>0.125</v>
      </c>
      <c r="AC223" s="120">
        <v>0.54166666666666663</v>
      </c>
      <c r="AD223" s="128">
        <f t="shared" si="246"/>
        <v>0.41666666666666663</v>
      </c>
      <c r="AE223" s="119" t="s">
        <v>111</v>
      </c>
      <c r="AF223" s="120"/>
      <c r="AG223" s="128">
        <f t="shared" si="247"/>
        <v>0</v>
      </c>
      <c r="AH223" s="119" t="s">
        <v>111</v>
      </c>
      <c r="AI223" s="120"/>
      <c r="AJ223" s="128">
        <f t="shared" si="248"/>
        <v>0</v>
      </c>
      <c r="AK223" s="119" t="s">
        <v>111</v>
      </c>
      <c r="AL223" s="120"/>
      <c r="AM223" s="128">
        <f t="shared" si="249"/>
        <v>0</v>
      </c>
      <c r="AN223" s="118">
        <v>7</v>
      </c>
      <c r="AO223" s="113" t="s">
        <v>7</v>
      </c>
      <c r="AP223" s="33"/>
      <c r="AQ223" s="33"/>
      <c r="AR223" s="33"/>
      <c r="AS223" s="33"/>
      <c r="AT223" s="33"/>
      <c r="AU223" s="33"/>
      <c r="AV223" s="33"/>
      <c r="AW223" s="33"/>
      <c r="AX223" s="33"/>
      <c r="AY223" s="33"/>
      <c r="AZ223" s="33"/>
      <c r="BA223" s="33"/>
      <c r="BB223" s="33"/>
      <c r="BC223" s="33"/>
      <c r="BD223" s="33"/>
      <c r="BE223" s="33"/>
      <c r="BF223" s="33"/>
      <c r="BG223" s="33"/>
      <c r="BH223" s="33"/>
      <c r="BI223" s="33"/>
      <c r="BJ223" s="33"/>
      <c r="BK223" s="33"/>
      <c r="BL223" s="33"/>
      <c r="BM223" s="33"/>
      <c r="BN223" s="33"/>
      <c r="BO223" s="33"/>
      <c r="BP223" s="33"/>
      <c r="BQ223" s="33"/>
      <c r="BR223" s="33"/>
      <c r="BS223" s="33"/>
      <c r="BT223" s="33"/>
      <c r="BU223" s="33"/>
      <c r="BV223" s="33"/>
      <c r="BW223" s="33"/>
      <c r="BX223" s="33"/>
      <c r="BY223" s="33"/>
      <c r="BZ223" s="33"/>
      <c r="CA223" s="33"/>
      <c r="CB223" s="33"/>
      <c r="CC223" s="33"/>
      <c r="CD223" s="33"/>
      <c r="CE223" s="33"/>
      <c r="CF223" s="33"/>
      <c r="CG223" s="33"/>
      <c r="CH223" s="33"/>
      <c r="CI223" s="33"/>
      <c r="CJ223" s="33"/>
      <c r="CK223" s="33"/>
      <c r="CL223" s="33"/>
      <c r="CM223" s="33"/>
      <c r="CN223" s="33"/>
      <c r="CO223" s="33"/>
      <c r="CP223" s="33"/>
      <c r="CQ223" s="33"/>
      <c r="CR223" s="33"/>
      <c r="CS223" s="33"/>
      <c r="CT223" s="33"/>
      <c r="CU223" s="33"/>
      <c r="CV223" s="33"/>
      <c r="CW223" s="33"/>
      <c r="CX223" s="33"/>
      <c r="CY223" s="33"/>
      <c r="CZ223" s="33"/>
      <c r="DA223" s="33"/>
      <c r="DB223" s="33"/>
      <c r="DC223" s="33"/>
      <c r="DD223" s="33"/>
      <c r="DE223" s="33"/>
      <c r="DF223" s="33"/>
      <c r="DG223" s="33"/>
      <c r="DH223" s="33"/>
      <c r="DI223" s="33"/>
      <c r="DJ223" s="33"/>
      <c r="DK223" s="33"/>
      <c r="DL223" s="33"/>
      <c r="DM223" s="33"/>
      <c r="DN223" s="33"/>
      <c r="DO223" s="33"/>
      <c r="DP223" s="33"/>
      <c r="DQ223" s="33"/>
    </row>
    <row r="224" spans="1:121" ht="15" customHeight="1">
      <c r="A224" s="42"/>
      <c r="B224" s="118">
        <v>8</v>
      </c>
      <c r="C224" s="113" t="s">
        <v>8</v>
      </c>
      <c r="D224" s="119" t="s">
        <v>111</v>
      </c>
      <c r="E224" s="120"/>
      <c r="F224" s="128">
        <f t="shared" si="238"/>
        <v>0</v>
      </c>
      <c r="G224" s="119" t="s">
        <v>111</v>
      </c>
      <c r="H224" s="120"/>
      <c r="I224" s="128">
        <f t="shared" si="239"/>
        <v>0</v>
      </c>
      <c r="J224" s="119"/>
      <c r="K224" s="120"/>
      <c r="L224" s="128">
        <f t="shared" si="240"/>
        <v>0</v>
      </c>
      <c r="M224" s="119" t="s">
        <v>111</v>
      </c>
      <c r="N224" s="120"/>
      <c r="O224" s="128">
        <f t="shared" si="241"/>
        <v>0</v>
      </c>
      <c r="P224" s="119">
        <v>0.16666666666666666</v>
      </c>
      <c r="Q224" s="120">
        <v>0.66666666666666663</v>
      </c>
      <c r="R224" s="128">
        <f t="shared" si="242"/>
        <v>0.5</v>
      </c>
      <c r="S224" s="119">
        <v>0.16666666666666666</v>
      </c>
      <c r="T224" s="120">
        <v>0.66666666666666663</v>
      </c>
      <c r="U224" s="128">
        <f t="shared" si="243"/>
        <v>0.5</v>
      </c>
      <c r="V224" s="119" t="s">
        <v>111</v>
      </c>
      <c r="W224" s="120"/>
      <c r="X224" s="128">
        <f t="shared" si="244"/>
        <v>0</v>
      </c>
      <c r="Y224" s="119">
        <v>0.125</v>
      </c>
      <c r="Z224" s="120">
        <v>0.58333333333333337</v>
      </c>
      <c r="AA224" s="128">
        <f t="shared" si="245"/>
        <v>0.45833333333333337</v>
      </c>
      <c r="AB224" s="119" t="s">
        <v>111</v>
      </c>
      <c r="AC224" s="120"/>
      <c r="AD224" s="128">
        <f t="shared" si="246"/>
        <v>0</v>
      </c>
      <c r="AE224" s="119" t="s">
        <v>111</v>
      </c>
      <c r="AF224" s="120"/>
      <c r="AG224" s="128">
        <f t="shared" si="247"/>
        <v>0</v>
      </c>
      <c r="AH224" s="119" t="s">
        <v>111</v>
      </c>
      <c r="AI224" s="120"/>
      <c r="AJ224" s="128">
        <f t="shared" si="248"/>
        <v>0</v>
      </c>
      <c r="AK224" s="119" t="s">
        <v>111</v>
      </c>
      <c r="AL224" s="120"/>
      <c r="AM224" s="128">
        <f t="shared" si="249"/>
        <v>0</v>
      </c>
      <c r="AN224" s="118">
        <v>8</v>
      </c>
      <c r="AO224" s="113" t="s">
        <v>8</v>
      </c>
      <c r="AP224" s="33"/>
      <c r="AQ224" s="33"/>
      <c r="AR224" s="33"/>
      <c r="AS224" s="33"/>
      <c r="AT224" s="33"/>
      <c r="AU224" s="33"/>
      <c r="AV224" s="33"/>
      <c r="AW224" s="33"/>
      <c r="AX224" s="33"/>
      <c r="AY224" s="33"/>
      <c r="AZ224" s="33"/>
      <c r="BA224" s="33"/>
      <c r="BB224" s="33"/>
      <c r="BC224" s="33"/>
      <c r="BD224" s="33"/>
      <c r="BE224" s="33"/>
      <c r="BF224" s="33"/>
      <c r="BG224" s="33"/>
      <c r="BH224" s="33"/>
      <c r="BI224" s="33"/>
      <c r="BJ224" s="33"/>
      <c r="BK224" s="33"/>
      <c r="BL224" s="33"/>
      <c r="BM224" s="33"/>
      <c r="BN224" s="33"/>
      <c r="BO224" s="33"/>
      <c r="BP224" s="33"/>
      <c r="BQ224" s="33"/>
      <c r="BR224" s="33"/>
      <c r="BS224" s="33"/>
      <c r="BT224" s="33"/>
      <c r="BU224" s="33"/>
      <c r="BV224" s="33"/>
      <c r="BW224" s="33"/>
      <c r="BX224" s="33"/>
      <c r="BY224" s="33"/>
      <c r="BZ224" s="33"/>
      <c r="CA224" s="33"/>
      <c r="CB224" s="33"/>
      <c r="CC224" s="33"/>
      <c r="CD224" s="33"/>
      <c r="CE224" s="33"/>
      <c r="CF224" s="33"/>
      <c r="CG224" s="33"/>
      <c r="CH224" s="33"/>
      <c r="CI224" s="33"/>
      <c r="CJ224" s="33"/>
      <c r="CK224" s="33"/>
      <c r="CL224" s="33"/>
      <c r="CM224" s="33"/>
      <c r="CN224" s="33"/>
      <c r="CO224" s="33"/>
      <c r="CP224" s="33"/>
      <c r="CQ224" s="33"/>
      <c r="CR224" s="33"/>
      <c r="CS224" s="33"/>
      <c r="CT224" s="33"/>
      <c r="CU224" s="33"/>
      <c r="CV224" s="33"/>
      <c r="CW224" s="33"/>
      <c r="CX224" s="33"/>
      <c r="CY224" s="33"/>
      <c r="CZ224" s="33"/>
      <c r="DA224" s="33"/>
      <c r="DB224" s="33"/>
      <c r="DC224" s="33"/>
      <c r="DD224" s="33"/>
      <c r="DE224" s="33"/>
      <c r="DF224" s="33"/>
      <c r="DG224" s="33"/>
      <c r="DH224" s="33"/>
      <c r="DI224" s="33"/>
      <c r="DJ224" s="33"/>
      <c r="DK224" s="33"/>
      <c r="DL224" s="33"/>
      <c r="DM224" s="33"/>
      <c r="DN224" s="33"/>
      <c r="DO224" s="33"/>
      <c r="DP224" s="33"/>
      <c r="DQ224" s="33"/>
    </row>
    <row r="225" spans="1:121" ht="15" customHeight="1">
      <c r="A225" s="42"/>
      <c r="B225" s="118">
        <v>9</v>
      </c>
      <c r="C225" s="113" t="s">
        <v>12</v>
      </c>
      <c r="D225" s="119" t="s">
        <v>111</v>
      </c>
      <c r="E225" s="120"/>
      <c r="F225" s="128">
        <f t="shared" si="238"/>
        <v>0</v>
      </c>
      <c r="G225" s="119" t="s">
        <v>111</v>
      </c>
      <c r="H225" s="120"/>
      <c r="I225" s="128">
        <f t="shared" si="239"/>
        <v>0</v>
      </c>
      <c r="J225" s="119">
        <v>0.33333333333333331</v>
      </c>
      <c r="K225" s="120">
        <v>0.83333333333333337</v>
      </c>
      <c r="L225" s="128">
        <f t="shared" si="240"/>
        <v>0.5</v>
      </c>
      <c r="M225" s="119"/>
      <c r="N225" s="120"/>
      <c r="O225" s="128">
        <f t="shared" si="241"/>
        <v>0</v>
      </c>
      <c r="P225" s="119"/>
      <c r="Q225" s="120"/>
      <c r="R225" s="128">
        <f t="shared" si="242"/>
        <v>0</v>
      </c>
      <c r="S225" s="119">
        <v>0.125</v>
      </c>
      <c r="T225" s="120">
        <v>0.58333333333333337</v>
      </c>
      <c r="U225" s="128">
        <f t="shared" si="243"/>
        <v>0.45833333333333337</v>
      </c>
      <c r="V225" s="119">
        <v>0.16666666666666666</v>
      </c>
      <c r="W225" s="120">
        <v>0.66666666666666663</v>
      </c>
      <c r="X225" s="128">
        <f t="shared" si="244"/>
        <v>0.5</v>
      </c>
      <c r="Y225" s="119">
        <v>0.125</v>
      </c>
      <c r="Z225" s="120">
        <v>0.58333333333333337</v>
      </c>
      <c r="AA225" s="128">
        <f t="shared" si="245"/>
        <v>0.45833333333333337</v>
      </c>
      <c r="AB225" s="119" t="s">
        <v>111</v>
      </c>
      <c r="AC225" s="120"/>
      <c r="AD225" s="128">
        <f t="shared" si="246"/>
        <v>0</v>
      </c>
      <c r="AE225" s="119" t="s">
        <v>111</v>
      </c>
      <c r="AF225" s="120"/>
      <c r="AG225" s="128">
        <f t="shared" si="247"/>
        <v>0</v>
      </c>
      <c r="AH225" s="119" t="s">
        <v>111</v>
      </c>
      <c r="AI225" s="120"/>
      <c r="AJ225" s="128">
        <f t="shared" si="248"/>
        <v>0</v>
      </c>
      <c r="AK225" s="119" t="s">
        <v>111</v>
      </c>
      <c r="AL225" s="120"/>
      <c r="AM225" s="128">
        <f t="shared" si="249"/>
        <v>0</v>
      </c>
      <c r="AN225" s="118">
        <v>9</v>
      </c>
      <c r="AO225" s="113" t="s">
        <v>12</v>
      </c>
      <c r="AP225" s="33"/>
      <c r="AQ225" s="33"/>
      <c r="AR225" s="33"/>
      <c r="AS225" s="33"/>
      <c r="AT225" s="33"/>
      <c r="AU225" s="33"/>
      <c r="AV225" s="33"/>
      <c r="AW225" s="33"/>
      <c r="AX225" s="33"/>
      <c r="AY225" s="33"/>
      <c r="AZ225" s="33"/>
      <c r="BA225" s="33"/>
      <c r="BB225" s="33"/>
      <c r="BC225" s="33"/>
      <c r="BD225" s="33"/>
      <c r="BE225" s="33"/>
      <c r="BF225" s="33"/>
      <c r="BG225" s="33"/>
      <c r="BH225" s="33"/>
      <c r="BI225" s="33"/>
      <c r="BJ225" s="33"/>
      <c r="BK225" s="33"/>
      <c r="BL225" s="33"/>
      <c r="BM225" s="33"/>
      <c r="BN225" s="33"/>
      <c r="BO225" s="33"/>
      <c r="BP225" s="33"/>
      <c r="BQ225" s="33"/>
      <c r="BR225" s="33"/>
      <c r="BS225" s="33"/>
      <c r="BT225" s="33"/>
      <c r="BU225" s="33"/>
      <c r="BV225" s="33"/>
      <c r="BW225" s="33"/>
      <c r="BX225" s="33"/>
      <c r="BY225" s="33"/>
      <c r="BZ225" s="33"/>
      <c r="CA225" s="33"/>
      <c r="CB225" s="33"/>
      <c r="CC225" s="33"/>
      <c r="CD225" s="33"/>
      <c r="CE225" s="33"/>
      <c r="CF225" s="33"/>
      <c r="CG225" s="33"/>
      <c r="CH225" s="33"/>
      <c r="CI225" s="33"/>
      <c r="CJ225" s="33"/>
      <c r="CK225" s="33"/>
      <c r="CL225" s="33"/>
      <c r="CM225" s="33"/>
      <c r="CN225" s="33"/>
      <c r="CO225" s="33"/>
      <c r="CP225" s="33"/>
      <c r="CQ225" s="33"/>
      <c r="CR225" s="33"/>
      <c r="CS225" s="33"/>
      <c r="CT225" s="33"/>
      <c r="CU225" s="33"/>
      <c r="CV225" s="33"/>
      <c r="CW225" s="33"/>
      <c r="CX225" s="33"/>
      <c r="CY225" s="33"/>
      <c r="CZ225" s="33"/>
      <c r="DA225" s="33"/>
      <c r="DB225" s="33"/>
      <c r="DC225" s="33"/>
      <c r="DD225" s="33"/>
      <c r="DE225" s="33"/>
      <c r="DF225" s="33"/>
      <c r="DG225" s="33"/>
      <c r="DH225" s="33"/>
      <c r="DI225" s="33"/>
      <c r="DJ225" s="33"/>
      <c r="DK225" s="33"/>
      <c r="DL225" s="33"/>
      <c r="DM225" s="33"/>
      <c r="DN225" s="33"/>
      <c r="DO225" s="33"/>
      <c r="DP225" s="33"/>
      <c r="DQ225" s="33"/>
    </row>
    <row r="226" spans="1:121" ht="15.75" customHeight="1">
      <c r="A226" s="42"/>
      <c r="B226" s="118">
        <v>10</v>
      </c>
      <c r="C226" s="113" t="s">
        <v>85</v>
      </c>
      <c r="D226" s="119" t="s">
        <v>111</v>
      </c>
      <c r="E226" s="120"/>
      <c r="F226" s="128">
        <f t="shared" si="238"/>
        <v>0</v>
      </c>
      <c r="G226" s="119" t="s">
        <v>111</v>
      </c>
      <c r="H226" s="120"/>
      <c r="I226" s="128">
        <f t="shared" si="239"/>
        <v>0</v>
      </c>
      <c r="J226" s="119"/>
      <c r="K226" s="120"/>
      <c r="L226" s="128">
        <f t="shared" si="240"/>
        <v>0</v>
      </c>
      <c r="M226" s="119">
        <v>0.16666666666666666</v>
      </c>
      <c r="N226" s="120">
        <v>0.66666666666666663</v>
      </c>
      <c r="O226" s="128">
        <f t="shared" si="241"/>
        <v>0.5</v>
      </c>
      <c r="P226" s="119">
        <v>0.16666666666666666</v>
      </c>
      <c r="Q226" s="120">
        <v>0.66666666666666663</v>
      </c>
      <c r="R226" s="128">
        <f t="shared" si="242"/>
        <v>0.5</v>
      </c>
      <c r="S226" s="119">
        <v>0.125</v>
      </c>
      <c r="T226" s="120">
        <v>0.58333333333333337</v>
      </c>
      <c r="U226" s="128">
        <f t="shared" si="243"/>
        <v>0.45833333333333337</v>
      </c>
      <c r="V226" s="119"/>
      <c r="W226" s="120"/>
      <c r="X226" s="128">
        <f t="shared" si="244"/>
        <v>0</v>
      </c>
      <c r="Y226" s="119">
        <v>0.125</v>
      </c>
      <c r="Z226" s="120">
        <v>0.66666666666666663</v>
      </c>
      <c r="AA226" s="128">
        <f t="shared" si="245"/>
        <v>0.54166666666666663</v>
      </c>
      <c r="AB226" s="119" t="s">
        <v>111</v>
      </c>
      <c r="AC226" s="120"/>
      <c r="AD226" s="128">
        <f t="shared" si="246"/>
        <v>0</v>
      </c>
      <c r="AE226" s="119" t="s">
        <v>111</v>
      </c>
      <c r="AF226" s="120"/>
      <c r="AG226" s="128">
        <f t="shared" si="247"/>
        <v>0</v>
      </c>
      <c r="AH226" s="119" t="s">
        <v>111</v>
      </c>
      <c r="AI226" s="120"/>
      <c r="AJ226" s="128">
        <f t="shared" si="248"/>
        <v>0</v>
      </c>
      <c r="AK226" s="119" t="s">
        <v>111</v>
      </c>
      <c r="AL226" s="120"/>
      <c r="AM226" s="128">
        <f t="shared" si="249"/>
        <v>0</v>
      </c>
      <c r="AN226" s="118">
        <v>10</v>
      </c>
      <c r="AO226" s="113" t="s">
        <v>85</v>
      </c>
      <c r="AP226" s="33"/>
      <c r="AQ226" s="33"/>
      <c r="AR226" s="33"/>
      <c r="AS226" s="33"/>
      <c r="AT226" s="33"/>
      <c r="AU226" s="33"/>
      <c r="AV226" s="33"/>
      <c r="AW226" s="33"/>
      <c r="AX226" s="33"/>
      <c r="AY226" s="33"/>
      <c r="AZ226" s="33"/>
      <c r="BA226" s="33"/>
      <c r="BB226" s="33"/>
      <c r="BC226" s="33"/>
      <c r="BD226" s="33"/>
      <c r="BE226" s="33"/>
      <c r="BF226" s="33"/>
      <c r="BG226" s="33"/>
      <c r="BH226" s="33"/>
      <c r="BI226" s="33"/>
      <c r="BJ226" s="33"/>
      <c r="BK226" s="33"/>
      <c r="BL226" s="33"/>
      <c r="BM226" s="33"/>
      <c r="BN226" s="33"/>
      <c r="BO226" s="33"/>
      <c r="BP226" s="33"/>
      <c r="BQ226" s="33"/>
      <c r="BR226" s="33"/>
      <c r="BS226" s="33"/>
      <c r="BT226" s="33"/>
      <c r="BU226" s="33"/>
      <c r="BV226" s="33"/>
      <c r="BW226" s="33"/>
      <c r="BX226" s="33"/>
      <c r="BY226" s="33"/>
      <c r="BZ226" s="33"/>
      <c r="CA226" s="33"/>
      <c r="CB226" s="33"/>
      <c r="CC226" s="33"/>
      <c r="CD226" s="33"/>
      <c r="CE226" s="33"/>
      <c r="CF226" s="33"/>
      <c r="CG226" s="33"/>
      <c r="CH226" s="33"/>
      <c r="CI226" s="33"/>
      <c r="CJ226" s="33"/>
      <c r="CK226" s="33"/>
      <c r="CL226" s="33"/>
      <c r="CM226" s="33"/>
      <c r="CN226" s="33"/>
      <c r="CO226" s="33"/>
      <c r="CP226" s="33"/>
      <c r="CQ226" s="33"/>
      <c r="CR226" s="33"/>
      <c r="CS226" s="33"/>
      <c r="CT226" s="33"/>
      <c r="CU226" s="33"/>
      <c r="CV226" s="33"/>
      <c r="CW226" s="33"/>
      <c r="CX226" s="33"/>
      <c r="CY226" s="33"/>
      <c r="CZ226" s="33"/>
      <c r="DA226" s="33"/>
      <c r="DB226" s="33"/>
      <c r="DC226" s="33"/>
      <c r="DD226" s="33"/>
      <c r="DE226" s="33"/>
      <c r="DF226" s="33"/>
      <c r="DG226" s="33"/>
      <c r="DH226" s="33"/>
      <c r="DI226" s="33"/>
      <c r="DJ226" s="33"/>
      <c r="DK226" s="33"/>
      <c r="DL226" s="33"/>
      <c r="DM226" s="33"/>
      <c r="DN226" s="33"/>
      <c r="DO226" s="33"/>
      <c r="DP226" s="33"/>
      <c r="DQ226" s="33"/>
    </row>
    <row r="227" spans="1:121" ht="15" customHeight="1">
      <c r="A227" s="42"/>
      <c r="B227" s="118">
        <v>11</v>
      </c>
      <c r="C227" s="113" t="s">
        <v>4</v>
      </c>
      <c r="D227" s="119" t="s">
        <v>111</v>
      </c>
      <c r="E227" s="120"/>
      <c r="F227" s="128">
        <f t="shared" si="238"/>
        <v>0</v>
      </c>
      <c r="G227" s="119">
        <v>0.16666666666666666</v>
      </c>
      <c r="H227" s="120">
        <v>0.66666666666666663</v>
      </c>
      <c r="I227" s="128">
        <f t="shared" si="239"/>
        <v>0.5</v>
      </c>
      <c r="J227" s="119" t="s">
        <v>111</v>
      </c>
      <c r="K227" s="120"/>
      <c r="L227" s="128">
        <f t="shared" si="240"/>
        <v>0</v>
      </c>
      <c r="M227" s="119"/>
      <c r="N227" s="120"/>
      <c r="O227" s="128">
        <f t="shared" si="241"/>
        <v>0</v>
      </c>
      <c r="P227" s="119">
        <v>0.16666666666666666</v>
      </c>
      <c r="Q227" s="120">
        <v>0.66666666666666663</v>
      </c>
      <c r="R227" s="128">
        <f t="shared" si="242"/>
        <v>0.5</v>
      </c>
      <c r="S227" s="119">
        <v>0.625</v>
      </c>
      <c r="T227" s="120">
        <v>1.125</v>
      </c>
      <c r="U227" s="128">
        <f t="shared" si="243"/>
        <v>0.5</v>
      </c>
      <c r="V227" s="119" t="s">
        <v>111</v>
      </c>
      <c r="W227" s="120"/>
      <c r="X227" s="128">
        <f t="shared" si="244"/>
        <v>0</v>
      </c>
      <c r="Y227" s="119"/>
      <c r="Z227" s="120"/>
      <c r="AA227" s="128">
        <f t="shared" si="245"/>
        <v>0</v>
      </c>
      <c r="AB227" s="119">
        <v>0.66666666666666663</v>
      </c>
      <c r="AC227" s="120">
        <v>1.1666666666666667</v>
      </c>
      <c r="AD227" s="128">
        <f t="shared" si="246"/>
        <v>0.50000000000000011</v>
      </c>
      <c r="AE227" s="119" t="s">
        <v>111</v>
      </c>
      <c r="AF227" s="120"/>
      <c r="AG227" s="128">
        <f t="shared" si="247"/>
        <v>0</v>
      </c>
      <c r="AH227" s="119" t="s">
        <v>111</v>
      </c>
      <c r="AI227" s="120"/>
      <c r="AJ227" s="128">
        <f t="shared" si="248"/>
        <v>0</v>
      </c>
      <c r="AK227" s="119" t="s">
        <v>111</v>
      </c>
      <c r="AL227" s="120"/>
      <c r="AM227" s="128">
        <f t="shared" si="249"/>
        <v>0</v>
      </c>
      <c r="AN227" s="118">
        <v>11</v>
      </c>
      <c r="AO227" s="113" t="s">
        <v>4</v>
      </c>
      <c r="AP227" s="33"/>
      <c r="AQ227" s="33"/>
      <c r="AR227" s="33"/>
      <c r="AS227" s="33"/>
      <c r="AT227" s="33"/>
      <c r="AU227" s="33"/>
      <c r="AV227" s="33"/>
      <c r="AW227" s="33"/>
      <c r="AX227" s="33"/>
      <c r="AY227" s="33"/>
      <c r="AZ227" s="33"/>
      <c r="BA227" s="33"/>
      <c r="BB227" s="33"/>
      <c r="BC227" s="33"/>
      <c r="BD227" s="33"/>
      <c r="BE227" s="33"/>
      <c r="BF227" s="33"/>
      <c r="BG227" s="33"/>
      <c r="BH227" s="33"/>
      <c r="BI227" s="33"/>
      <c r="BJ227" s="33"/>
      <c r="BK227" s="33"/>
      <c r="BL227" s="33"/>
      <c r="BM227" s="33"/>
      <c r="BN227" s="33"/>
      <c r="BO227" s="33"/>
      <c r="BP227" s="33"/>
      <c r="BQ227" s="33"/>
      <c r="BR227" s="33"/>
      <c r="BS227" s="33"/>
      <c r="BT227" s="33"/>
      <c r="BU227" s="33"/>
      <c r="BV227" s="33"/>
      <c r="BW227" s="33"/>
      <c r="BX227" s="33"/>
      <c r="BY227" s="33"/>
      <c r="BZ227" s="33"/>
      <c r="CA227" s="33"/>
      <c r="CB227" s="33"/>
      <c r="CC227" s="33"/>
      <c r="CD227" s="33"/>
      <c r="CE227" s="33"/>
      <c r="CF227" s="33"/>
      <c r="CG227" s="33"/>
      <c r="CH227" s="33"/>
      <c r="CI227" s="33"/>
      <c r="CJ227" s="33"/>
      <c r="CK227" s="33"/>
      <c r="CL227" s="33"/>
      <c r="CM227" s="33"/>
      <c r="CN227" s="33"/>
      <c r="CO227" s="33"/>
      <c r="CP227" s="33"/>
      <c r="CQ227" s="33"/>
      <c r="CR227" s="33"/>
      <c r="CS227" s="33"/>
      <c r="CT227" s="33"/>
      <c r="CU227" s="33"/>
      <c r="CV227" s="33"/>
      <c r="CW227" s="33"/>
      <c r="CX227" s="33"/>
      <c r="CY227" s="33"/>
      <c r="CZ227" s="33"/>
      <c r="DA227" s="33"/>
      <c r="DB227" s="33"/>
      <c r="DC227" s="33"/>
      <c r="DD227" s="33"/>
      <c r="DE227" s="33"/>
      <c r="DF227" s="33"/>
      <c r="DG227" s="33"/>
      <c r="DH227" s="33"/>
      <c r="DI227" s="33"/>
      <c r="DJ227" s="33"/>
      <c r="DK227" s="33"/>
      <c r="DL227" s="33"/>
      <c r="DM227" s="33"/>
      <c r="DN227" s="33"/>
      <c r="DO227" s="33"/>
      <c r="DP227" s="33"/>
      <c r="DQ227" s="33"/>
    </row>
    <row r="228" spans="1:121" ht="15" customHeight="1">
      <c r="A228" s="42"/>
      <c r="B228" s="86">
        <v>12</v>
      </c>
      <c r="C228" s="87" t="s">
        <v>5</v>
      </c>
      <c r="D228" s="88" t="s">
        <v>111</v>
      </c>
      <c r="E228" s="89"/>
      <c r="F228" s="92">
        <f t="shared" si="238"/>
        <v>0</v>
      </c>
      <c r="G228" s="88">
        <v>0.625</v>
      </c>
      <c r="H228" s="89">
        <v>1.125</v>
      </c>
      <c r="I228" s="92">
        <f t="shared" si="239"/>
        <v>0.5</v>
      </c>
      <c r="J228" s="88" t="s">
        <v>111</v>
      </c>
      <c r="K228" s="89"/>
      <c r="L228" s="92">
        <f t="shared" si="240"/>
        <v>0</v>
      </c>
      <c r="M228" s="88">
        <v>0.125</v>
      </c>
      <c r="N228" s="89">
        <v>0.54166666666666663</v>
      </c>
      <c r="O228" s="92">
        <f t="shared" si="241"/>
        <v>0.41666666666666663</v>
      </c>
      <c r="P228" s="88" t="s">
        <v>111</v>
      </c>
      <c r="Q228" s="89"/>
      <c r="R228" s="92">
        <f t="shared" si="242"/>
        <v>0</v>
      </c>
      <c r="S228" s="88" t="s">
        <v>111</v>
      </c>
      <c r="T228" s="89"/>
      <c r="U228" s="92">
        <f t="shared" si="243"/>
        <v>0</v>
      </c>
      <c r="V228" s="88" t="s">
        <v>111</v>
      </c>
      <c r="W228" s="89"/>
      <c r="X228" s="92">
        <f t="shared" si="244"/>
        <v>0</v>
      </c>
      <c r="Y228" s="88"/>
      <c r="Z228" s="89"/>
      <c r="AA228" s="92">
        <f t="shared" si="245"/>
        <v>0</v>
      </c>
      <c r="AB228" s="88"/>
      <c r="AC228" s="89"/>
      <c r="AD228" s="92">
        <f t="shared" si="246"/>
        <v>0</v>
      </c>
      <c r="AE228" s="88" t="s">
        <v>111</v>
      </c>
      <c r="AF228" s="89"/>
      <c r="AG228" s="92">
        <f t="shared" si="247"/>
        <v>0</v>
      </c>
      <c r="AH228" s="88">
        <v>0.125</v>
      </c>
      <c r="AI228" s="89">
        <v>0.54166666666666663</v>
      </c>
      <c r="AJ228" s="92">
        <f t="shared" si="248"/>
        <v>0.41666666666666663</v>
      </c>
      <c r="AK228" s="88">
        <v>0.66666666666666663</v>
      </c>
      <c r="AL228" s="89">
        <v>1.1666666666666667</v>
      </c>
      <c r="AM228" s="92">
        <f t="shared" si="249"/>
        <v>0.50000000000000011</v>
      </c>
      <c r="AN228" s="86">
        <v>12</v>
      </c>
      <c r="AO228" s="87" t="s">
        <v>5</v>
      </c>
      <c r="AP228" s="33"/>
      <c r="AQ228" s="33"/>
      <c r="AR228" s="33"/>
      <c r="AS228" s="33"/>
      <c r="AT228" s="33"/>
      <c r="AU228" s="33"/>
      <c r="AV228" s="33"/>
      <c r="AW228" s="33"/>
      <c r="AX228" s="33"/>
      <c r="AY228" s="33"/>
      <c r="AZ228" s="33"/>
      <c r="BA228" s="33"/>
      <c r="BB228" s="33"/>
      <c r="BC228" s="33"/>
      <c r="BD228" s="33"/>
      <c r="BE228" s="33"/>
      <c r="BF228" s="33"/>
      <c r="BG228" s="33"/>
      <c r="BH228" s="33"/>
      <c r="BI228" s="33"/>
      <c r="BJ228" s="33"/>
      <c r="BK228" s="33"/>
      <c r="BL228" s="33"/>
      <c r="BM228" s="33"/>
      <c r="BN228" s="33"/>
      <c r="BO228" s="33"/>
      <c r="BP228" s="33"/>
      <c r="BQ228" s="33"/>
      <c r="BR228" s="33"/>
      <c r="BS228" s="33"/>
      <c r="BT228" s="33"/>
      <c r="BU228" s="33"/>
      <c r="BV228" s="33"/>
      <c r="BW228" s="33"/>
      <c r="BX228" s="33"/>
      <c r="BY228" s="33"/>
      <c r="BZ228" s="33"/>
      <c r="CA228" s="33"/>
      <c r="CB228" s="33"/>
      <c r="CC228" s="33"/>
      <c r="CD228" s="33"/>
      <c r="CE228" s="33"/>
      <c r="CF228" s="33"/>
      <c r="CG228" s="33"/>
      <c r="CH228" s="33"/>
      <c r="CI228" s="33"/>
      <c r="CJ228" s="33"/>
      <c r="CK228" s="33"/>
      <c r="CL228" s="33"/>
      <c r="CM228" s="33"/>
      <c r="CN228" s="33"/>
      <c r="CO228" s="33"/>
      <c r="CP228" s="33"/>
      <c r="CQ228" s="33"/>
      <c r="CR228" s="33"/>
      <c r="CS228" s="33"/>
      <c r="CT228" s="33"/>
      <c r="CU228" s="33"/>
      <c r="CV228" s="33"/>
      <c r="CW228" s="33"/>
      <c r="CX228" s="33"/>
      <c r="CY228" s="33"/>
      <c r="CZ228" s="33"/>
      <c r="DA228" s="33"/>
      <c r="DB228" s="33"/>
      <c r="DC228" s="33"/>
      <c r="DD228" s="33"/>
      <c r="DE228" s="33"/>
      <c r="DF228" s="33"/>
      <c r="DG228" s="33"/>
      <c r="DH228" s="33"/>
      <c r="DI228" s="33"/>
      <c r="DJ228" s="33"/>
      <c r="DK228" s="33"/>
      <c r="DL228" s="33"/>
      <c r="DM228" s="33"/>
      <c r="DN228" s="33"/>
      <c r="DO228" s="33"/>
      <c r="DP228" s="33"/>
      <c r="DQ228" s="33"/>
    </row>
    <row r="229" spans="1:121" s="40" customFormat="1" ht="15" customHeight="1">
      <c r="A229" s="42"/>
      <c r="B229" s="86">
        <v>13</v>
      </c>
      <c r="C229" s="87" t="s">
        <v>6</v>
      </c>
      <c r="D229" s="88">
        <v>0.16666666666666666</v>
      </c>
      <c r="E229" s="89">
        <v>0.66666666666666663</v>
      </c>
      <c r="F229" s="92">
        <f t="shared" si="238"/>
        <v>0.5</v>
      </c>
      <c r="G229" s="88" t="s">
        <v>111</v>
      </c>
      <c r="H229" s="89"/>
      <c r="I229" s="92">
        <f t="shared" si="239"/>
        <v>0</v>
      </c>
      <c r="J229" s="88" t="s">
        <v>111</v>
      </c>
      <c r="K229" s="89"/>
      <c r="L229" s="92">
        <f t="shared" si="240"/>
        <v>0</v>
      </c>
      <c r="M229" s="88">
        <v>0.16666666666666666</v>
      </c>
      <c r="N229" s="89">
        <v>0.66666666666666663</v>
      </c>
      <c r="O229" s="92">
        <f t="shared" si="241"/>
        <v>0.5</v>
      </c>
      <c r="P229" s="88" t="s">
        <v>111</v>
      </c>
      <c r="Q229" s="89"/>
      <c r="R229" s="92">
        <f t="shared" si="242"/>
        <v>0</v>
      </c>
      <c r="S229" s="88" t="s">
        <v>111</v>
      </c>
      <c r="T229" s="89"/>
      <c r="U229" s="92">
        <f t="shared" si="243"/>
        <v>0</v>
      </c>
      <c r="V229" s="88" t="s">
        <v>111</v>
      </c>
      <c r="W229" s="89"/>
      <c r="X229" s="92">
        <f t="shared" si="244"/>
        <v>0</v>
      </c>
      <c r="Y229" s="88"/>
      <c r="Z229" s="89"/>
      <c r="AA229" s="92">
        <f t="shared" si="245"/>
        <v>0</v>
      </c>
      <c r="AB229" s="88">
        <v>0.16666666666666666</v>
      </c>
      <c r="AC229" s="89">
        <v>0.66666666666666663</v>
      </c>
      <c r="AD229" s="92">
        <f t="shared" si="246"/>
        <v>0.5</v>
      </c>
      <c r="AE229" s="88">
        <v>0.33333333333333331</v>
      </c>
      <c r="AF229" s="89">
        <v>0.83333333333333337</v>
      </c>
      <c r="AG229" s="92">
        <f t="shared" si="247"/>
        <v>0.5</v>
      </c>
      <c r="AH229" s="88"/>
      <c r="AI229" s="89"/>
      <c r="AJ229" s="92">
        <f t="shared" si="248"/>
        <v>0</v>
      </c>
      <c r="AK229" s="88"/>
      <c r="AL229" s="89"/>
      <c r="AM229" s="92">
        <f t="shared" si="249"/>
        <v>0</v>
      </c>
      <c r="AN229" s="86">
        <v>13</v>
      </c>
      <c r="AO229" s="87" t="s">
        <v>6</v>
      </c>
      <c r="AP229" s="33"/>
      <c r="AQ229" s="33"/>
      <c r="AR229" s="33"/>
      <c r="AS229" s="33"/>
      <c r="AT229" s="33"/>
      <c r="AU229" s="33"/>
      <c r="AV229" s="33"/>
      <c r="AW229" s="33"/>
      <c r="AX229" s="33"/>
      <c r="AY229" s="33"/>
      <c r="AZ229" s="33"/>
      <c r="BA229" s="33"/>
      <c r="BB229" s="33"/>
      <c r="BC229" s="33"/>
      <c r="BD229" s="33"/>
      <c r="BE229" s="33"/>
      <c r="BF229" s="33"/>
      <c r="BG229" s="33"/>
      <c r="BH229" s="33"/>
      <c r="BI229" s="33"/>
      <c r="BJ229" s="33"/>
      <c r="BK229" s="33"/>
      <c r="BL229" s="33"/>
      <c r="BM229" s="33"/>
      <c r="BN229" s="33"/>
      <c r="BO229" s="33"/>
      <c r="BP229" s="33"/>
      <c r="BQ229" s="33"/>
      <c r="BR229" s="33"/>
      <c r="BS229" s="33"/>
      <c r="BT229" s="33"/>
      <c r="BU229" s="33"/>
      <c r="BV229" s="33"/>
      <c r="BW229" s="33"/>
      <c r="BX229" s="33"/>
      <c r="BY229" s="33"/>
      <c r="BZ229" s="33"/>
      <c r="CA229" s="33"/>
      <c r="CB229" s="33"/>
      <c r="CC229" s="33"/>
      <c r="CD229" s="33"/>
      <c r="CE229" s="33"/>
      <c r="CF229" s="33"/>
      <c r="CG229" s="33"/>
      <c r="CH229" s="33"/>
      <c r="CI229" s="33"/>
      <c r="CJ229" s="33"/>
      <c r="CK229" s="33"/>
      <c r="CL229" s="33"/>
      <c r="CM229" s="33"/>
      <c r="CN229" s="33"/>
      <c r="CO229" s="33"/>
      <c r="CP229" s="33"/>
      <c r="CQ229" s="33"/>
      <c r="CR229" s="33"/>
      <c r="CS229" s="33"/>
      <c r="CT229" s="33"/>
      <c r="CU229" s="33"/>
      <c r="CV229" s="33"/>
      <c r="CW229" s="33"/>
      <c r="CX229" s="33"/>
      <c r="CY229" s="33"/>
      <c r="CZ229" s="33"/>
      <c r="DA229" s="33"/>
      <c r="DB229" s="33"/>
      <c r="DC229" s="33"/>
      <c r="DD229" s="33"/>
      <c r="DE229" s="33"/>
      <c r="DF229" s="33"/>
      <c r="DG229" s="33"/>
      <c r="DH229" s="33"/>
      <c r="DI229" s="33"/>
      <c r="DJ229" s="33"/>
      <c r="DK229" s="33"/>
      <c r="DL229" s="33"/>
      <c r="DM229" s="33"/>
      <c r="DN229" s="33"/>
      <c r="DO229" s="33"/>
      <c r="DP229" s="33"/>
      <c r="DQ229" s="33"/>
    </row>
    <row r="230" spans="1:121" s="40" customFormat="1" ht="15" customHeight="1">
      <c r="A230" s="42"/>
      <c r="B230" s="118">
        <v>14</v>
      </c>
      <c r="C230" s="113" t="s">
        <v>7</v>
      </c>
      <c r="D230" s="119" t="s">
        <v>111</v>
      </c>
      <c r="E230" s="120"/>
      <c r="F230" s="128">
        <f t="shared" si="238"/>
        <v>0</v>
      </c>
      <c r="G230" s="119">
        <v>0.66666666666666663</v>
      </c>
      <c r="H230" s="120">
        <v>1.1666666666666667</v>
      </c>
      <c r="I230" s="128">
        <f t="shared" si="239"/>
        <v>0.50000000000000011</v>
      </c>
      <c r="J230" s="119">
        <v>0.66666666666666663</v>
      </c>
      <c r="K230" s="120">
        <v>1.1666666666666667</v>
      </c>
      <c r="L230" s="128">
        <f t="shared" si="240"/>
        <v>0.50000000000000011</v>
      </c>
      <c r="M230" s="119" t="s">
        <v>111</v>
      </c>
      <c r="N230" s="120"/>
      <c r="O230" s="128">
        <f t="shared" si="241"/>
        <v>0</v>
      </c>
      <c r="P230" s="119">
        <v>0.16666666666666666</v>
      </c>
      <c r="Q230" s="120">
        <v>0.66666666666666663</v>
      </c>
      <c r="R230" s="128">
        <f t="shared" si="242"/>
        <v>0.5</v>
      </c>
      <c r="S230" s="119">
        <v>0.16666666666666666</v>
      </c>
      <c r="T230" s="120">
        <v>0.66666666666666663</v>
      </c>
      <c r="U230" s="128">
        <f t="shared" si="243"/>
        <v>0.5</v>
      </c>
      <c r="V230" s="119" t="s">
        <v>111</v>
      </c>
      <c r="W230" s="120"/>
      <c r="X230" s="128">
        <f t="shared" si="244"/>
        <v>0</v>
      </c>
      <c r="Y230" s="119">
        <v>0.125</v>
      </c>
      <c r="Z230" s="120">
        <v>0.54166666666666663</v>
      </c>
      <c r="AA230" s="128">
        <f t="shared" si="245"/>
        <v>0.41666666666666663</v>
      </c>
      <c r="AB230" s="119">
        <v>0.16666666666666666</v>
      </c>
      <c r="AC230" s="120">
        <v>0.66666666666666663</v>
      </c>
      <c r="AD230" s="128">
        <f t="shared" si="246"/>
        <v>0.5</v>
      </c>
      <c r="AE230" s="119" t="s">
        <v>111</v>
      </c>
      <c r="AF230" s="120"/>
      <c r="AG230" s="128">
        <f t="shared" si="247"/>
        <v>0</v>
      </c>
      <c r="AH230" s="119" t="s">
        <v>111</v>
      </c>
      <c r="AI230" s="120"/>
      <c r="AJ230" s="128">
        <f t="shared" si="248"/>
        <v>0</v>
      </c>
      <c r="AK230" s="119" t="s">
        <v>111</v>
      </c>
      <c r="AL230" s="120"/>
      <c r="AM230" s="128">
        <f t="shared" si="249"/>
        <v>0</v>
      </c>
      <c r="AN230" s="118">
        <v>14</v>
      </c>
      <c r="AO230" s="113" t="s">
        <v>7</v>
      </c>
      <c r="AP230" s="33"/>
      <c r="AQ230" s="33"/>
      <c r="AR230" s="33"/>
      <c r="AS230" s="33"/>
      <c r="AT230" s="33"/>
      <c r="AU230" s="33"/>
      <c r="AV230" s="33"/>
      <c r="AW230" s="33"/>
      <c r="AX230" s="33"/>
      <c r="AY230" s="33"/>
      <c r="AZ230" s="33"/>
      <c r="BA230" s="33"/>
      <c r="BB230" s="33"/>
      <c r="BC230" s="33"/>
      <c r="BD230" s="33"/>
      <c r="BE230" s="33"/>
      <c r="BF230" s="33"/>
      <c r="BG230" s="33"/>
      <c r="BH230" s="33"/>
      <c r="BI230" s="33"/>
      <c r="BJ230" s="33"/>
      <c r="BK230" s="33"/>
      <c r="BL230" s="33"/>
      <c r="BM230" s="33"/>
      <c r="BN230" s="33"/>
      <c r="BO230" s="33"/>
      <c r="BP230" s="33"/>
      <c r="BQ230" s="33"/>
      <c r="BR230" s="33"/>
      <c r="BS230" s="33"/>
      <c r="BT230" s="33"/>
      <c r="BU230" s="33"/>
      <c r="BV230" s="33"/>
      <c r="BW230" s="33"/>
      <c r="BX230" s="33"/>
      <c r="BY230" s="33"/>
      <c r="BZ230" s="33"/>
      <c r="CA230" s="33"/>
      <c r="CB230" s="33"/>
      <c r="CC230" s="33"/>
      <c r="CD230" s="33"/>
      <c r="CE230" s="33"/>
      <c r="CF230" s="33"/>
      <c r="CG230" s="33"/>
      <c r="CH230" s="33"/>
      <c r="CI230" s="33"/>
      <c r="CJ230" s="33"/>
      <c r="CK230" s="33"/>
      <c r="CL230" s="33"/>
      <c r="CM230" s="33"/>
      <c r="CN230" s="33"/>
      <c r="CO230" s="33"/>
      <c r="CP230" s="33"/>
      <c r="CQ230" s="33"/>
      <c r="CR230" s="33"/>
      <c r="CS230" s="33"/>
      <c r="CT230" s="33"/>
      <c r="CU230" s="33"/>
      <c r="CV230" s="33"/>
      <c r="CW230" s="33"/>
      <c r="CX230" s="33"/>
      <c r="CY230" s="33"/>
      <c r="CZ230" s="33"/>
      <c r="DA230" s="33"/>
      <c r="DB230" s="33"/>
      <c r="DC230" s="33"/>
      <c r="DD230" s="33"/>
      <c r="DE230" s="33"/>
      <c r="DF230" s="33"/>
      <c r="DG230" s="33"/>
      <c r="DH230" s="33"/>
      <c r="DI230" s="33"/>
      <c r="DJ230" s="33"/>
      <c r="DK230" s="33"/>
      <c r="DL230" s="33"/>
      <c r="DM230" s="33"/>
      <c r="DN230" s="33"/>
      <c r="DO230" s="33"/>
      <c r="DP230" s="33"/>
      <c r="DQ230" s="33"/>
    </row>
    <row r="231" spans="1:121" ht="15" customHeight="1">
      <c r="A231" s="42"/>
      <c r="B231" s="118">
        <v>15</v>
      </c>
      <c r="C231" s="113" t="s">
        <v>8</v>
      </c>
      <c r="D231" s="119" t="s">
        <v>111</v>
      </c>
      <c r="E231" s="120"/>
      <c r="F231" s="128">
        <f>(IF(D231="u",0.333333333,IF(D231="W",0,IF(D231="C",F231,IF(D231="op",F231,(E231-D231))))))</f>
        <v>0</v>
      </c>
      <c r="G231" s="119" t="s">
        <v>111</v>
      </c>
      <c r="H231" s="120"/>
      <c r="I231" s="128">
        <f>(IF(G231="u",0.333333333,IF(G231="W",0,IF(G231="C",I231,IF(G231="op",I231,(H231-G231))))))</f>
        <v>0</v>
      </c>
      <c r="J231" s="119" t="s">
        <v>111</v>
      </c>
      <c r="K231" s="120"/>
      <c r="L231" s="128">
        <f>(IF(J231="u",0.333333333,IF(J231="W",0,IF(J231="C",L231,IF(J231="op",L231,(K231-J231))))))</f>
        <v>0</v>
      </c>
      <c r="M231" s="119">
        <v>0.66666666666666663</v>
      </c>
      <c r="N231" s="120">
        <v>1.1666666666666667</v>
      </c>
      <c r="O231" s="128">
        <f>(IF(M231="u",0.333333333,IF(M231="W",0,IF(M231="C",O231,IF(M231="op",O231,(N231-M231))))))</f>
        <v>0.50000000000000011</v>
      </c>
      <c r="P231" s="119">
        <v>0.16666666666666666</v>
      </c>
      <c r="Q231" s="120">
        <v>0.66666666666666663</v>
      </c>
      <c r="R231" s="128">
        <f>(IF(P231="u",0.333333333,IF(P231="W",0,IF(P231="C",R231,IF(P231="op",R231,(Q231-P231))))))</f>
        <v>0.5</v>
      </c>
      <c r="S231" s="119">
        <v>0.16666666666666666</v>
      </c>
      <c r="T231" s="120">
        <v>0.66666666666666663</v>
      </c>
      <c r="U231" s="128">
        <f>(IF(S231="u",0.333333333,IF(S231="W",0,IF(S231="C",U231,IF(S231="op",U231,(T231-S231))))))</f>
        <v>0.5</v>
      </c>
      <c r="V231" s="119" t="s">
        <v>111</v>
      </c>
      <c r="W231" s="120"/>
      <c r="X231" s="128">
        <f>(IF(V231="u",0.333333333,IF(V231="W",0,IF(V231="C",X231,IF(V231="op",X231,(W231-V231))))))</f>
        <v>0</v>
      </c>
      <c r="Y231" s="119">
        <v>0.5</v>
      </c>
      <c r="Z231" s="120">
        <v>0.91666666666666663</v>
      </c>
      <c r="AA231" s="128">
        <f>(IF(Y231="u",0.333333333,IF(Y231="W",0,IF(Y231="C",AA231,IF(Y231="op",AA231,(Z231-Y231))))))</f>
        <v>0.41666666666666663</v>
      </c>
      <c r="AB231" s="119" t="s">
        <v>111</v>
      </c>
      <c r="AC231" s="120"/>
      <c r="AD231" s="128">
        <f>(IF(AB231="u",0.333333333,IF(AB231="W",0,IF(AB231="C",AD231,IF(AB231="op",AD231,(AC231-AB231))))))</f>
        <v>0</v>
      </c>
      <c r="AE231" s="119" t="s">
        <v>111</v>
      </c>
      <c r="AF231" s="120"/>
      <c r="AG231" s="128">
        <f>(IF(AE231="u",0.333333333,IF(AE231="W",0,IF(AE231="C",AG231,IF(AE231="op",AG231,(AF231-AE231))))))</f>
        <v>0</v>
      </c>
      <c r="AH231" s="119" t="s">
        <v>111</v>
      </c>
      <c r="AI231" s="120"/>
      <c r="AJ231" s="128">
        <f>(IF(AH231="u",0.333333333,IF(AH231="W",0,IF(AH231="C",AJ231,IF(AH231="op",AJ231,(AI231-AH231))))))</f>
        <v>0</v>
      </c>
      <c r="AK231" s="119" t="s">
        <v>111</v>
      </c>
      <c r="AL231" s="120"/>
      <c r="AM231" s="128">
        <f>(IF(AK231="u",0.333333333,IF(AK231="W",0,IF(AK231="C",AM231,IF(AK231="op",AM231,(AL231-AK231))))))</f>
        <v>0</v>
      </c>
      <c r="AN231" s="118">
        <v>15</v>
      </c>
      <c r="AO231" s="113" t="s">
        <v>8</v>
      </c>
      <c r="AP231" s="33"/>
      <c r="AQ231" s="33"/>
      <c r="AR231" s="33"/>
      <c r="AS231" s="33"/>
      <c r="AT231" s="33"/>
      <c r="AU231" s="33"/>
      <c r="AV231" s="33"/>
      <c r="AW231" s="33"/>
      <c r="AX231" s="33"/>
      <c r="AY231" s="33"/>
      <c r="AZ231" s="33"/>
      <c r="BA231" s="33"/>
      <c r="BB231" s="33"/>
      <c r="BC231" s="33"/>
      <c r="BD231" s="33"/>
      <c r="BE231" s="33"/>
      <c r="BF231" s="33"/>
      <c r="BG231" s="33"/>
      <c r="BH231" s="33"/>
      <c r="BI231" s="33"/>
      <c r="BJ231" s="33"/>
      <c r="BK231" s="33"/>
      <c r="BL231" s="33"/>
      <c r="BM231" s="33"/>
      <c r="BN231" s="33"/>
      <c r="BO231" s="33"/>
      <c r="BP231" s="33"/>
      <c r="BQ231" s="33"/>
      <c r="BR231" s="33"/>
      <c r="BS231" s="33"/>
      <c r="BT231" s="33"/>
      <c r="BU231" s="33"/>
      <c r="BV231" s="33"/>
      <c r="BW231" s="33"/>
      <c r="BX231" s="33"/>
      <c r="BY231" s="33"/>
      <c r="BZ231" s="33"/>
      <c r="CA231" s="33"/>
      <c r="CB231" s="33"/>
      <c r="CC231" s="33"/>
      <c r="CD231" s="33"/>
      <c r="CE231" s="33"/>
      <c r="CF231" s="33"/>
      <c r="CG231" s="33"/>
      <c r="CH231" s="33"/>
      <c r="CI231" s="33"/>
      <c r="CJ231" s="33"/>
      <c r="CK231" s="33"/>
      <c r="CL231" s="33"/>
      <c r="CM231" s="33"/>
      <c r="CN231" s="33"/>
      <c r="CO231" s="33"/>
      <c r="CP231" s="33"/>
      <c r="CQ231" s="33"/>
      <c r="CR231" s="33"/>
      <c r="CS231" s="33"/>
      <c r="CT231" s="33"/>
      <c r="CU231" s="33"/>
      <c r="CV231" s="33"/>
      <c r="CW231" s="33"/>
      <c r="CX231" s="33"/>
      <c r="CY231" s="33"/>
      <c r="CZ231" s="33"/>
      <c r="DA231" s="33"/>
      <c r="DB231" s="33"/>
      <c r="DC231" s="33"/>
      <c r="DD231" s="33"/>
      <c r="DE231" s="33"/>
      <c r="DF231" s="33"/>
      <c r="DG231" s="33"/>
      <c r="DH231" s="33"/>
      <c r="DI231" s="33"/>
      <c r="DJ231" s="33"/>
      <c r="DK231" s="33"/>
      <c r="DL231" s="33"/>
      <c r="DM231" s="33"/>
      <c r="DN231" s="33"/>
      <c r="DO231" s="33"/>
      <c r="DP231" s="33"/>
      <c r="DQ231" s="33"/>
    </row>
    <row r="232" spans="1:121" ht="15" customHeight="1">
      <c r="A232" s="42"/>
      <c r="B232" s="118">
        <v>16</v>
      </c>
      <c r="C232" s="113" t="s">
        <v>12</v>
      </c>
      <c r="D232" s="119" t="s">
        <v>111</v>
      </c>
      <c r="E232" s="120"/>
      <c r="F232" s="128">
        <f t="shared" ref="F232:F247" si="250">(IF(D232="u",0.333333333,IF(D232="W",0,IF(D232="C",F232,IF(D232="op",F232,(E232-D232))))))</f>
        <v>0</v>
      </c>
      <c r="G232" s="119" t="s">
        <v>111</v>
      </c>
      <c r="H232" s="120"/>
      <c r="I232" s="128">
        <f t="shared" ref="I232:I247" si="251">(IF(G232="u",0.333333333,IF(G232="W",0,IF(G232="C",I232,IF(G232="op",I232,(H232-G232))))))</f>
        <v>0</v>
      </c>
      <c r="J232" s="119">
        <v>0.41666666666666669</v>
      </c>
      <c r="K232" s="120">
        <v>0.91666666666666663</v>
      </c>
      <c r="L232" s="128">
        <f t="shared" ref="L232:L248" si="252">(IF(J232="u",0.333333333,IF(J232="W",0,IF(J232="C",L232,IF(J232="op",L232,(K232-J232))))))</f>
        <v>0.49999999999999994</v>
      </c>
      <c r="M232" s="119">
        <v>0.66666666666666663</v>
      </c>
      <c r="N232" s="120">
        <v>1.1666666666666667</v>
      </c>
      <c r="O232" s="128">
        <f t="shared" ref="O232:O247" si="253">(IF(M232="u",0.333333333,IF(M232="W",0,IF(M232="C",O232,IF(M232="op",O232,(N232-M232))))))</f>
        <v>0.50000000000000011</v>
      </c>
      <c r="P232" s="119">
        <v>0.125</v>
      </c>
      <c r="Q232" s="120">
        <v>0.58333333333333337</v>
      </c>
      <c r="R232" s="128">
        <f t="shared" ref="R232:R247" si="254">(IF(P232="u",0.333333333,IF(P232="W",0,IF(P232="C",R232,IF(P232="op",R232,(Q232-P232))))))</f>
        <v>0.45833333333333337</v>
      </c>
      <c r="S232" s="119">
        <v>0.125</v>
      </c>
      <c r="T232" s="120">
        <v>0.58333333333333337</v>
      </c>
      <c r="U232" s="128">
        <f t="shared" ref="U232:U247" si="255">(IF(S232="u",0.333333333,IF(S232="W",0,IF(S232="C",U232,IF(S232="op",U232,(T232-S232))))))</f>
        <v>0.45833333333333337</v>
      </c>
      <c r="V232" s="119" t="s">
        <v>111</v>
      </c>
      <c r="W232" s="120"/>
      <c r="X232" s="128">
        <f t="shared" ref="X232:X247" si="256">(IF(V232="u",0.333333333,IF(V232="W",0,IF(V232="C",X232,IF(V232="op",X232,(W232-V232))))))</f>
        <v>0</v>
      </c>
      <c r="Y232" s="119"/>
      <c r="Z232" s="120"/>
      <c r="AA232" s="128">
        <f t="shared" ref="AA232:AA247" si="257">(IF(Y232="u",0.333333333,IF(Y232="W",0,IF(Y232="C",AA232,IF(Y232="op",AA232,(Z232-Y232))))))</f>
        <v>0</v>
      </c>
      <c r="AB232" s="119" t="s">
        <v>111</v>
      </c>
      <c r="AC232" s="120"/>
      <c r="AD232" s="128">
        <f t="shared" ref="AD232:AD247" si="258">(IF(AB232="u",0.333333333,IF(AB232="W",0,IF(AB232="C",AD232,IF(AB232="op",AD232,(AC232-AB232))))))</f>
        <v>0</v>
      </c>
      <c r="AE232" s="119" t="s">
        <v>111</v>
      </c>
      <c r="AF232" s="120"/>
      <c r="AG232" s="128">
        <f t="shared" ref="AG232:AG247" si="259">(IF(AE232="u",0.333333333,IF(AE232="W",0,IF(AE232="C",AG232,IF(AE232="op",AG232,(AF232-AE232))))))</f>
        <v>0</v>
      </c>
      <c r="AH232" s="119" t="s">
        <v>111</v>
      </c>
      <c r="AI232" s="120"/>
      <c r="AJ232" s="128">
        <f t="shared" ref="AJ232:AJ247" si="260">(IF(AH232="u",0.333333333,IF(AH232="W",0,IF(AH232="C",AJ232,IF(AH232="op",AJ232,(AI232-AH232))))))</f>
        <v>0</v>
      </c>
      <c r="AK232" s="119" t="s">
        <v>111</v>
      </c>
      <c r="AL232" s="120"/>
      <c r="AM232" s="128">
        <f t="shared" ref="AM232:AM247" si="261">(IF(AK232="u",0.333333333,IF(AK232="W",0,IF(AK232="C",AM232,IF(AK232="op",AM232,(AL232-AK232))))))</f>
        <v>0</v>
      </c>
      <c r="AN232" s="118">
        <v>16</v>
      </c>
      <c r="AO232" s="113" t="s">
        <v>12</v>
      </c>
      <c r="AP232" s="33"/>
      <c r="AQ232" s="33"/>
      <c r="AR232" s="33"/>
      <c r="AS232" s="33"/>
      <c r="AT232" s="33"/>
      <c r="AU232" s="33"/>
      <c r="AV232" s="33"/>
      <c r="AW232" s="33"/>
      <c r="AX232" s="33"/>
      <c r="AY232" s="33"/>
      <c r="AZ232" s="33"/>
      <c r="BA232" s="33"/>
      <c r="BB232" s="33"/>
      <c r="BC232" s="33"/>
      <c r="BD232" s="33"/>
      <c r="BE232" s="33"/>
      <c r="BF232" s="33"/>
      <c r="BG232" s="33"/>
      <c r="BH232" s="33"/>
      <c r="BI232" s="33"/>
      <c r="BJ232" s="33"/>
      <c r="BK232" s="33"/>
      <c r="BL232" s="33"/>
      <c r="BM232" s="33"/>
      <c r="BN232" s="33"/>
      <c r="BO232" s="33"/>
      <c r="BP232" s="33"/>
      <c r="BQ232" s="33"/>
      <c r="BR232" s="33"/>
      <c r="BS232" s="33"/>
      <c r="BT232" s="33"/>
      <c r="BU232" s="33"/>
      <c r="BV232" s="33"/>
      <c r="BW232" s="33"/>
      <c r="BX232" s="33"/>
      <c r="BY232" s="33"/>
      <c r="BZ232" s="33"/>
      <c r="CA232" s="33"/>
      <c r="CB232" s="33"/>
      <c r="CC232" s="33"/>
      <c r="CD232" s="33"/>
      <c r="CE232" s="33"/>
      <c r="CF232" s="33"/>
      <c r="CG232" s="33"/>
      <c r="CH232" s="33"/>
      <c r="CI232" s="33"/>
      <c r="CJ232" s="33"/>
      <c r="CK232" s="33"/>
      <c r="CL232" s="33"/>
      <c r="CM232" s="33"/>
      <c r="CN232" s="33"/>
      <c r="CO232" s="33"/>
      <c r="CP232" s="33"/>
      <c r="CQ232" s="33"/>
      <c r="CR232" s="33"/>
      <c r="CS232" s="33"/>
      <c r="CT232" s="33"/>
      <c r="CU232" s="33"/>
      <c r="CV232" s="33"/>
      <c r="CW232" s="33"/>
      <c r="CX232" s="33"/>
      <c r="CY232" s="33"/>
      <c r="CZ232" s="33"/>
      <c r="DA232" s="33"/>
      <c r="DB232" s="33"/>
      <c r="DC232" s="33"/>
      <c r="DD232" s="33"/>
      <c r="DE232" s="33"/>
      <c r="DF232" s="33"/>
      <c r="DG232" s="33"/>
      <c r="DH232" s="33"/>
      <c r="DI232" s="33"/>
      <c r="DJ232" s="33"/>
      <c r="DK232" s="33"/>
      <c r="DL232" s="33"/>
      <c r="DM232" s="33"/>
      <c r="DN232" s="33"/>
      <c r="DO232" s="33"/>
      <c r="DP232" s="33"/>
      <c r="DQ232" s="33"/>
    </row>
    <row r="233" spans="1:121" ht="15" customHeight="1">
      <c r="A233" s="33"/>
      <c r="B233" s="118">
        <v>17</v>
      </c>
      <c r="C233" s="113" t="s">
        <v>85</v>
      </c>
      <c r="D233" s="119" t="s">
        <v>111</v>
      </c>
      <c r="E233" s="120"/>
      <c r="F233" s="128">
        <f t="shared" si="250"/>
        <v>0</v>
      </c>
      <c r="G233" s="119" t="s">
        <v>111</v>
      </c>
      <c r="H233" s="120"/>
      <c r="I233" s="128">
        <f t="shared" si="251"/>
        <v>0</v>
      </c>
      <c r="J233" s="119"/>
      <c r="K233" s="120"/>
      <c r="L233" s="128">
        <f t="shared" si="252"/>
        <v>0</v>
      </c>
      <c r="M233" s="119"/>
      <c r="N233" s="120"/>
      <c r="O233" s="128">
        <f t="shared" si="253"/>
        <v>0</v>
      </c>
      <c r="P233" s="119">
        <v>0.125</v>
      </c>
      <c r="Q233" s="120">
        <v>0.58333333333333337</v>
      </c>
      <c r="R233" s="128">
        <f t="shared" si="254"/>
        <v>0.45833333333333337</v>
      </c>
      <c r="S233" s="119">
        <v>0.125</v>
      </c>
      <c r="T233" s="120">
        <v>0.58333333333333337</v>
      </c>
      <c r="U233" s="128">
        <f t="shared" si="255"/>
        <v>0.45833333333333337</v>
      </c>
      <c r="V233" s="119">
        <v>0.16666666666666666</v>
      </c>
      <c r="W233" s="120">
        <v>0.66666666666666663</v>
      </c>
      <c r="X233" s="128">
        <f t="shared" si="256"/>
        <v>0.5</v>
      </c>
      <c r="Y233" s="119">
        <v>0.16666666666666666</v>
      </c>
      <c r="Z233" s="120">
        <v>0.66666666666666663</v>
      </c>
      <c r="AA233" s="128">
        <f t="shared" si="257"/>
        <v>0.5</v>
      </c>
      <c r="AB233" s="119" t="s">
        <v>111</v>
      </c>
      <c r="AC233" s="120"/>
      <c r="AD233" s="128">
        <f t="shared" si="258"/>
        <v>0</v>
      </c>
      <c r="AE233" s="119" t="s">
        <v>111</v>
      </c>
      <c r="AF233" s="120"/>
      <c r="AG233" s="128">
        <f t="shared" si="259"/>
        <v>0</v>
      </c>
      <c r="AH233" s="119" t="s">
        <v>111</v>
      </c>
      <c r="AI233" s="120"/>
      <c r="AJ233" s="128">
        <f t="shared" si="260"/>
        <v>0</v>
      </c>
      <c r="AK233" s="119" t="s">
        <v>111</v>
      </c>
      <c r="AL233" s="120"/>
      <c r="AM233" s="128">
        <f t="shared" si="261"/>
        <v>0</v>
      </c>
      <c r="AN233" s="118">
        <v>17</v>
      </c>
      <c r="AO233" s="113" t="s">
        <v>85</v>
      </c>
      <c r="AP233" s="33"/>
      <c r="AQ233" s="33"/>
      <c r="AR233" s="33"/>
      <c r="AS233" s="33"/>
      <c r="AT233" s="33"/>
      <c r="AU233" s="33"/>
      <c r="AV233" s="33"/>
      <c r="AW233" s="33"/>
      <c r="AX233" s="33"/>
      <c r="AY233" s="33"/>
      <c r="AZ233" s="33"/>
      <c r="BA233" s="33"/>
      <c r="BB233" s="33"/>
      <c r="BC233" s="33"/>
      <c r="BD233" s="33"/>
      <c r="BE233" s="33"/>
      <c r="BF233" s="33"/>
      <c r="BG233" s="33"/>
      <c r="BH233" s="33"/>
      <c r="BI233" s="33"/>
      <c r="BJ233" s="33"/>
      <c r="BK233" s="33"/>
      <c r="BL233" s="33"/>
      <c r="BM233" s="33"/>
      <c r="BN233" s="33"/>
      <c r="BO233" s="33"/>
      <c r="BP233" s="33"/>
      <c r="BQ233" s="33"/>
      <c r="BR233" s="33"/>
      <c r="BS233" s="33"/>
      <c r="BT233" s="33"/>
      <c r="BU233" s="33"/>
      <c r="BV233" s="33"/>
      <c r="BW233" s="33"/>
      <c r="BX233" s="33"/>
      <c r="BY233" s="33"/>
      <c r="BZ233" s="33"/>
      <c r="CA233" s="33"/>
      <c r="CB233" s="33"/>
      <c r="CC233" s="33"/>
      <c r="CD233" s="33"/>
      <c r="CE233" s="33"/>
      <c r="CF233" s="33"/>
      <c r="CG233" s="33"/>
      <c r="CH233" s="33"/>
      <c r="CI233" s="33"/>
      <c r="CJ233" s="33"/>
      <c r="CK233" s="33"/>
      <c r="CL233" s="33"/>
      <c r="CM233" s="33"/>
      <c r="CN233" s="33"/>
      <c r="CO233" s="33"/>
      <c r="CP233" s="33"/>
      <c r="CQ233" s="33"/>
      <c r="CR233" s="33"/>
      <c r="CS233" s="33"/>
      <c r="CT233" s="33"/>
      <c r="CU233" s="33"/>
      <c r="CV233" s="33"/>
      <c r="CW233" s="33"/>
      <c r="CX233" s="33"/>
      <c r="CY233" s="33"/>
      <c r="CZ233" s="33"/>
      <c r="DA233" s="33"/>
      <c r="DB233" s="33"/>
      <c r="DC233" s="33"/>
      <c r="DD233" s="33"/>
      <c r="DE233" s="33"/>
      <c r="DF233" s="33"/>
      <c r="DG233" s="33"/>
      <c r="DH233" s="33"/>
      <c r="DI233" s="33"/>
      <c r="DJ233" s="33"/>
      <c r="DK233" s="33"/>
      <c r="DL233" s="33"/>
      <c r="DM233" s="33"/>
      <c r="DN233" s="33"/>
      <c r="DO233" s="33"/>
      <c r="DP233" s="33"/>
      <c r="DQ233" s="33"/>
    </row>
    <row r="234" spans="1:121" ht="15" customHeight="1">
      <c r="A234" s="33"/>
      <c r="B234" s="118">
        <v>18</v>
      </c>
      <c r="C234" s="113" t="s">
        <v>4</v>
      </c>
      <c r="D234" s="119" t="s">
        <v>111</v>
      </c>
      <c r="E234" s="120"/>
      <c r="F234" s="128">
        <f t="shared" si="250"/>
        <v>0</v>
      </c>
      <c r="G234" s="119" t="s">
        <v>111</v>
      </c>
      <c r="H234" s="120"/>
      <c r="I234" s="128">
        <f t="shared" si="251"/>
        <v>0</v>
      </c>
      <c r="J234" s="119" t="s">
        <v>111</v>
      </c>
      <c r="K234" s="120"/>
      <c r="L234" s="128">
        <f t="shared" si="252"/>
        <v>0</v>
      </c>
      <c r="M234" s="119">
        <v>0.16666666666666666</v>
      </c>
      <c r="N234" s="120">
        <v>0.66666666666666663</v>
      </c>
      <c r="O234" s="128">
        <f t="shared" si="253"/>
        <v>0.5</v>
      </c>
      <c r="P234" s="119">
        <v>0.5</v>
      </c>
      <c r="Q234" s="120">
        <v>0.875</v>
      </c>
      <c r="R234" s="128">
        <f t="shared" si="254"/>
        <v>0.375</v>
      </c>
      <c r="S234" s="119">
        <v>0.5</v>
      </c>
      <c r="T234" s="120">
        <v>0.875</v>
      </c>
      <c r="U234" s="128">
        <f t="shared" si="255"/>
        <v>0.375</v>
      </c>
      <c r="V234" s="119">
        <v>0.16666666666666666</v>
      </c>
      <c r="W234" s="120">
        <v>0.66666666666666663</v>
      </c>
      <c r="X234" s="128">
        <f t="shared" si="256"/>
        <v>0.5</v>
      </c>
      <c r="Y234" s="119">
        <v>0.125</v>
      </c>
      <c r="Z234" s="120">
        <v>0.54166666666666663</v>
      </c>
      <c r="AA234" s="128">
        <f t="shared" si="257"/>
        <v>0.41666666666666663</v>
      </c>
      <c r="AB234" s="119" t="s">
        <v>140</v>
      </c>
      <c r="AC234" s="120"/>
      <c r="AD234" s="128">
        <f t="shared" si="258"/>
        <v>0</v>
      </c>
      <c r="AE234" s="119">
        <v>0.625</v>
      </c>
      <c r="AF234" s="120">
        <v>1.125</v>
      </c>
      <c r="AG234" s="128">
        <f t="shared" si="259"/>
        <v>0.5</v>
      </c>
      <c r="AH234" s="119" t="s">
        <v>111</v>
      </c>
      <c r="AI234" s="120"/>
      <c r="AJ234" s="128">
        <f t="shared" si="260"/>
        <v>0</v>
      </c>
      <c r="AK234" s="119" t="s">
        <v>111</v>
      </c>
      <c r="AL234" s="120"/>
      <c r="AM234" s="128">
        <f t="shared" si="261"/>
        <v>0</v>
      </c>
      <c r="AN234" s="118">
        <v>18</v>
      </c>
      <c r="AO234" s="113" t="s">
        <v>4</v>
      </c>
      <c r="AP234" s="33"/>
      <c r="AQ234" s="33"/>
      <c r="AR234" s="33"/>
      <c r="AS234" s="33"/>
      <c r="AT234" s="33"/>
      <c r="AU234" s="33"/>
      <c r="AV234" s="33"/>
      <c r="AW234" s="33"/>
      <c r="AX234" s="33"/>
      <c r="AY234" s="33"/>
      <c r="AZ234" s="33"/>
      <c r="BA234" s="33"/>
      <c r="BB234" s="33"/>
      <c r="BC234" s="33"/>
      <c r="BD234" s="33"/>
      <c r="BE234" s="33"/>
      <c r="BF234" s="33"/>
      <c r="BG234" s="33"/>
      <c r="BH234" s="33"/>
      <c r="BI234" s="33"/>
      <c r="BJ234" s="33"/>
      <c r="BK234" s="33"/>
      <c r="BL234" s="33"/>
      <c r="BM234" s="33"/>
      <c r="BN234" s="33"/>
      <c r="BO234" s="33"/>
      <c r="BP234" s="33"/>
      <c r="BQ234" s="33"/>
      <c r="BR234" s="33"/>
      <c r="BS234" s="33"/>
      <c r="BT234" s="33"/>
      <c r="BU234" s="33"/>
      <c r="BV234" s="33"/>
      <c r="BW234" s="33"/>
      <c r="BX234" s="33"/>
      <c r="BY234" s="33"/>
      <c r="BZ234" s="33"/>
      <c r="CA234" s="33"/>
      <c r="CB234" s="33"/>
      <c r="CC234" s="33"/>
      <c r="CD234" s="33"/>
      <c r="CE234" s="33"/>
      <c r="CF234" s="33"/>
      <c r="CG234" s="33"/>
      <c r="CH234" s="33"/>
      <c r="CI234" s="33"/>
      <c r="CJ234" s="33"/>
      <c r="CK234" s="33"/>
      <c r="CL234" s="33"/>
      <c r="CM234" s="33"/>
      <c r="CN234" s="33"/>
      <c r="CO234" s="33"/>
      <c r="CP234" s="33"/>
      <c r="CQ234" s="33"/>
      <c r="CR234" s="33"/>
      <c r="CS234" s="33"/>
      <c r="CT234" s="33"/>
      <c r="CU234" s="33"/>
      <c r="CV234" s="33"/>
      <c r="CW234" s="33"/>
      <c r="CX234" s="33"/>
      <c r="CY234" s="33"/>
      <c r="CZ234" s="33"/>
      <c r="DA234" s="33"/>
      <c r="DB234" s="33"/>
      <c r="DC234" s="33"/>
      <c r="DD234" s="33"/>
      <c r="DE234" s="33"/>
      <c r="DF234" s="33"/>
      <c r="DG234" s="33"/>
      <c r="DH234" s="33"/>
      <c r="DI234" s="33"/>
      <c r="DJ234" s="33"/>
      <c r="DK234" s="33"/>
      <c r="DL234" s="33"/>
      <c r="DM234" s="33"/>
      <c r="DN234" s="33"/>
      <c r="DO234" s="33"/>
      <c r="DP234" s="33"/>
      <c r="DQ234" s="33"/>
    </row>
    <row r="235" spans="1:121" ht="17.25" customHeight="1">
      <c r="A235" s="33"/>
      <c r="B235" s="86">
        <v>19</v>
      </c>
      <c r="C235" s="87" t="s">
        <v>5</v>
      </c>
      <c r="D235" s="88" t="s">
        <v>111</v>
      </c>
      <c r="E235" s="89"/>
      <c r="F235" s="92">
        <f t="shared" si="250"/>
        <v>0</v>
      </c>
      <c r="G235" s="88">
        <v>0.16666666666666666</v>
      </c>
      <c r="H235" s="89">
        <v>0.66666666666666663</v>
      </c>
      <c r="I235" s="92">
        <f t="shared" si="251"/>
        <v>0.5</v>
      </c>
      <c r="J235" s="88" t="s">
        <v>111</v>
      </c>
      <c r="K235" s="89"/>
      <c r="L235" s="92">
        <f t="shared" si="252"/>
        <v>0</v>
      </c>
      <c r="M235" s="88">
        <v>0.125</v>
      </c>
      <c r="N235" s="89">
        <v>0.54166666666666663</v>
      </c>
      <c r="O235" s="92">
        <f t="shared" si="253"/>
        <v>0.41666666666666663</v>
      </c>
      <c r="P235" s="88" t="s">
        <v>111</v>
      </c>
      <c r="Q235" s="89"/>
      <c r="R235" s="92">
        <f t="shared" si="254"/>
        <v>0</v>
      </c>
      <c r="S235" s="88" t="s">
        <v>111</v>
      </c>
      <c r="T235" s="89"/>
      <c r="U235" s="92">
        <f t="shared" si="255"/>
        <v>0</v>
      </c>
      <c r="V235" s="88" t="s">
        <v>111</v>
      </c>
      <c r="W235" s="89"/>
      <c r="X235" s="92">
        <f t="shared" si="256"/>
        <v>0</v>
      </c>
      <c r="Y235" s="88" t="s">
        <v>111</v>
      </c>
      <c r="Z235" s="89"/>
      <c r="AA235" s="92">
        <f t="shared" si="257"/>
        <v>0</v>
      </c>
      <c r="AB235" s="88" t="s">
        <v>140</v>
      </c>
      <c r="AC235" s="89"/>
      <c r="AD235" s="92">
        <f t="shared" si="258"/>
        <v>0</v>
      </c>
      <c r="AE235" s="88" t="s">
        <v>111</v>
      </c>
      <c r="AF235" s="89"/>
      <c r="AG235" s="92">
        <f t="shared" si="259"/>
        <v>0</v>
      </c>
      <c r="AH235" s="88">
        <v>0.125</v>
      </c>
      <c r="AI235" s="89">
        <v>0.54166666666666663</v>
      </c>
      <c r="AJ235" s="92">
        <f t="shared" si="260"/>
        <v>0.41666666666666663</v>
      </c>
      <c r="AK235" s="88"/>
      <c r="AL235" s="89"/>
      <c r="AM235" s="92">
        <f t="shared" si="261"/>
        <v>0</v>
      </c>
      <c r="AN235" s="86">
        <v>19</v>
      </c>
      <c r="AO235" s="87" t="s">
        <v>5</v>
      </c>
      <c r="AP235" s="33"/>
      <c r="AQ235" s="33"/>
      <c r="AR235" s="33"/>
      <c r="AS235" s="33"/>
      <c r="AT235" s="33"/>
      <c r="AU235" s="33"/>
      <c r="AV235" s="33"/>
      <c r="AW235" s="33"/>
      <c r="AX235" s="33"/>
      <c r="AY235" s="33"/>
      <c r="AZ235" s="33"/>
      <c r="BA235" s="33"/>
      <c r="BB235" s="33"/>
      <c r="BC235" s="33"/>
      <c r="BD235" s="33"/>
      <c r="BE235" s="33"/>
      <c r="BF235" s="33"/>
      <c r="BG235" s="33"/>
      <c r="BH235" s="33"/>
      <c r="BI235" s="33"/>
      <c r="BJ235" s="33"/>
      <c r="BK235" s="33"/>
      <c r="BL235" s="33"/>
      <c r="BM235" s="33"/>
      <c r="BN235" s="33"/>
      <c r="BO235" s="33"/>
      <c r="BP235" s="33"/>
      <c r="BQ235" s="33"/>
      <c r="BR235" s="33"/>
      <c r="BS235" s="33"/>
      <c r="BT235" s="33"/>
      <c r="BU235" s="33"/>
      <c r="BV235" s="33"/>
      <c r="BW235" s="33"/>
      <c r="BX235" s="33"/>
      <c r="BY235" s="33"/>
      <c r="BZ235" s="33"/>
      <c r="CA235" s="33"/>
      <c r="CB235" s="33"/>
      <c r="CC235" s="33"/>
      <c r="CD235" s="33"/>
      <c r="CE235" s="33"/>
      <c r="CF235" s="33"/>
      <c r="CG235" s="33"/>
      <c r="CH235" s="33"/>
      <c r="CI235" s="33"/>
      <c r="CJ235" s="33"/>
      <c r="CK235" s="33"/>
      <c r="CL235" s="33"/>
      <c r="CM235" s="33"/>
      <c r="CN235" s="33"/>
      <c r="CO235" s="33"/>
      <c r="CP235" s="33"/>
      <c r="CQ235" s="33"/>
      <c r="CR235" s="33"/>
      <c r="CS235" s="33"/>
      <c r="CT235" s="33"/>
      <c r="CU235" s="33"/>
      <c r="CV235" s="33"/>
      <c r="CW235" s="33"/>
      <c r="CX235" s="33"/>
      <c r="CY235" s="33"/>
      <c r="CZ235" s="33"/>
      <c r="DA235" s="33"/>
      <c r="DB235" s="33"/>
      <c r="DC235" s="33"/>
      <c r="DD235" s="33"/>
      <c r="DE235" s="33"/>
      <c r="DF235" s="33"/>
      <c r="DG235" s="33"/>
      <c r="DH235" s="33"/>
      <c r="DI235" s="33"/>
      <c r="DJ235" s="33"/>
      <c r="DK235" s="33"/>
      <c r="DL235" s="33"/>
      <c r="DM235" s="33"/>
      <c r="DN235" s="33"/>
      <c r="DO235" s="33"/>
      <c r="DP235" s="33"/>
      <c r="DQ235" s="33"/>
    </row>
    <row r="236" spans="1:121" s="40" customFormat="1" ht="15" customHeight="1">
      <c r="A236" s="33"/>
      <c r="B236" s="86">
        <v>20</v>
      </c>
      <c r="C236" s="87" t="s">
        <v>6</v>
      </c>
      <c r="D236" s="88">
        <v>0.625</v>
      </c>
      <c r="E236" s="89">
        <v>1.125</v>
      </c>
      <c r="F236" s="92">
        <f t="shared" si="250"/>
        <v>0.5</v>
      </c>
      <c r="G236" s="88" t="s">
        <v>111</v>
      </c>
      <c r="H236" s="89"/>
      <c r="I236" s="92">
        <f t="shared" si="251"/>
        <v>0</v>
      </c>
      <c r="J236" s="88" t="s">
        <v>111</v>
      </c>
      <c r="K236" s="89"/>
      <c r="L236" s="92">
        <f t="shared" si="252"/>
        <v>0</v>
      </c>
      <c r="M236" s="88">
        <v>0.14583333333333334</v>
      </c>
      <c r="N236" s="89">
        <v>0.64583333333333337</v>
      </c>
      <c r="O236" s="92">
        <f t="shared" si="253"/>
        <v>0.5</v>
      </c>
      <c r="P236" s="88" t="s">
        <v>111</v>
      </c>
      <c r="Q236" s="89"/>
      <c r="R236" s="92">
        <f t="shared" si="254"/>
        <v>0</v>
      </c>
      <c r="S236" s="88" t="s">
        <v>111</v>
      </c>
      <c r="T236" s="89"/>
      <c r="U236" s="92">
        <f t="shared" si="255"/>
        <v>0</v>
      </c>
      <c r="V236" s="88" t="s">
        <v>111</v>
      </c>
      <c r="W236" s="89"/>
      <c r="X236" s="92">
        <f t="shared" si="256"/>
        <v>0</v>
      </c>
      <c r="Y236" s="88" t="s">
        <v>111</v>
      </c>
      <c r="Z236" s="89"/>
      <c r="AA236" s="92">
        <f t="shared" si="257"/>
        <v>0</v>
      </c>
      <c r="AB236" s="88" t="s">
        <v>140</v>
      </c>
      <c r="AC236" s="89"/>
      <c r="AD236" s="92">
        <f t="shared" si="258"/>
        <v>0</v>
      </c>
      <c r="AE236" s="88" t="s">
        <v>111</v>
      </c>
      <c r="AF236" s="89"/>
      <c r="AG236" s="92">
        <f t="shared" si="259"/>
        <v>0</v>
      </c>
      <c r="AH236" s="88">
        <v>0.125</v>
      </c>
      <c r="AI236" s="89">
        <v>0.54166666666666663</v>
      </c>
      <c r="AJ236" s="92">
        <f t="shared" si="260"/>
        <v>0.41666666666666663</v>
      </c>
      <c r="AK236" s="88">
        <v>0.14583333333333334</v>
      </c>
      <c r="AL236" s="89">
        <v>0.64583333333333337</v>
      </c>
      <c r="AM236" s="92">
        <f t="shared" si="261"/>
        <v>0.5</v>
      </c>
      <c r="AN236" s="86">
        <v>20</v>
      </c>
      <c r="AO236" s="87" t="s">
        <v>6</v>
      </c>
      <c r="AP236" s="33"/>
      <c r="AQ236" s="33"/>
      <c r="AR236" s="33"/>
      <c r="AS236" s="33"/>
      <c r="AT236" s="33"/>
      <c r="AU236" s="33"/>
      <c r="AV236" s="33"/>
      <c r="AW236" s="33"/>
      <c r="AX236" s="33"/>
      <c r="AY236" s="33"/>
      <c r="AZ236" s="33"/>
      <c r="BA236" s="33"/>
      <c r="BB236" s="33"/>
      <c r="BC236" s="33"/>
      <c r="BD236" s="33"/>
      <c r="BE236" s="33"/>
      <c r="BF236" s="33"/>
      <c r="BG236" s="33"/>
      <c r="BH236" s="33"/>
      <c r="BI236" s="33"/>
      <c r="BJ236" s="33"/>
      <c r="BK236" s="33"/>
      <c r="BL236" s="33"/>
      <c r="BM236" s="33"/>
      <c r="BN236" s="33"/>
      <c r="BO236" s="33"/>
      <c r="BP236" s="33"/>
      <c r="BQ236" s="33"/>
      <c r="BR236" s="33"/>
      <c r="BS236" s="33"/>
      <c r="BT236" s="33"/>
      <c r="BU236" s="33"/>
      <c r="BV236" s="33"/>
      <c r="BW236" s="33"/>
      <c r="BX236" s="33"/>
      <c r="BY236" s="33"/>
      <c r="BZ236" s="33"/>
      <c r="CA236" s="33"/>
      <c r="CB236" s="33"/>
      <c r="CC236" s="33"/>
      <c r="CD236" s="33"/>
      <c r="CE236" s="33"/>
      <c r="CF236" s="33"/>
      <c r="CG236" s="33"/>
      <c r="CH236" s="33"/>
      <c r="CI236" s="33"/>
      <c r="CJ236" s="33"/>
      <c r="CK236" s="33"/>
      <c r="CL236" s="33"/>
      <c r="CM236" s="33"/>
      <c r="CN236" s="33"/>
      <c r="CO236" s="33"/>
      <c r="CP236" s="33"/>
      <c r="CQ236" s="33"/>
      <c r="CR236" s="33"/>
      <c r="CS236" s="33"/>
      <c r="CT236" s="33"/>
      <c r="CU236" s="33"/>
      <c r="CV236" s="33"/>
      <c r="CW236" s="33"/>
      <c r="CX236" s="33"/>
      <c r="CY236" s="33"/>
      <c r="CZ236" s="33"/>
      <c r="DA236" s="33"/>
      <c r="DB236" s="33"/>
      <c r="DC236" s="33"/>
      <c r="DD236" s="33"/>
      <c r="DE236" s="33"/>
      <c r="DF236" s="33"/>
      <c r="DG236" s="33"/>
      <c r="DH236" s="33"/>
      <c r="DI236" s="33"/>
      <c r="DJ236" s="33"/>
      <c r="DK236" s="33"/>
      <c r="DL236" s="33"/>
      <c r="DM236" s="33"/>
      <c r="DN236" s="33"/>
      <c r="DO236" s="33"/>
      <c r="DP236" s="33"/>
      <c r="DQ236" s="33"/>
    </row>
    <row r="237" spans="1:121" s="40" customFormat="1" ht="15.75" customHeight="1">
      <c r="A237" s="42"/>
      <c r="B237" s="118">
        <v>21</v>
      </c>
      <c r="C237" s="113" t="s">
        <v>7</v>
      </c>
      <c r="D237" s="119" t="s">
        <v>111</v>
      </c>
      <c r="E237" s="120"/>
      <c r="F237" s="128">
        <f t="shared" si="250"/>
        <v>0</v>
      </c>
      <c r="G237" s="119" t="s">
        <v>111</v>
      </c>
      <c r="H237" s="120"/>
      <c r="I237" s="128">
        <f t="shared" si="251"/>
        <v>0</v>
      </c>
      <c r="J237" s="119">
        <v>0.5</v>
      </c>
      <c r="K237" s="120">
        <v>0.875</v>
      </c>
      <c r="L237" s="128">
        <f t="shared" si="252"/>
        <v>0.375</v>
      </c>
      <c r="M237" s="119" t="s">
        <v>111</v>
      </c>
      <c r="N237" s="120"/>
      <c r="O237" s="128">
        <f t="shared" si="253"/>
        <v>0</v>
      </c>
      <c r="P237" s="119">
        <v>0.16666666666666666</v>
      </c>
      <c r="Q237" s="120">
        <v>0.66666666666666663</v>
      </c>
      <c r="R237" s="128">
        <f t="shared" si="254"/>
        <v>0.5</v>
      </c>
      <c r="S237" s="119">
        <v>0.16666666666666666</v>
      </c>
      <c r="T237" s="120">
        <v>0.66666666666666663</v>
      </c>
      <c r="U237" s="128">
        <f t="shared" si="255"/>
        <v>0.5</v>
      </c>
      <c r="V237" s="119" t="s">
        <v>111</v>
      </c>
      <c r="W237" s="120"/>
      <c r="X237" s="128">
        <f t="shared" si="256"/>
        <v>0</v>
      </c>
      <c r="Y237" s="119">
        <v>0.16666666666666666</v>
      </c>
      <c r="Z237" s="120">
        <v>0.66666666666666663</v>
      </c>
      <c r="AA237" s="128">
        <f t="shared" si="257"/>
        <v>0.5</v>
      </c>
      <c r="AB237" s="119" t="s">
        <v>111</v>
      </c>
      <c r="AC237" s="120"/>
      <c r="AD237" s="128">
        <f t="shared" si="258"/>
        <v>0</v>
      </c>
      <c r="AE237" s="119" t="s">
        <v>111</v>
      </c>
      <c r="AF237" s="120"/>
      <c r="AG237" s="128">
        <f t="shared" si="259"/>
        <v>0</v>
      </c>
      <c r="AH237" s="119" t="s">
        <v>111</v>
      </c>
      <c r="AI237" s="120"/>
      <c r="AJ237" s="128">
        <f t="shared" si="260"/>
        <v>0</v>
      </c>
      <c r="AK237" s="119" t="s">
        <v>111</v>
      </c>
      <c r="AL237" s="120"/>
      <c r="AM237" s="128">
        <f t="shared" si="261"/>
        <v>0</v>
      </c>
      <c r="AN237" s="118">
        <v>21</v>
      </c>
      <c r="AO237" s="113" t="s">
        <v>7</v>
      </c>
      <c r="AP237" s="33"/>
      <c r="AQ237" s="33"/>
      <c r="AR237" s="33"/>
      <c r="AS237" s="33"/>
      <c r="AT237" s="33"/>
      <c r="AU237" s="33"/>
      <c r="AV237" s="33"/>
      <c r="AW237" s="33"/>
      <c r="AX237" s="33"/>
      <c r="AY237" s="33"/>
      <c r="AZ237" s="33"/>
      <c r="BA237" s="33"/>
      <c r="BB237" s="33"/>
      <c r="BC237" s="33"/>
      <c r="BD237" s="33"/>
      <c r="BE237" s="33"/>
      <c r="BF237" s="33"/>
      <c r="BG237" s="33"/>
      <c r="BH237" s="33"/>
      <c r="BI237" s="33"/>
      <c r="BJ237" s="33"/>
      <c r="BK237" s="33"/>
      <c r="BL237" s="33"/>
      <c r="BM237" s="33"/>
      <c r="BN237" s="33"/>
      <c r="BO237" s="33"/>
      <c r="BP237" s="33"/>
      <c r="BQ237" s="33"/>
      <c r="BR237" s="33"/>
      <c r="BS237" s="33"/>
      <c r="BT237" s="33"/>
      <c r="BU237" s="33"/>
      <c r="BV237" s="33"/>
      <c r="BW237" s="33"/>
      <c r="BX237" s="33"/>
      <c r="BY237" s="33"/>
      <c r="BZ237" s="33"/>
      <c r="CA237" s="33"/>
      <c r="CB237" s="33"/>
      <c r="CC237" s="33"/>
      <c r="CD237" s="33"/>
      <c r="CE237" s="33"/>
      <c r="CF237" s="33"/>
      <c r="CG237" s="33"/>
      <c r="CH237" s="33"/>
      <c r="CI237" s="33"/>
      <c r="CJ237" s="33"/>
      <c r="CK237" s="33"/>
      <c r="CL237" s="33"/>
      <c r="CM237" s="33"/>
      <c r="CN237" s="33"/>
      <c r="CO237" s="33"/>
      <c r="CP237" s="33"/>
      <c r="CQ237" s="33"/>
      <c r="CR237" s="33"/>
      <c r="CS237" s="33"/>
      <c r="CT237" s="33"/>
      <c r="CU237" s="33"/>
      <c r="CV237" s="33"/>
      <c r="CW237" s="33"/>
      <c r="CX237" s="33"/>
      <c r="CY237" s="33"/>
      <c r="CZ237" s="33"/>
      <c r="DA237" s="33"/>
      <c r="DB237" s="33"/>
      <c r="DC237" s="33"/>
      <c r="DD237" s="33"/>
      <c r="DE237" s="33"/>
      <c r="DF237" s="33"/>
      <c r="DG237" s="33"/>
      <c r="DH237" s="33"/>
      <c r="DI237" s="33"/>
      <c r="DJ237" s="33"/>
      <c r="DK237" s="33"/>
      <c r="DL237" s="33"/>
      <c r="DM237" s="33"/>
      <c r="DN237" s="33"/>
      <c r="DO237" s="33"/>
      <c r="DP237" s="33"/>
      <c r="DQ237" s="33"/>
    </row>
    <row r="238" spans="1:121" ht="15" customHeight="1">
      <c r="A238" s="42"/>
      <c r="B238" s="118">
        <v>22</v>
      </c>
      <c r="C238" s="113" t="s">
        <v>8</v>
      </c>
      <c r="D238" s="119" t="s">
        <v>111</v>
      </c>
      <c r="E238" s="120"/>
      <c r="F238" s="128">
        <f t="shared" si="250"/>
        <v>0</v>
      </c>
      <c r="G238" s="119" t="s">
        <v>111</v>
      </c>
      <c r="H238" s="120"/>
      <c r="I238" s="128">
        <f t="shared" si="251"/>
        <v>0</v>
      </c>
      <c r="J238" s="119">
        <v>0.45833333333333331</v>
      </c>
      <c r="K238" s="120">
        <v>0.875</v>
      </c>
      <c r="L238" s="128">
        <f t="shared" si="252"/>
        <v>0.41666666666666669</v>
      </c>
      <c r="M238" s="119" t="s">
        <v>111</v>
      </c>
      <c r="N238" s="120"/>
      <c r="O238" s="128">
        <f t="shared" si="253"/>
        <v>0</v>
      </c>
      <c r="P238" s="119" t="s">
        <v>111</v>
      </c>
      <c r="Q238" s="120"/>
      <c r="R238" s="128">
        <f t="shared" si="254"/>
        <v>0</v>
      </c>
      <c r="S238" s="119">
        <v>0.16666666666666666</v>
      </c>
      <c r="T238" s="120">
        <v>0.66666666666666663</v>
      </c>
      <c r="U238" s="128">
        <f t="shared" si="255"/>
        <v>0.5</v>
      </c>
      <c r="V238" s="119">
        <v>0.16666666666666666</v>
      </c>
      <c r="W238" s="120">
        <v>0.66666666666666663</v>
      </c>
      <c r="X238" s="128">
        <f t="shared" si="256"/>
        <v>0.5</v>
      </c>
      <c r="Y238" s="119">
        <v>0.16666666666666666</v>
      </c>
      <c r="Z238" s="120">
        <v>0.66666666666666663</v>
      </c>
      <c r="AA238" s="128">
        <f t="shared" si="257"/>
        <v>0.5</v>
      </c>
      <c r="AB238" s="119" t="s">
        <v>111</v>
      </c>
      <c r="AC238" s="120"/>
      <c r="AD238" s="128">
        <f t="shared" si="258"/>
        <v>0</v>
      </c>
      <c r="AE238" s="119" t="s">
        <v>111</v>
      </c>
      <c r="AF238" s="120"/>
      <c r="AG238" s="128">
        <f t="shared" si="259"/>
        <v>0</v>
      </c>
      <c r="AH238" s="119" t="s">
        <v>111</v>
      </c>
      <c r="AI238" s="120"/>
      <c r="AJ238" s="128">
        <f t="shared" si="260"/>
        <v>0</v>
      </c>
      <c r="AK238" s="119" t="s">
        <v>111</v>
      </c>
      <c r="AL238" s="120"/>
      <c r="AM238" s="128">
        <f t="shared" si="261"/>
        <v>0</v>
      </c>
      <c r="AN238" s="118">
        <v>22</v>
      </c>
      <c r="AO238" s="113" t="s">
        <v>8</v>
      </c>
      <c r="AP238" s="33"/>
      <c r="AQ238" s="33"/>
      <c r="AR238" s="33"/>
      <c r="AS238" s="33"/>
      <c r="AT238" s="33"/>
      <c r="AU238" s="33"/>
      <c r="AV238" s="33"/>
      <c r="AW238" s="33"/>
      <c r="AX238" s="33"/>
      <c r="AY238" s="33"/>
      <c r="AZ238" s="33"/>
      <c r="BA238" s="33"/>
      <c r="BB238" s="33"/>
      <c r="BC238" s="33"/>
      <c r="BD238" s="33"/>
      <c r="BE238" s="33"/>
      <c r="BF238" s="33"/>
      <c r="BG238" s="33"/>
      <c r="BH238" s="33"/>
      <c r="BI238" s="33"/>
      <c r="BJ238" s="33"/>
      <c r="BK238" s="33"/>
      <c r="BL238" s="33"/>
      <c r="BM238" s="33"/>
      <c r="BN238" s="33"/>
      <c r="BO238" s="33"/>
      <c r="BP238" s="33"/>
      <c r="BQ238" s="33"/>
      <c r="BR238" s="33"/>
      <c r="BS238" s="33"/>
      <c r="BT238" s="33"/>
      <c r="BU238" s="33"/>
      <c r="BV238" s="33"/>
      <c r="BW238" s="33"/>
      <c r="BX238" s="33"/>
      <c r="BY238" s="33"/>
      <c r="BZ238" s="33"/>
      <c r="CA238" s="33"/>
      <c r="CB238" s="33"/>
      <c r="CC238" s="33"/>
      <c r="CD238" s="33"/>
      <c r="CE238" s="33"/>
      <c r="CF238" s="33"/>
      <c r="CG238" s="33"/>
      <c r="CH238" s="33"/>
      <c r="CI238" s="33"/>
      <c r="CJ238" s="33"/>
      <c r="CK238" s="33"/>
      <c r="CL238" s="33"/>
      <c r="CM238" s="33"/>
      <c r="CN238" s="33"/>
      <c r="CO238" s="33"/>
      <c r="CP238" s="33"/>
      <c r="CQ238" s="33"/>
      <c r="CR238" s="33"/>
      <c r="CS238" s="33"/>
      <c r="CT238" s="33"/>
      <c r="CU238" s="33"/>
      <c r="CV238" s="33"/>
      <c r="CW238" s="33"/>
      <c r="CX238" s="33"/>
      <c r="CY238" s="33"/>
      <c r="CZ238" s="33"/>
      <c r="DA238" s="33"/>
      <c r="DB238" s="33"/>
      <c r="DC238" s="33"/>
      <c r="DD238" s="33"/>
      <c r="DE238" s="33"/>
      <c r="DF238" s="33"/>
      <c r="DG238" s="33"/>
      <c r="DH238" s="33"/>
      <c r="DI238" s="33"/>
      <c r="DJ238" s="33"/>
      <c r="DK238" s="33"/>
      <c r="DL238" s="33"/>
      <c r="DM238" s="33"/>
      <c r="DN238" s="33"/>
      <c r="DO238" s="33"/>
      <c r="DP238" s="33"/>
      <c r="DQ238" s="33"/>
    </row>
    <row r="239" spans="1:121" ht="15" customHeight="1">
      <c r="A239" s="42"/>
      <c r="B239" s="118">
        <v>23</v>
      </c>
      <c r="C239" s="113" t="s">
        <v>12</v>
      </c>
      <c r="D239" s="119" t="s">
        <v>111</v>
      </c>
      <c r="E239" s="120"/>
      <c r="F239" s="128">
        <f t="shared" si="250"/>
        <v>0</v>
      </c>
      <c r="G239" s="119" t="s">
        <v>111</v>
      </c>
      <c r="H239" s="120"/>
      <c r="I239" s="128">
        <f t="shared" si="251"/>
        <v>0</v>
      </c>
      <c r="J239" s="119">
        <v>0.4375</v>
      </c>
      <c r="K239" s="120">
        <v>0.9375</v>
      </c>
      <c r="L239" s="128">
        <f t="shared" si="252"/>
        <v>0.5</v>
      </c>
      <c r="M239" s="119"/>
      <c r="N239" s="120"/>
      <c r="O239" s="128">
        <f t="shared" si="253"/>
        <v>0</v>
      </c>
      <c r="P239" s="119">
        <v>0.16666666666666666</v>
      </c>
      <c r="Q239" s="120">
        <v>0.66666666666666663</v>
      </c>
      <c r="R239" s="128">
        <f t="shared" si="254"/>
        <v>0.5</v>
      </c>
      <c r="S239" s="119">
        <v>0.16666666666666666</v>
      </c>
      <c r="T239" s="120">
        <v>0.66666666666666663</v>
      </c>
      <c r="U239" s="128">
        <f t="shared" si="255"/>
        <v>0.5</v>
      </c>
      <c r="V239" s="119">
        <v>0.125</v>
      </c>
      <c r="W239" s="120">
        <v>0.52083333333333337</v>
      </c>
      <c r="X239" s="128">
        <f t="shared" si="256"/>
        <v>0.39583333333333337</v>
      </c>
      <c r="Y239" s="119">
        <v>0.16666666666666666</v>
      </c>
      <c r="Z239" s="120">
        <v>0.66666666666666663</v>
      </c>
      <c r="AA239" s="128">
        <f t="shared" si="257"/>
        <v>0.5</v>
      </c>
      <c r="AB239" s="119" t="s">
        <v>111</v>
      </c>
      <c r="AC239" s="120"/>
      <c r="AD239" s="128">
        <f t="shared" si="258"/>
        <v>0</v>
      </c>
      <c r="AE239" s="119" t="s">
        <v>111</v>
      </c>
      <c r="AF239" s="120"/>
      <c r="AG239" s="128">
        <f t="shared" si="259"/>
        <v>0</v>
      </c>
      <c r="AH239" s="119" t="s">
        <v>111</v>
      </c>
      <c r="AI239" s="120"/>
      <c r="AJ239" s="128">
        <f t="shared" si="260"/>
        <v>0</v>
      </c>
      <c r="AK239" s="119" t="s">
        <v>111</v>
      </c>
      <c r="AL239" s="120"/>
      <c r="AM239" s="128">
        <f t="shared" si="261"/>
        <v>0</v>
      </c>
      <c r="AN239" s="118">
        <v>23</v>
      </c>
      <c r="AO239" s="113" t="s">
        <v>12</v>
      </c>
      <c r="AP239" s="33"/>
      <c r="AQ239" s="33"/>
      <c r="AR239" s="33"/>
      <c r="AS239" s="33"/>
      <c r="AT239" s="33"/>
      <c r="AU239" s="33"/>
      <c r="AV239" s="33"/>
      <c r="AW239" s="33"/>
      <c r="AX239" s="33"/>
      <c r="AY239" s="33"/>
      <c r="AZ239" s="33"/>
      <c r="BA239" s="33"/>
      <c r="BB239" s="33"/>
      <c r="BC239" s="33"/>
      <c r="BD239" s="33"/>
      <c r="BE239" s="33"/>
      <c r="BF239" s="33"/>
      <c r="BG239" s="33"/>
      <c r="BH239" s="33"/>
      <c r="BI239" s="33"/>
      <c r="BJ239" s="33"/>
      <c r="BK239" s="33"/>
      <c r="BL239" s="33"/>
      <c r="BM239" s="33"/>
      <c r="BN239" s="33"/>
      <c r="BO239" s="33"/>
      <c r="BP239" s="33"/>
      <c r="BQ239" s="33"/>
      <c r="BR239" s="33"/>
      <c r="BS239" s="33"/>
      <c r="BT239" s="33"/>
      <c r="BU239" s="33"/>
      <c r="BV239" s="33"/>
      <c r="BW239" s="33"/>
      <c r="BX239" s="33"/>
      <c r="BY239" s="33"/>
      <c r="BZ239" s="33"/>
      <c r="CA239" s="33"/>
      <c r="CB239" s="33"/>
      <c r="CC239" s="33"/>
      <c r="CD239" s="33"/>
      <c r="CE239" s="33"/>
      <c r="CF239" s="33"/>
      <c r="CG239" s="33"/>
      <c r="CH239" s="33"/>
      <c r="CI239" s="33"/>
      <c r="CJ239" s="33"/>
      <c r="CK239" s="33"/>
      <c r="CL239" s="33"/>
      <c r="CM239" s="33"/>
      <c r="CN239" s="33"/>
      <c r="CO239" s="33"/>
      <c r="CP239" s="33"/>
      <c r="CQ239" s="33"/>
      <c r="CR239" s="33"/>
      <c r="CS239" s="33"/>
      <c r="CT239" s="33"/>
      <c r="CU239" s="33"/>
      <c r="CV239" s="33"/>
      <c r="CW239" s="33"/>
      <c r="CX239" s="33"/>
      <c r="CY239" s="33"/>
      <c r="CZ239" s="33"/>
      <c r="DA239" s="33"/>
      <c r="DB239" s="33"/>
      <c r="DC239" s="33"/>
      <c r="DD239" s="33"/>
      <c r="DE239" s="33"/>
      <c r="DF239" s="33"/>
      <c r="DG239" s="33"/>
      <c r="DH239" s="33"/>
      <c r="DI239" s="33"/>
      <c r="DJ239" s="33"/>
      <c r="DK239" s="33"/>
      <c r="DL239" s="33"/>
      <c r="DM239" s="33"/>
      <c r="DN239" s="33"/>
      <c r="DO239" s="33"/>
      <c r="DP239" s="33"/>
      <c r="DQ239" s="33"/>
    </row>
    <row r="240" spans="1:121" ht="15" customHeight="1">
      <c r="A240" s="42"/>
      <c r="B240" s="118">
        <v>24</v>
      </c>
      <c r="C240" s="113" t="s">
        <v>85</v>
      </c>
      <c r="D240" s="119" t="s">
        <v>111</v>
      </c>
      <c r="E240" s="120"/>
      <c r="F240" s="128">
        <f t="shared" si="250"/>
        <v>0</v>
      </c>
      <c r="G240" s="119" t="s">
        <v>111</v>
      </c>
      <c r="H240" s="120"/>
      <c r="I240" s="128">
        <f t="shared" si="251"/>
        <v>0</v>
      </c>
      <c r="J240" s="119">
        <v>0.4375</v>
      </c>
      <c r="K240" s="120">
        <v>0.89583333333333337</v>
      </c>
      <c r="L240" s="128">
        <f t="shared" si="252"/>
        <v>0.45833333333333337</v>
      </c>
      <c r="M240" s="119" t="s">
        <v>111</v>
      </c>
      <c r="N240" s="120"/>
      <c r="O240" s="128">
        <f t="shared" si="253"/>
        <v>0</v>
      </c>
      <c r="P240" s="119">
        <v>0.125</v>
      </c>
      <c r="Q240" s="120">
        <v>0.52083333333333337</v>
      </c>
      <c r="R240" s="128">
        <f t="shared" si="254"/>
        <v>0.39583333333333337</v>
      </c>
      <c r="S240" s="119">
        <v>0.125</v>
      </c>
      <c r="T240" s="120">
        <v>0.52083333333333337</v>
      </c>
      <c r="U240" s="128">
        <f t="shared" si="255"/>
        <v>0.39583333333333337</v>
      </c>
      <c r="V240" s="119" t="s">
        <v>111</v>
      </c>
      <c r="W240" s="120"/>
      <c r="X240" s="128">
        <f t="shared" si="256"/>
        <v>0</v>
      </c>
      <c r="Y240" s="119" t="s">
        <v>111</v>
      </c>
      <c r="Z240" s="120"/>
      <c r="AA240" s="128">
        <f t="shared" si="257"/>
        <v>0</v>
      </c>
      <c r="AB240" s="119" t="s">
        <v>111</v>
      </c>
      <c r="AC240" s="120"/>
      <c r="AD240" s="128">
        <f t="shared" si="258"/>
        <v>0</v>
      </c>
      <c r="AE240" s="119" t="s">
        <v>111</v>
      </c>
      <c r="AF240" s="120"/>
      <c r="AG240" s="128">
        <f t="shared" si="259"/>
        <v>0</v>
      </c>
      <c r="AH240" s="119" t="s">
        <v>111</v>
      </c>
      <c r="AI240" s="120"/>
      <c r="AJ240" s="128">
        <f t="shared" si="260"/>
        <v>0</v>
      </c>
      <c r="AK240" s="119" t="s">
        <v>111</v>
      </c>
      <c r="AL240" s="120"/>
      <c r="AM240" s="128">
        <f t="shared" si="261"/>
        <v>0</v>
      </c>
      <c r="AN240" s="118">
        <v>24</v>
      </c>
      <c r="AO240" s="113" t="s">
        <v>85</v>
      </c>
      <c r="AP240" s="33"/>
      <c r="AQ240" s="33"/>
      <c r="AR240" s="33"/>
      <c r="AS240" s="33"/>
      <c r="AT240" s="33"/>
      <c r="AU240" s="33"/>
      <c r="AV240" s="33"/>
      <c r="AW240" s="33"/>
      <c r="AX240" s="33"/>
      <c r="AY240" s="33"/>
      <c r="AZ240" s="33"/>
      <c r="BA240" s="33"/>
      <c r="BB240" s="33"/>
      <c r="BC240" s="33"/>
      <c r="BD240" s="33"/>
      <c r="BE240" s="33"/>
      <c r="BF240" s="33"/>
      <c r="BG240" s="33"/>
      <c r="BH240" s="33"/>
      <c r="BI240" s="33"/>
      <c r="BJ240" s="33"/>
      <c r="BK240" s="33"/>
      <c r="BL240" s="33"/>
      <c r="BM240" s="33"/>
      <c r="BN240" s="33"/>
      <c r="BO240" s="33"/>
      <c r="BP240" s="33"/>
      <c r="BQ240" s="33"/>
      <c r="BR240" s="33"/>
      <c r="BS240" s="33"/>
      <c r="BT240" s="33"/>
      <c r="BU240" s="33"/>
      <c r="BV240" s="33"/>
      <c r="BW240" s="33"/>
      <c r="BX240" s="33"/>
      <c r="BY240" s="33"/>
      <c r="BZ240" s="33"/>
      <c r="CA240" s="33"/>
      <c r="CB240" s="33"/>
      <c r="CC240" s="33"/>
      <c r="CD240" s="33"/>
      <c r="CE240" s="33"/>
      <c r="CF240" s="33"/>
      <c r="CG240" s="33"/>
      <c r="CH240" s="33"/>
      <c r="CI240" s="33"/>
      <c r="CJ240" s="33"/>
      <c r="CK240" s="33"/>
      <c r="CL240" s="33"/>
      <c r="CM240" s="33"/>
      <c r="CN240" s="33"/>
      <c r="CO240" s="33"/>
      <c r="CP240" s="33"/>
      <c r="CQ240" s="33"/>
      <c r="CR240" s="33"/>
      <c r="CS240" s="33"/>
      <c r="CT240" s="33"/>
      <c r="CU240" s="33"/>
      <c r="CV240" s="33"/>
      <c r="CW240" s="33"/>
      <c r="CX240" s="33"/>
      <c r="CY240" s="33"/>
      <c r="CZ240" s="33"/>
      <c r="DA240" s="33"/>
      <c r="DB240" s="33"/>
      <c r="DC240" s="33"/>
      <c r="DD240" s="33"/>
      <c r="DE240" s="33"/>
      <c r="DF240" s="33"/>
      <c r="DG240" s="33"/>
      <c r="DH240" s="33"/>
      <c r="DI240" s="33"/>
      <c r="DJ240" s="33"/>
      <c r="DK240" s="33"/>
      <c r="DL240" s="33"/>
      <c r="DM240" s="33"/>
      <c r="DN240" s="33"/>
      <c r="DO240" s="33"/>
      <c r="DP240" s="33"/>
      <c r="DQ240" s="33"/>
    </row>
    <row r="241" spans="1:121" ht="15" customHeight="1">
      <c r="A241" s="42"/>
      <c r="B241" s="118">
        <v>25</v>
      </c>
      <c r="C241" s="113" t="s">
        <v>4</v>
      </c>
      <c r="D241" s="119" t="s">
        <v>111</v>
      </c>
      <c r="E241" s="120"/>
      <c r="F241" s="128">
        <f t="shared" si="250"/>
        <v>0</v>
      </c>
      <c r="G241" s="119" t="s">
        <v>111</v>
      </c>
      <c r="H241" s="120"/>
      <c r="I241" s="128">
        <f t="shared" si="251"/>
        <v>0</v>
      </c>
      <c r="J241" s="119" t="s">
        <v>111</v>
      </c>
      <c r="K241" s="120"/>
      <c r="L241" s="128">
        <f t="shared" si="252"/>
        <v>0</v>
      </c>
      <c r="M241" s="119" t="s">
        <v>111</v>
      </c>
      <c r="N241" s="120"/>
      <c r="O241" s="128">
        <f t="shared" si="253"/>
        <v>0</v>
      </c>
      <c r="P241" s="119">
        <v>0.16666666666666666</v>
      </c>
      <c r="Q241" s="120">
        <v>0.66666666666666663</v>
      </c>
      <c r="R241" s="128">
        <f t="shared" si="254"/>
        <v>0.5</v>
      </c>
      <c r="S241" s="119"/>
      <c r="T241" s="120"/>
      <c r="U241" s="128">
        <f t="shared" si="255"/>
        <v>0</v>
      </c>
      <c r="V241" s="119">
        <v>0.4375</v>
      </c>
      <c r="W241" s="120">
        <v>0.89583333333333337</v>
      </c>
      <c r="X241" s="128">
        <f t="shared" si="256"/>
        <v>0.45833333333333337</v>
      </c>
      <c r="Y241" s="119" t="s">
        <v>111</v>
      </c>
      <c r="Z241" s="120"/>
      <c r="AA241" s="128">
        <f t="shared" si="257"/>
        <v>0</v>
      </c>
      <c r="AB241" s="119">
        <v>0.16666666666666666</v>
      </c>
      <c r="AC241" s="120">
        <v>0.66666666666666663</v>
      </c>
      <c r="AD241" s="128">
        <f t="shared" si="258"/>
        <v>0.5</v>
      </c>
      <c r="AE241" s="119">
        <v>0.58333333333333337</v>
      </c>
      <c r="AF241" s="120">
        <v>1.0833333333333333</v>
      </c>
      <c r="AG241" s="128">
        <f t="shared" si="259"/>
        <v>0.49999999999999989</v>
      </c>
      <c r="AH241" s="119" t="s">
        <v>111</v>
      </c>
      <c r="AI241" s="120"/>
      <c r="AJ241" s="128">
        <f t="shared" si="260"/>
        <v>0</v>
      </c>
      <c r="AK241" s="119" t="s">
        <v>111</v>
      </c>
      <c r="AL241" s="120"/>
      <c r="AM241" s="128">
        <f t="shared" si="261"/>
        <v>0</v>
      </c>
      <c r="AN241" s="118">
        <v>25</v>
      </c>
      <c r="AO241" s="113" t="s">
        <v>4</v>
      </c>
      <c r="AP241" s="33"/>
      <c r="AQ241" s="33"/>
      <c r="AR241" s="33"/>
      <c r="AS241" s="33"/>
      <c r="AT241" s="33"/>
      <c r="AU241" s="33"/>
      <c r="AV241" s="33"/>
      <c r="AW241" s="33"/>
      <c r="AX241" s="33"/>
      <c r="AY241" s="33"/>
      <c r="AZ241" s="33"/>
      <c r="BA241" s="33"/>
      <c r="BB241" s="33"/>
      <c r="BC241" s="33"/>
      <c r="BD241" s="33"/>
      <c r="BE241" s="33"/>
      <c r="BF241" s="33"/>
      <c r="BG241" s="33"/>
      <c r="BH241" s="33"/>
      <c r="BI241" s="33"/>
      <c r="BJ241" s="33"/>
      <c r="BK241" s="33"/>
      <c r="BL241" s="33"/>
      <c r="BM241" s="33"/>
      <c r="BN241" s="33"/>
      <c r="BO241" s="33"/>
      <c r="BP241" s="33"/>
      <c r="BQ241" s="33"/>
      <c r="BR241" s="33"/>
      <c r="BS241" s="33"/>
      <c r="BT241" s="33"/>
      <c r="BU241" s="33"/>
      <c r="BV241" s="33"/>
      <c r="BW241" s="33"/>
      <c r="BX241" s="33"/>
      <c r="BY241" s="33"/>
      <c r="BZ241" s="33"/>
      <c r="CA241" s="33"/>
      <c r="CB241" s="33"/>
      <c r="CC241" s="33"/>
      <c r="CD241" s="33"/>
      <c r="CE241" s="33"/>
      <c r="CF241" s="33"/>
      <c r="CG241" s="33"/>
      <c r="CH241" s="33"/>
      <c r="CI241" s="33"/>
      <c r="CJ241" s="33"/>
      <c r="CK241" s="33"/>
      <c r="CL241" s="33"/>
      <c r="CM241" s="33"/>
      <c r="CN241" s="33"/>
      <c r="CO241" s="33"/>
      <c r="CP241" s="33"/>
      <c r="CQ241" s="33"/>
      <c r="CR241" s="33"/>
      <c r="CS241" s="33"/>
      <c r="CT241" s="33"/>
      <c r="CU241" s="33"/>
      <c r="CV241" s="33"/>
      <c r="CW241" s="33"/>
      <c r="CX241" s="33"/>
      <c r="CY241" s="33"/>
      <c r="CZ241" s="33"/>
      <c r="DA241" s="33"/>
      <c r="DB241" s="33"/>
      <c r="DC241" s="33"/>
      <c r="DD241" s="33"/>
      <c r="DE241" s="33"/>
      <c r="DF241" s="33"/>
      <c r="DG241" s="33"/>
      <c r="DH241" s="33"/>
      <c r="DI241" s="33"/>
      <c r="DJ241" s="33"/>
      <c r="DK241" s="33"/>
      <c r="DL241" s="33"/>
      <c r="DM241" s="33"/>
      <c r="DN241" s="33"/>
      <c r="DO241" s="33"/>
      <c r="DP241" s="33"/>
      <c r="DQ241" s="33"/>
    </row>
    <row r="242" spans="1:121" ht="15" customHeight="1">
      <c r="A242" s="42"/>
      <c r="B242" s="86">
        <v>26</v>
      </c>
      <c r="C242" s="87" t="s">
        <v>5</v>
      </c>
      <c r="D242" s="88">
        <v>0.33333333333333331</v>
      </c>
      <c r="E242" s="89">
        <v>0.83333333333333337</v>
      </c>
      <c r="F242" s="92">
        <f t="shared" si="250"/>
        <v>0.5</v>
      </c>
      <c r="G242" s="88" t="s">
        <v>111</v>
      </c>
      <c r="H242" s="89"/>
      <c r="I242" s="92">
        <f t="shared" si="251"/>
        <v>0</v>
      </c>
      <c r="J242" s="88" t="s">
        <v>111</v>
      </c>
      <c r="K242" s="89"/>
      <c r="L242" s="92">
        <f t="shared" si="252"/>
        <v>0</v>
      </c>
      <c r="M242" s="88" t="s">
        <v>111</v>
      </c>
      <c r="N242" s="89"/>
      <c r="O242" s="92">
        <f t="shared" si="253"/>
        <v>0</v>
      </c>
      <c r="P242" s="88">
        <v>0.16666666666666666</v>
      </c>
      <c r="Q242" s="89">
        <v>0.66666666666666663</v>
      </c>
      <c r="R242" s="92">
        <f t="shared" si="254"/>
        <v>0.5</v>
      </c>
      <c r="S242" s="88">
        <v>0.33333333333333331</v>
      </c>
      <c r="T242" s="89">
        <v>0.83333333333333337</v>
      </c>
      <c r="U242" s="92">
        <f t="shared" si="255"/>
        <v>0.5</v>
      </c>
      <c r="V242" s="88" t="s">
        <v>111</v>
      </c>
      <c r="W242" s="89"/>
      <c r="X242" s="92">
        <f t="shared" si="256"/>
        <v>0</v>
      </c>
      <c r="Y242" s="88" t="s">
        <v>111</v>
      </c>
      <c r="Z242" s="89"/>
      <c r="AA242" s="92">
        <f t="shared" si="257"/>
        <v>0</v>
      </c>
      <c r="AB242" s="88">
        <v>0.75</v>
      </c>
      <c r="AC242" s="89">
        <v>1.25</v>
      </c>
      <c r="AD242" s="92">
        <f t="shared" si="258"/>
        <v>0.5</v>
      </c>
      <c r="AE242" s="88" t="s">
        <v>111</v>
      </c>
      <c r="AF242" s="89"/>
      <c r="AG242" s="92">
        <f t="shared" si="259"/>
        <v>0</v>
      </c>
      <c r="AH242" s="88">
        <v>0.75</v>
      </c>
      <c r="AI242" s="89">
        <v>1.25</v>
      </c>
      <c r="AJ242" s="92">
        <f t="shared" si="260"/>
        <v>0.5</v>
      </c>
      <c r="AK242" s="88">
        <v>0.75</v>
      </c>
      <c r="AL242" s="89">
        <v>1.25</v>
      </c>
      <c r="AM242" s="92">
        <f t="shared" si="261"/>
        <v>0.5</v>
      </c>
      <c r="AN242" s="86">
        <v>26</v>
      </c>
      <c r="AO242" s="87" t="s">
        <v>5</v>
      </c>
      <c r="AP242" s="33"/>
      <c r="AQ242" s="33"/>
      <c r="AR242" s="33"/>
      <c r="AS242" s="33"/>
      <c r="AT242" s="33"/>
      <c r="AU242" s="33"/>
      <c r="AV242" s="33"/>
      <c r="AW242" s="33"/>
      <c r="AX242" s="33"/>
      <c r="AY242" s="33"/>
      <c r="AZ242" s="33"/>
      <c r="BA242" s="33"/>
      <c r="BB242" s="33"/>
      <c r="BC242" s="33"/>
      <c r="BD242" s="33"/>
      <c r="BE242" s="33"/>
      <c r="BF242" s="33"/>
      <c r="BG242" s="33"/>
      <c r="BH242" s="33"/>
      <c r="BI242" s="33"/>
      <c r="BJ242" s="33"/>
      <c r="BK242" s="33"/>
      <c r="BL242" s="33"/>
      <c r="BM242" s="33"/>
      <c r="BN242" s="33"/>
      <c r="BO242" s="33"/>
      <c r="BP242" s="33"/>
      <c r="BQ242" s="33"/>
      <c r="BR242" s="33"/>
      <c r="BS242" s="33"/>
      <c r="BT242" s="33"/>
      <c r="BU242" s="33"/>
      <c r="BV242" s="33"/>
      <c r="BW242" s="33"/>
      <c r="BX242" s="33"/>
      <c r="BY242" s="33"/>
      <c r="BZ242" s="33"/>
      <c r="CA242" s="33"/>
      <c r="CB242" s="33"/>
      <c r="CC242" s="33"/>
      <c r="CD242" s="33"/>
      <c r="CE242" s="33"/>
      <c r="CF242" s="33"/>
      <c r="CG242" s="33"/>
      <c r="CH242" s="33"/>
      <c r="CI242" s="33"/>
      <c r="CJ242" s="33"/>
      <c r="CK242" s="33"/>
      <c r="CL242" s="33"/>
      <c r="CM242" s="33"/>
      <c r="CN242" s="33"/>
      <c r="CO242" s="33"/>
      <c r="CP242" s="33"/>
      <c r="CQ242" s="33"/>
      <c r="CR242" s="33"/>
      <c r="CS242" s="33"/>
      <c r="CT242" s="33"/>
      <c r="CU242" s="33"/>
      <c r="CV242" s="33"/>
      <c r="CW242" s="33"/>
      <c r="CX242" s="33"/>
      <c r="CY242" s="33"/>
      <c r="CZ242" s="33"/>
      <c r="DA242" s="33"/>
      <c r="DB242" s="33"/>
      <c r="DC242" s="33"/>
      <c r="DD242" s="33"/>
      <c r="DE242" s="33"/>
      <c r="DF242" s="33"/>
      <c r="DG242" s="33"/>
      <c r="DH242" s="33"/>
      <c r="DI242" s="33"/>
      <c r="DJ242" s="33"/>
      <c r="DK242" s="33"/>
      <c r="DL242" s="33"/>
      <c r="DM242" s="33"/>
      <c r="DN242" s="33"/>
      <c r="DO242" s="33"/>
      <c r="DP242" s="33"/>
      <c r="DQ242" s="33"/>
    </row>
    <row r="243" spans="1:121" s="40" customFormat="1" ht="15" customHeight="1">
      <c r="A243" s="42"/>
      <c r="B243" s="86">
        <v>27</v>
      </c>
      <c r="C243" s="87" t="s">
        <v>6</v>
      </c>
      <c r="D243" s="88">
        <v>0.41666666666666669</v>
      </c>
      <c r="E243" s="89">
        <v>0.875</v>
      </c>
      <c r="F243" s="92">
        <f t="shared" si="250"/>
        <v>0.45833333333333331</v>
      </c>
      <c r="G243" s="88" t="s">
        <v>111</v>
      </c>
      <c r="H243" s="89"/>
      <c r="I243" s="92">
        <f t="shared" si="251"/>
        <v>0</v>
      </c>
      <c r="J243" s="88" t="s">
        <v>111</v>
      </c>
      <c r="K243" s="89"/>
      <c r="L243" s="92">
        <f t="shared" si="252"/>
        <v>0</v>
      </c>
      <c r="M243" s="88" t="s">
        <v>111</v>
      </c>
      <c r="N243" s="89"/>
      <c r="O243" s="92">
        <f t="shared" si="253"/>
        <v>0</v>
      </c>
      <c r="P243" s="88"/>
      <c r="Q243" s="89"/>
      <c r="R243" s="92">
        <f t="shared" si="254"/>
        <v>0</v>
      </c>
      <c r="S243" s="88" t="s">
        <v>111</v>
      </c>
      <c r="T243" s="89"/>
      <c r="U243" s="92">
        <f t="shared" si="255"/>
        <v>0</v>
      </c>
      <c r="V243" s="88" t="s">
        <v>111</v>
      </c>
      <c r="W243" s="89"/>
      <c r="X243" s="92">
        <f t="shared" si="256"/>
        <v>0</v>
      </c>
      <c r="Y243" s="88" t="s">
        <v>111</v>
      </c>
      <c r="Z243" s="89"/>
      <c r="AA243" s="92">
        <f t="shared" si="257"/>
        <v>0</v>
      </c>
      <c r="AB243" s="88"/>
      <c r="AC243" s="89"/>
      <c r="AD243" s="92">
        <f t="shared" si="258"/>
        <v>0</v>
      </c>
      <c r="AE243" s="88"/>
      <c r="AF243" s="89"/>
      <c r="AG243" s="92">
        <f t="shared" si="259"/>
        <v>0</v>
      </c>
      <c r="AH243" s="88"/>
      <c r="AI243" s="89"/>
      <c r="AJ243" s="92">
        <f t="shared" si="260"/>
        <v>0</v>
      </c>
      <c r="AK243" s="88"/>
      <c r="AL243" s="89"/>
      <c r="AM243" s="92">
        <f t="shared" si="261"/>
        <v>0</v>
      </c>
      <c r="AN243" s="86">
        <v>27</v>
      </c>
      <c r="AO243" s="87" t="s">
        <v>6</v>
      </c>
      <c r="AP243" s="33"/>
      <c r="AQ243" s="33"/>
      <c r="AR243" s="33"/>
      <c r="AS243" s="33"/>
      <c r="AT243" s="33"/>
      <c r="AU243" s="33"/>
      <c r="AV243" s="33"/>
      <c r="AW243" s="33"/>
      <c r="AX243" s="33"/>
      <c r="AY243" s="33"/>
      <c r="AZ243" s="33"/>
      <c r="BA243" s="33"/>
      <c r="BB243" s="33"/>
      <c r="BC243" s="33"/>
      <c r="BD243" s="33"/>
      <c r="BE243" s="33"/>
      <c r="BF243" s="33"/>
      <c r="BG243" s="33"/>
      <c r="BH243" s="33"/>
      <c r="BI243" s="33"/>
      <c r="BJ243" s="33"/>
      <c r="BK243" s="33"/>
      <c r="BL243" s="33"/>
      <c r="BM243" s="33"/>
      <c r="BN243" s="33"/>
      <c r="BO243" s="33"/>
      <c r="BP243" s="33"/>
      <c r="BQ243" s="33"/>
      <c r="BR243" s="33"/>
      <c r="BS243" s="33"/>
      <c r="BT243" s="33"/>
      <c r="BU243" s="33"/>
      <c r="BV243" s="33"/>
      <c r="BW243" s="33"/>
      <c r="BX243" s="33"/>
      <c r="BY243" s="33"/>
      <c r="BZ243" s="33"/>
      <c r="CA243" s="33"/>
      <c r="CB243" s="33"/>
      <c r="CC243" s="33"/>
      <c r="CD243" s="33"/>
      <c r="CE243" s="33"/>
      <c r="CF243" s="33"/>
      <c r="CG243" s="33"/>
      <c r="CH243" s="33"/>
      <c r="CI243" s="33"/>
      <c r="CJ243" s="33"/>
      <c r="CK243" s="33"/>
      <c r="CL243" s="33"/>
      <c r="CM243" s="33"/>
      <c r="CN243" s="33"/>
      <c r="CO243" s="33"/>
      <c r="CP243" s="33"/>
      <c r="CQ243" s="33"/>
      <c r="CR243" s="33"/>
      <c r="CS243" s="33"/>
      <c r="CT243" s="33"/>
      <c r="CU243" s="33"/>
      <c r="CV243" s="33"/>
      <c r="CW243" s="33"/>
      <c r="CX243" s="33"/>
      <c r="CY243" s="33"/>
      <c r="CZ243" s="33"/>
      <c r="DA243" s="33"/>
      <c r="DB243" s="33"/>
      <c r="DC243" s="33"/>
      <c r="DD243" s="33"/>
      <c r="DE243" s="33"/>
      <c r="DF243" s="33"/>
      <c r="DG243" s="33"/>
      <c r="DH243" s="33"/>
      <c r="DI243" s="33"/>
      <c r="DJ243" s="33"/>
      <c r="DK243" s="33"/>
      <c r="DL243" s="33"/>
      <c r="DM243" s="33"/>
      <c r="DN243" s="33"/>
      <c r="DO243" s="33"/>
      <c r="DP243" s="33"/>
      <c r="DQ243" s="33"/>
    </row>
    <row r="244" spans="1:121" s="40" customFormat="1" ht="15" customHeight="1">
      <c r="A244" s="42"/>
      <c r="B244" s="118">
        <v>28</v>
      </c>
      <c r="C244" s="113" t="s">
        <v>7</v>
      </c>
      <c r="D244" s="119" t="s">
        <v>111</v>
      </c>
      <c r="E244" s="120"/>
      <c r="F244" s="128">
        <f t="shared" si="250"/>
        <v>0</v>
      </c>
      <c r="G244" s="119">
        <v>0.625</v>
      </c>
      <c r="H244" s="120">
        <v>1.0833333333333333</v>
      </c>
      <c r="I244" s="128">
        <f t="shared" si="251"/>
        <v>0.45833333333333326</v>
      </c>
      <c r="J244" s="119">
        <v>0.5</v>
      </c>
      <c r="K244" s="120">
        <v>0.875</v>
      </c>
      <c r="L244" s="128">
        <f t="shared" si="252"/>
        <v>0.375</v>
      </c>
      <c r="M244" s="119" t="s">
        <v>111</v>
      </c>
      <c r="N244" s="120"/>
      <c r="O244" s="128">
        <f t="shared" si="253"/>
        <v>0</v>
      </c>
      <c r="P244" s="119" t="s">
        <v>111</v>
      </c>
      <c r="Q244" s="120"/>
      <c r="R244" s="128">
        <f t="shared" si="254"/>
        <v>0</v>
      </c>
      <c r="S244" s="119" t="s">
        <v>111</v>
      </c>
      <c r="T244" s="120"/>
      <c r="U244" s="128">
        <f t="shared" si="255"/>
        <v>0</v>
      </c>
      <c r="V244" s="119" t="s">
        <v>111</v>
      </c>
      <c r="W244" s="120"/>
      <c r="X244" s="128">
        <f t="shared" si="256"/>
        <v>0</v>
      </c>
      <c r="Y244" s="119" t="s">
        <v>111</v>
      </c>
      <c r="Z244" s="120"/>
      <c r="AA244" s="128">
        <f t="shared" si="257"/>
        <v>0</v>
      </c>
      <c r="AB244" s="119">
        <v>0.58333333333333337</v>
      </c>
      <c r="AC244" s="120">
        <v>1.0833333333333333</v>
      </c>
      <c r="AD244" s="128">
        <f t="shared" si="258"/>
        <v>0.49999999999999989</v>
      </c>
      <c r="AE244" s="119" t="s">
        <v>111</v>
      </c>
      <c r="AF244" s="120"/>
      <c r="AG244" s="128">
        <f t="shared" si="259"/>
        <v>0</v>
      </c>
      <c r="AH244" s="119" t="s">
        <v>111</v>
      </c>
      <c r="AI244" s="120"/>
      <c r="AJ244" s="128">
        <f t="shared" si="260"/>
        <v>0</v>
      </c>
      <c r="AK244" s="119" t="s">
        <v>111</v>
      </c>
      <c r="AL244" s="120"/>
      <c r="AM244" s="128">
        <f t="shared" si="261"/>
        <v>0</v>
      </c>
      <c r="AN244" s="118">
        <v>28</v>
      </c>
      <c r="AO244" s="113" t="s">
        <v>7</v>
      </c>
      <c r="AP244" s="33"/>
      <c r="AQ244" s="33"/>
      <c r="AR244" s="33"/>
      <c r="AS244" s="33"/>
      <c r="AT244" s="33"/>
      <c r="AU244" s="33"/>
      <c r="AV244" s="33"/>
      <c r="AW244" s="33"/>
      <c r="AX244" s="33"/>
      <c r="AY244" s="33"/>
      <c r="AZ244" s="33"/>
      <c r="BA244" s="33"/>
      <c r="BB244" s="33"/>
      <c r="BC244" s="33"/>
      <c r="BD244" s="33"/>
      <c r="BE244" s="33"/>
      <c r="BF244" s="33"/>
      <c r="BG244" s="33"/>
      <c r="BH244" s="33"/>
      <c r="BI244" s="33"/>
      <c r="BJ244" s="33"/>
      <c r="BK244" s="33"/>
      <c r="BL244" s="33"/>
      <c r="BM244" s="33"/>
      <c r="BN244" s="33"/>
      <c r="BO244" s="33"/>
      <c r="BP244" s="33"/>
      <c r="BQ244" s="33"/>
      <c r="BR244" s="33"/>
      <c r="BS244" s="33"/>
      <c r="BT244" s="33"/>
      <c r="BU244" s="33"/>
      <c r="BV244" s="33"/>
      <c r="BW244" s="33"/>
      <c r="BX244" s="33"/>
      <c r="BY244" s="33"/>
      <c r="BZ244" s="33"/>
      <c r="CA244" s="33"/>
      <c r="CB244" s="33"/>
      <c r="CC244" s="33"/>
      <c r="CD244" s="33"/>
      <c r="CE244" s="33"/>
      <c r="CF244" s="33"/>
      <c r="CG244" s="33"/>
      <c r="CH244" s="33"/>
      <c r="CI244" s="33"/>
      <c r="CJ244" s="33"/>
      <c r="CK244" s="33"/>
      <c r="CL244" s="33"/>
      <c r="CM244" s="33"/>
      <c r="CN244" s="33"/>
      <c r="CO244" s="33"/>
      <c r="CP244" s="33"/>
      <c r="CQ244" s="33"/>
      <c r="CR244" s="33"/>
      <c r="CS244" s="33"/>
      <c r="CT244" s="33"/>
      <c r="CU244" s="33"/>
      <c r="CV244" s="33"/>
      <c r="CW244" s="33"/>
      <c r="CX244" s="33"/>
      <c r="CY244" s="33"/>
      <c r="CZ244" s="33"/>
      <c r="DA244" s="33"/>
      <c r="DB244" s="33"/>
      <c r="DC244" s="33"/>
      <c r="DD244" s="33"/>
      <c r="DE244" s="33"/>
      <c r="DF244" s="33"/>
      <c r="DG244" s="33"/>
      <c r="DH244" s="33"/>
      <c r="DI244" s="33"/>
      <c r="DJ244" s="33"/>
      <c r="DK244" s="33"/>
      <c r="DL244" s="33"/>
      <c r="DM244" s="33"/>
      <c r="DN244" s="33"/>
      <c r="DO244" s="33"/>
      <c r="DP244" s="33"/>
      <c r="DQ244" s="33"/>
    </row>
    <row r="245" spans="1:121" ht="15" customHeight="1">
      <c r="A245" s="42"/>
      <c r="B245" s="118">
        <v>29</v>
      </c>
      <c r="C245" s="113" t="s">
        <v>8</v>
      </c>
      <c r="D245" s="119" t="s">
        <v>111</v>
      </c>
      <c r="E245" s="120"/>
      <c r="F245" s="128">
        <f t="shared" si="250"/>
        <v>0</v>
      </c>
      <c r="G245" s="119"/>
      <c r="H245" s="120"/>
      <c r="I245" s="128">
        <f t="shared" si="251"/>
        <v>0</v>
      </c>
      <c r="J245" s="119">
        <v>0.45833333333333331</v>
      </c>
      <c r="K245" s="120">
        <v>0.875</v>
      </c>
      <c r="L245" s="128">
        <f t="shared" si="252"/>
        <v>0.41666666666666669</v>
      </c>
      <c r="M245" s="119" t="s">
        <v>111</v>
      </c>
      <c r="N245" s="120"/>
      <c r="O245" s="128">
        <f t="shared" si="253"/>
        <v>0</v>
      </c>
      <c r="P245" s="119" t="s">
        <v>111</v>
      </c>
      <c r="Q245" s="120"/>
      <c r="R245" s="128">
        <f t="shared" si="254"/>
        <v>0</v>
      </c>
      <c r="S245" s="119" t="s">
        <v>111</v>
      </c>
      <c r="T245" s="120"/>
      <c r="U245" s="128">
        <f t="shared" si="255"/>
        <v>0</v>
      </c>
      <c r="V245" s="119" t="s">
        <v>111</v>
      </c>
      <c r="W245" s="120"/>
      <c r="X245" s="128">
        <f t="shared" si="256"/>
        <v>0</v>
      </c>
      <c r="Y245" s="119" t="s">
        <v>111</v>
      </c>
      <c r="Z245" s="120"/>
      <c r="AA245" s="128">
        <f t="shared" si="257"/>
        <v>0</v>
      </c>
      <c r="AB245" s="119">
        <v>0.58333333333333337</v>
      </c>
      <c r="AC245" s="120">
        <v>1.0833333333333333</v>
      </c>
      <c r="AD245" s="128">
        <f t="shared" si="258"/>
        <v>0.49999999999999989</v>
      </c>
      <c r="AE245" s="119" t="s">
        <v>111</v>
      </c>
      <c r="AF245" s="120"/>
      <c r="AG245" s="128">
        <f t="shared" si="259"/>
        <v>0</v>
      </c>
      <c r="AH245" s="119" t="s">
        <v>111</v>
      </c>
      <c r="AI245" s="120"/>
      <c r="AJ245" s="128">
        <f t="shared" si="260"/>
        <v>0</v>
      </c>
      <c r="AK245" s="119" t="s">
        <v>111</v>
      </c>
      <c r="AL245" s="120"/>
      <c r="AM245" s="128">
        <f t="shared" si="261"/>
        <v>0</v>
      </c>
      <c r="AN245" s="118">
        <v>29</v>
      </c>
      <c r="AO245" s="113" t="s">
        <v>8</v>
      </c>
      <c r="AP245" s="33"/>
      <c r="AQ245" s="33"/>
      <c r="AR245" s="33"/>
      <c r="AS245" s="33"/>
      <c r="AT245" s="33"/>
      <c r="AU245" s="33"/>
      <c r="AV245" s="33"/>
      <c r="AW245" s="33"/>
      <c r="AX245" s="33"/>
      <c r="AY245" s="33"/>
      <c r="AZ245" s="33"/>
      <c r="BA245" s="33"/>
      <c r="BB245" s="33"/>
      <c r="BC245" s="33"/>
      <c r="BD245" s="33"/>
      <c r="BE245" s="33"/>
      <c r="BF245" s="33"/>
      <c r="BG245" s="33"/>
      <c r="BH245" s="33"/>
      <c r="BI245" s="33"/>
      <c r="BJ245" s="33"/>
      <c r="BK245" s="33"/>
      <c r="BL245" s="33"/>
      <c r="BM245" s="33"/>
      <c r="BN245" s="33"/>
      <c r="BO245" s="33"/>
      <c r="BP245" s="33"/>
      <c r="BQ245" s="33"/>
      <c r="BR245" s="33"/>
      <c r="BS245" s="33"/>
      <c r="BT245" s="33"/>
      <c r="BU245" s="33"/>
      <c r="BV245" s="33"/>
      <c r="BW245" s="33"/>
      <c r="BX245" s="33"/>
      <c r="BY245" s="33"/>
      <c r="BZ245" s="33"/>
      <c r="CA245" s="33"/>
      <c r="CB245" s="33"/>
      <c r="CC245" s="33"/>
      <c r="CD245" s="33"/>
      <c r="CE245" s="33"/>
      <c r="CF245" s="33"/>
      <c r="CG245" s="33"/>
      <c r="CH245" s="33"/>
      <c r="CI245" s="33"/>
      <c r="CJ245" s="33"/>
      <c r="CK245" s="33"/>
      <c r="CL245" s="33"/>
      <c r="CM245" s="33"/>
      <c r="CN245" s="33"/>
      <c r="CO245" s="33"/>
      <c r="CP245" s="33"/>
      <c r="CQ245" s="33"/>
      <c r="CR245" s="33"/>
      <c r="CS245" s="33"/>
      <c r="CT245" s="33"/>
      <c r="CU245" s="33"/>
      <c r="CV245" s="33"/>
      <c r="CW245" s="33"/>
      <c r="CX245" s="33"/>
      <c r="CY245" s="33"/>
      <c r="CZ245" s="33"/>
      <c r="DA245" s="33"/>
      <c r="DB245" s="33"/>
      <c r="DC245" s="33"/>
      <c r="DD245" s="33"/>
      <c r="DE245" s="33"/>
      <c r="DF245" s="33"/>
      <c r="DG245" s="33"/>
      <c r="DH245" s="33"/>
      <c r="DI245" s="33"/>
      <c r="DJ245" s="33"/>
      <c r="DK245" s="33"/>
      <c r="DL245" s="33"/>
      <c r="DM245" s="33"/>
      <c r="DN245" s="33"/>
      <c r="DO245" s="33"/>
      <c r="DP245" s="33"/>
      <c r="DQ245" s="33"/>
    </row>
    <row r="246" spans="1:121" ht="15" customHeight="1">
      <c r="A246" s="42"/>
      <c r="B246" s="118">
        <v>30</v>
      </c>
      <c r="C246" s="113" t="s">
        <v>12</v>
      </c>
      <c r="D246" s="119" t="s">
        <v>111</v>
      </c>
      <c r="E246" s="120"/>
      <c r="F246" s="128">
        <f t="shared" si="250"/>
        <v>0</v>
      </c>
      <c r="G246" s="119" t="s">
        <v>111</v>
      </c>
      <c r="H246" s="120"/>
      <c r="I246" s="128">
        <f t="shared" si="251"/>
        <v>0</v>
      </c>
      <c r="J246" s="119">
        <v>0.75</v>
      </c>
      <c r="K246" s="120">
        <v>1.25</v>
      </c>
      <c r="L246" s="128">
        <f t="shared" si="252"/>
        <v>0.5</v>
      </c>
      <c r="M246" s="119" t="s">
        <v>111</v>
      </c>
      <c r="N246" s="120"/>
      <c r="O246" s="128">
        <f t="shared" si="253"/>
        <v>0</v>
      </c>
      <c r="P246" s="119" t="s">
        <v>111</v>
      </c>
      <c r="Q246" s="120"/>
      <c r="R246" s="128">
        <f t="shared" si="254"/>
        <v>0</v>
      </c>
      <c r="S246" s="119" t="s">
        <v>111</v>
      </c>
      <c r="T246" s="120"/>
      <c r="U246" s="128">
        <f t="shared" si="255"/>
        <v>0</v>
      </c>
      <c r="V246" s="119" t="s">
        <v>111</v>
      </c>
      <c r="W246" s="120"/>
      <c r="X246" s="128">
        <f t="shared" si="256"/>
        <v>0</v>
      </c>
      <c r="Y246" s="119">
        <v>0.16666666666666666</v>
      </c>
      <c r="Z246" s="120">
        <v>0.66666666666666663</v>
      </c>
      <c r="AA246" s="128">
        <f t="shared" si="257"/>
        <v>0.5</v>
      </c>
      <c r="AB246" s="119" t="s">
        <v>111</v>
      </c>
      <c r="AC246" s="120"/>
      <c r="AD246" s="128">
        <f t="shared" si="258"/>
        <v>0</v>
      </c>
      <c r="AE246" s="119" t="s">
        <v>111</v>
      </c>
      <c r="AF246" s="120"/>
      <c r="AG246" s="128">
        <f t="shared" si="259"/>
        <v>0</v>
      </c>
      <c r="AH246" s="119" t="s">
        <v>111</v>
      </c>
      <c r="AI246" s="120"/>
      <c r="AJ246" s="128">
        <f t="shared" si="260"/>
        <v>0</v>
      </c>
      <c r="AK246" s="119" t="s">
        <v>111</v>
      </c>
      <c r="AL246" s="120"/>
      <c r="AM246" s="128">
        <f t="shared" si="261"/>
        <v>0</v>
      </c>
      <c r="AN246" s="118">
        <v>30</v>
      </c>
      <c r="AO246" s="113" t="s">
        <v>12</v>
      </c>
      <c r="AP246" s="33"/>
      <c r="AQ246" s="33"/>
      <c r="AR246" s="33"/>
      <c r="AS246" s="33"/>
      <c r="AT246" s="33"/>
      <c r="AU246" s="33"/>
      <c r="AV246" s="33"/>
      <c r="AW246" s="33"/>
      <c r="AX246" s="33"/>
      <c r="AY246" s="33"/>
      <c r="AZ246" s="33"/>
      <c r="BA246" s="33"/>
      <c r="BB246" s="33"/>
      <c r="BC246" s="33"/>
      <c r="BD246" s="33"/>
      <c r="BE246" s="33"/>
      <c r="BF246" s="33"/>
      <c r="BG246" s="33"/>
      <c r="BH246" s="33"/>
      <c r="BI246" s="33"/>
      <c r="BJ246" s="33"/>
      <c r="BK246" s="33"/>
      <c r="BL246" s="33"/>
      <c r="BM246" s="33"/>
      <c r="BN246" s="33"/>
      <c r="BO246" s="33"/>
      <c r="BP246" s="33"/>
      <c r="BQ246" s="33"/>
      <c r="BR246" s="33"/>
      <c r="BS246" s="33"/>
      <c r="BT246" s="33"/>
      <c r="BU246" s="33"/>
      <c r="BV246" s="33"/>
      <c r="BW246" s="33"/>
      <c r="BX246" s="33"/>
      <c r="BY246" s="33"/>
      <c r="BZ246" s="33"/>
      <c r="CA246" s="33"/>
      <c r="CB246" s="33"/>
      <c r="CC246" s="33"/>
      <c r="CD246" s="33"/>
      <c r="CE246" s="33"/>
      <c r="CF246" s="33"/>
      <c r="CG246" s="33"/>
      <c r="CH246" s="33"/>
      <c r="CI246" s="33"/>
      <c r="CJ246" s="33"/>
      <c r="CK246" s="33"/>
      <c r="CL246" s="33"/>
      <c r="CM246" s="33"/>
      <c r="CN246" s="33"/>
      <c r="CO246" s="33"/>
      <c r="CP246" s="33"/>
      <c r="CQ246" s="33"/>
      <c r="CR246" s="33"/>
      <c r="CS246" s="33"/>
      <c r="CT246" s="33"/>
      <c r="CU246" s="33"/>
      <c r="CV246" s="33"/>
      <c r="CW246" s="33"/>
      <c r="CX246" s="33"/>
      <c r="CY246" s="33"/>
      <c r="CZ246" s="33"/>
      <c r="DA246" s="33"/>
      <c r="DB246" s="33"/>
      <c r="DC246" s="33"/>
      <c r="DD246" s="33"/>
      <c r="DE246" s="33"/>
      <c r="DF246" s="33"/>
      <c r="DG246" s="33"/>
      <c r="DH246" s="33"/>
      <c r="DI246" s="33"/>
      <c r="DJ246" s="33"/>
      <c r="DK246" s="33"/>
      <c r="DL246" s="33"/>
      <c r="DM246" s="33"/>
      <c r="DN246" s="33"/>
      <c r="DO246" s="33"/>
      <c r="DP246" s="33"/>
      <c r="DQ246" s="33"/>
    </row>
    <row r="247" spans="1:121" ht="15" customHeight="1">
      <c r="A247" s="42"/>
      <c r="B247" s="118">
        <v>31</v>
      </c>
      <c r="C247" s="113" t="s">
        <v>85</v>
      </c>
      <c r="D247" s="119" t="s">
        <v>111</v>
      </c>
      <c r="E247" s="120"/>
      <c r="F247" s="128">
        <f t="shared" si="250"/>
        <v>0</v>
      </c>
      <c r="G247" s="119" t="s">
        <v>111</v>
      </c>
      <c r="H247" s="120"/>
      <c r="I247" s="128">
        <f t="shared" si="251"/>
        <v>0</v>
      </c>
      <c r="J247" s="119"/>
      <c r="K247" s="120"/>
      <c r="L247" s="128">
        <f t="shared" si="252"/>
        <v>0</v>
      </c>
      <c r="M247" s="124" t="s">
        <v>111</v>
      </c>
      <c r="N247" s="120"/>
      <c r="O247" s="128">
        <f t="shared" si="253"/>
        <v>0</v>
      </c>
      <c r="P247" s="119" t="s">
        <v>111</v>
      </c>
      <c r="Q247" s="120"/>
      <c r="R247" s="128">
        <f t="shared" si="254"/>
        <v>0</v>
      </c>
      <c r="S247" s="119" t="s">
        <v>111</v>
      </c>
      <c r="T247" s="120"/>
      <c r="U247" s="128">
        <f t="shared" si="255"/>
        <v>0</v>
      </c>
      <c r="V247" s="119" t="s">
        <v>111</v>
      </c>
      <c r="W247" s="120"/>
      <c r="X247" s="128">
        <f t="shared" si="256"/>
        <v>0</v>
      </c>
      <c r="Y247" s="119">
        <v>0.16666666666666666</v>
      </c>
      <c r="Z247" s="120">
        <v>0.66666666666666663</v>
      </c>
      <c r="AA247" s="128">
        <f t="shared" si="257"/>
        <v>0.5</v>
      </c>
      <c r="AB247" s="119" t="s">
        <v>111</v>
      </c>
      <c r="AC247" s="120"/>
      <c r="AD247" s="128">
        <f t="shared" si="258"/>
        <v>0</v>
      </c>
      <c r="AE247" s="124" t="s">
        <v>111</v>
      </c>
      <c r="AF247" s="120"/>
      <c r="AG247" s="128">
        <f t="shared" si="259"/>
        <v>0</v>
      </c>
      <c r="AH247" s="119" t="s">
        <v>111</v>
      </c>
      <c r="AI247" s="120"/>
      <c r="AJ247" s="128">
        <f t="shared" si="260"/>
        <v>0</v>
      </c>
      <c r="AK247" s="119" t="s">
        <v>111</v>
      </c>
      <c r="AL247" s="120"/>
      <c r="AM247" s="128">
        <f t="shared" si="261"/>
        <v>0</v>
      </c>
      <c r="AN247" s="118">
        <v>31</v>
      </c>
      <c r="AO247" s="113" t="s">
        <v>85</v>
      </c>
      <c r="AP247" s="33"/>
      <c r="AQ247" s="33"/>
      <c r="AR247" s="33"/>
      <c r="AS247" s="33"/>
      <c r="AT247" s="33"/>
      <c r="AU247" s="33"/>
      <c r="AV247" s="33"/>
      <c r="AW247" s="33"/>
      <c r="AX247" s="33"/>
      <c r="AY247" s="33"/>
      <c r="AZ247" s="33"/>
      <c r="BA247" s="33"/>
      <c r="BB247" s="33"/>
      <c r="BC247" s="33"/>
      <c r="BD247" s="33"/>
      <c r="BE247" s="33"/>
      <c r="BF247" s="33"/>
      <c r="BG247" s="33"/>
      <c r="BH247" s="33"/>
      <c r="BI247" s="33"/>
      <c r="BJ247" s="33"/>
      <c r="BK247" s="33"/>
      <c r="BL247" s="33"/>
      <c r="BM247" s="33"/>
      <c r="BN247" s="33"/>
      <c r="BO247" s="33"/>
      <c r="BP247" s="33"/>
      <c r="BQ247" s="33"/>
      <c r="BR247" s="33"/>
      <c r="BS247" s="33"/>
      <c r="BT247" s="33"/>
      <c r="BU247" s="33"/>
      <c r="BV247" s="33"/>
      <c r="BW247" s="33"/>
      <c r="BX247" s="33"/>
      <c r="BY247" s="33"/>
      <c r="BZ247" s="33"/>
      <c r="CA247" s="33"/>
      <c r="CB247" s="33"/>
      <c r="CC247" s="33"/>
      <c r="CD247" s="33"/>
      <c r="CE247" s="33"/>
      <c r="CF247" s="33"/>
      <c r="CG247" s="33"/>
      <c r="CH247" s="33"/>
      <c r="CI247" s="33"/>
      <c r="CJ247" s="33"/>
      <c r="CK247" s="33"/>
      <c r="CL247" s="33"/>
      <c r="CM247" s="33"/>
      <c r="CN247" s="33"/>
      <c r="CO247" s="33"/>
      <c r="CP247" s="33"/>
      <c r="CQ247" s="33"/>
      <c r="CR247" s="33"/>
      <c r="CS247" s="33"/>
      <c r="CT247" s="33"/>
      <c r="CU247" s="33"/>
      <c r="CV247" s="33"/>
      <c r="CW247" s="33"/>
      <c r="CX247" s="33"/>
      <c r="CY247" s="33"/>
      <c r="CZ247" s="33"/>
      <c r="DA247" s="33"/>
      <c r="DB247" s="33"/>
      <c r="DC247" s="33"/>
      <c r="DD247" s="33"/>
      <c r="DE247" s="33"/>
      <c r="DF247" s="33"/>
      <c r="DG247" s="33"/>
      <c r="DH247" s="33"/>
      <c r="DI247" s="33"/>
      <c r="DJ247" s="33"/>
      <c r="DK247" s="33"/>
      <c r="DL247" s="33"/>
      <c r="DM247" s="33"/>
      <c r="DN247" s="33"/>
      <c r="DO247" s="33"/>
      <c r="DP247" s="33"/>
      <c r="DQ247" s="33"/>
    </row>
    <row r="248" spans="1:121" ht="15" customHeight="1" thickBot="1">
      <c r="B248" s="85"/>
      <c r="C248" s="39"/>
      <c r="D248" s="77"/>
      <c r="E248" s="78"/>
      <c r="F248" s="50"/>
      <c r="G248" s="77"/>
      <c r="H248" s="78"/>
      <c r="I248" s="50"/>
      <c r="J248" s="77"/>
      <c r="K248" s="78"/>
      <c r="L248" s="50">
        <f t="shared" si="252"/>
        <v>0</v>
      </c>
      <c r="M248" s="82"/>
      <c r="N248" s="83"/>
      <c r="O248" s="50"/>
      <c r="P248" s="77"/>
      <c r="Q248" s="78"/>
      <c r="R248" s="50"/>
      <c r="S248" s="77"/>
      <c r="T248" s="78"/>
      <c r="U248" s="50"/>
      <c r="V248" s="77"/>
      <c r="W248" s="78"/>
      <c r="X248" s="50"/>
      <c r="Y248" s="77"/>
      <c r="Z248" s="78"/>
      <c r="AA248" s="50"/>
      <c r="AB248" s="77"/>
      <c r="AC248" s="78"/>
      <c r="AD248" s="50"/>
      <c r="AE248" s="82"/>
      <c r="AF248" s="83"/>
      <c r="AG248" s="50"/>
      <c r="AH248" s="77"/>
      <c r="AI248" s="78"/>
      <c r="AJ248" s="50"/>
      <c r="AK248" s="77"/>
      <c r="AL248" s="78"/>
      <c r="AM248" s="50"/>
      <c r="AN248" s="85"/>
      <c r="AO248" s="39"/>
      <c r="AP248" s="33"/>
      <c r="AQ248" s="33"/>
      <c r="AR248" s="33"/>
      <c r="AS248" s="33"/>
      <c r="AT248" s="33"/>
      <c r="AU248" s="33"/>
      <c r="AV248" s="33"/>
      <c r="AW248" s="33"/>
      <c r="AX248" s="33"/>
      <c r="AY248" s="33"/>
      <c r="AZ248" s="33"/>
      <c r="BA248" s="33"/>
      <c r="BB248" s="33"/>
      <c r="BC248" s="33"/>
      <c r="BD248" s="33"/>
      <c r="BE248" s="33"/>
      <c r="BF248" s="33"/>
      <c r="BG248" s="33"/>
      <c r="BH248" s="33"/>
      <c r="BI248" s="33"/>
      <c r="BJ248" s="33"/>
      <c r="BK248" s="33"/>
      <c r="BL248" s="33"/>
      <c r="BM248" s="33"/>
      <c r="BN248" s="33"/>
      <c r="BO248" s="33"/>
      <c r="BP248" s="33"/>
      <c r="BQ248" s="33"/>
      <c r="BR248" s="33"/>
      <c r="BS248" s="33"/>
      <c r="BT248" s="33"/>
      <c r="BU248" s="33"/>
      <c r="BV248" s="33"/>
      <c r="BW248" s="33"/>
      <c r="BX248" s="33"/>
      <c r="BY248" s="33"/>
      <c r="BZ248" s="33"/>
      <c r="CA248" s="33"/>
      <c r="CB248" s="33"/>
      <c r="CC248" s="33"/>
      <c r="CD248" s="33"/>
      <c r="CE248" s="33"/>
      <c r="CF248" s="33"/>
      <c r="CG248" s="33"/>
      <c r="CH248" s="33"/>
      <c r="CI248" s="33"/>
      <c r="CJ248" s="33"/>
      <c r="CK248" s="33"/>
      <c r="CL248" s="33"/>
      <c r="CM248" s="33"/>
      <c r="CN248" s="33"/>
      <c r="CO248" s="33"/>
      <c r="CP248" s="33"/>
      <c r="CQ248" s="33"/>
      <c r="CR248" s="33"/>
      <c r="CS248" s="33"/>
      <c r="CT248" s="33"/>
      <c r="CU248" s="33"/>
      <c r="CV248" s="33"/>
      <c r="CW248" s="33"/>
      <c r="CX248" s="33"/>
      <c r="CY248" s="33"/>
      <c r="CZ248" s="33"/>
      <c r="DA248" s="33"/>
      <c r="DB248" s="33"/>
      <c r="DC248" s="33"/>
      <c r="DD248" s="33"/>
      <c r="DE248" s="33"/>
      <c r="DF248" s="33"/>
      <c r="DG248" s="33"/>
      <c r="DH248" s="33"/>
      <c r="DI248" s="33"/>
      <c r="DJ248" s="33"/>
      <c r="DK248" s="33"/>
      <c r="DL248" s="33"/>
      <c r="DM248" s="33"/>
      <c r="DN248" s="33"/>
      <c r="DO248" s="33"/>
      <c r="DP248" s="33"/>
      <c r="DQ248" s="33"/>
    </row>
    <row r="249" spans="1:121" ht="15" customHeight="1" thickBot="1">
      <c r="B249" s="174"/>
      <c r="C249" s="172"/>
      <c r="D249" s="218" t="s">
        <v>58</v>
      </c>
      <c r="E249" s="219"/>
      <c r="F249" s="220"/>
      <c r="G249" s="218" t="s">
        <v>104</v>
      </c>
      <c r="H249" s="219"/>
      <c r="I249" s="220"/>
      <c r="J249" s="218" t="s">
        <v>55</v>
      </c>
      <c r="K249" s="219"/>
      <c r="L249" s="220"/>
      <c r="M249" s="218" t="s">
        <v>113</v>
      </c>
      <c r="N249" s="219"/>
      <c r="O249" s="220"/>
      <c r="P249" s="218" t="s">
        <v>64</v>
      </c>
      <c r="Q249" s="219"/>
      <c r="R249" s="220"/>
      <c r="S249" s="218" t="s">
        <v>67</v>
      </c>
      <c r="T249" s="219"/>
      <c r="U249" s="220"/>
      <c r="V249" s="218" t="s">
        <v>68</v>
      </c>
      <c r="W249" s="219"/>
      <c r="X249" s="220"/>
      <c r="Y249" s="297" t="s">
        <v>125</v>
      </c>
      <c r="Z249" s="298"/>
      <c r="AA249" s="299"/>
      <c r="AB249" s="218" t="s">
        <v>74</v>
      </c>
      <c r="AC249" s="219"/>
      <c r="AD249" s="220"/>
      <c r="AE249" s="303" t="s">
        <v>62</v>
      </c>
      <c r="AF249" s="303"/>
      <c r="AG249" s="304"/>
      <c r="AH249" s="218" t="s">
        <v>54</v>
      </c>
      <c r="AI249" s="219"/>
      <c r="AJ249" s="220"/>
      <c r="AK249" s="218" t="s">
        <v>63</v>
      </c>
      <c r="AL249" s="219"/>
      <c r="AM249" s="220"/>
      <c r="AN249" s="168" t="s">
        <v>0</v>
      </c>
      <c r="AO249" s="168" t="s">
        <v>1</v>
      </c>
      <c r="AQ249" s="33"/>
      <c r="AR249" s="33"/>
      <c r="AS249" s="33"/>
      <c r="AT249" s="33"/>
      <c r="AU249" s="33"/>
      <c r="AV249" s="33"/>
      <c r="AW249" s="33"/>
      <c r="AX249" s="33"/>
      <c r="AY249" s="33"/>
      <c r="AZ249" s="33"/>
      <c r="BA249" s="33"/>
      <c r="BB249" s="33"/>
      <c r="BC249" s="33"/>
      <c r="BD249" s="33"/>
      <c r="BE249" s="33"/>
      <c r="BF249" s="33"/>
      <c r="BG249" s="33"/>
      <c r="BH249" s="33"/>
      <c r="BI249" s="33"/>
      <c r="BJ249" s="33"/>
      <c r="BK249" s="33"/>
      <c r="BL249" s="33"/>
      <c r="BM249" s="33"/>
      <c r="BN249" s="33"/>
      <c r="BO249" s="33"/>
      <c r="BP249" s="33"/>
      <c r="BQ249" s="33"/>
      <c r="BR249" s="33"/>
      <c r="BS249" s="33"/>
      <c r="BT249" s="33"/>
      <c r="BU249" s="33"/>
      <c r="BV249" s="33"/>
      <c r="BW249" s="33"/>
      <c r="BX249" s="33"/>
      <c r="BY249" s="33"/>
      <c r="BZ249" s="33"/>
      <c r="CA249" s="33"/>
      <c r="CB249" s="33"/>
      <c r="CC249" s="33"/>
      <c r="CD249" s="33"/>
      <c r="CE249" s="33"/>
      <c r="CF249" s="33"/>
      <c r="CG249" s="33"/>
      <c r="CH249" s="33"/>
      <c r="CI249" s="33"/>
      <c r="CJ249" s="33"/>
      <c r="CK249" s="33"/>
      <c r="CL249" s="33"/>
      <c r="CM249" s="33"/>
      <c r="CN249" s="33"/>
      <c r="CO249" s="33"/>
      <c r="CP249" s="33"/>
      <c r="CQ249" s="33"/>
      <c r="CR249" s="33"/>
      <c r="CS249" s="33"/>
      <c r="CT249" s="33"/>
      <c r="CU249" s="33"/>
      <c r="CV249" s="33"/>
      <c r="CW249" s="33"/>
      <c r="CX249" s="33"/>
      <c r="CY249" s="33"/>
      <c r="CZ249" s="33"/>
      <c r="DA249" s="33"/>
      <c r="DB249" s="33"/>
      <c r="DC249" s="33"/>
      <c r="DD249" s="33"/>
      <c r="DE249" s="33"/>
      <c r="DF249" s="33"/>
      <c r="DG249" s="33"/>
      <c r="DH249" s="33"/>
      <c r="DI249" s="33"/>
      <c r="DJ249" s="33"/>
      <c r="DK249" s="33"/>
      <c r="DL249" s="33"/>
      <c r="DM249" s="33"/>
      <c r="DN249" s="33"/>
      <c r="DO249" s="33"/>
      <c r="DP249" s="33"/>
      <c r="DQ249" s="33"/>
    </row>
    <row r="250" spans="1:121" ht="15" customHeight="1" thickBot="1">
      <c r="B250" s="172"/>
      <c r="C250" s="172"/>
      <c r="D250" s="221"/>
      <c r="E250" s="222"/>
      <c r="F250" s="223"/>
      <c r="G250" s="221"/>
      <c r="H250" s="222"/>
      <c r="I250" s="223"/>
      <c r="J250" s="221"/>
      <c r="K250" s="222"/>
      <c r="L250" s="223"/>
      <c r="M250" s="221"/>
      <c r="N250" s="222"/>
      <c r="O250" s="223"/>
      <c r="P250" s="221"/>
      <c r="Q250" s="222"/>
      <c r="R250" s="223"/>
      <c r="S250" s="221"/>
      <c r="T250" s="222"/>
      <c r="U250" s="223"/>
      <c r="V250" s="221"/>
      <c r="W250" s="222"/>
      <c r="X250" s="223"/>
      <c r="Y250" s="300"/>
      <c r="Z250" s="301"/>
      <c r="AA250" s="302"/>
      <c r="AB250" s="221"/>
      <c r="AC250" s="222"/>
      <c r="AD250" s="223"/>
      <c r="AE250" s="305"/>
      <c r="AF250" s="305"/>
      <c r="AG250" s="306"/>
      <c r="AH250" s="221"/>
      <c r="AI250" s="222"/>
      <c r="AJ250" s="223"/>
      <c r="AK250" s="221"/>
      <c r="AL250" s="222"/>
      <c r="AM250" s="223"/>
      <c r="AN250" s="168"/>
      <c r="AO250" s="168"/>
      <c r="AQ250" s="33"/>
      <c r="AR250" s="33"/>
      <c r="AS250" s="33"/>
      <c r="AT250" s="33"/>
      <c r="AU250" s="33"/>
      <c r="AV250" s="33"/>
      <c r="AW250" s="33"/>
      <c r="AX250" s="33"/>
      <c r="AY250" s="33"/>
      <c r="AZ250" s="33"/>
      <c r="BA250" s="33"/>
      <c r="BB250" s="33"/>
      <c r="BC250" s="33"/>
      <c r="BD250" s="33"/>
      <c r="BE250" s="33"/>
      <c r="BF250" s="33"/>
      <c r="BG250" s="33"/>
      <c r="BH250" s="33"/>
      <c r="BI250" s="33"/>
      <c r="BJ250" s="33"/>
      <c r="BK250" s="33"/>
      <c r="BL250" s="33"/>
      <c r="BM250" s="33"/>
      <c r="BN250" s="33"/>
      <c r="BO250" s="33"/>
      <c r="BP250" s="33"/>
      <c r="BQ250" s="33"/>
      <c r="BR250" s="33"/>
      <c r="BS250" s="33"/>
      <c r="BT250" s="33"/>
      <c r="BU250" s="33"/>
      <c r="BV250" s="33"/>
      <c r="BW250" s="33"/>
      <c r="BX250" s="33"/>
      <c r="BY250" s="33"/>
      <c r="BZ250" s="33"/>
      <c r="CA250" s="33"/>
      <c r="CB250" s="33"/>
      <c r="CC250" s="33"/>
      <c r="CD250" s="33"/>
      <c r="CE250" s="33"/>
      <c r="CF250" s="33"/>
      <c r="CG250" s="33"/>
      <c r="CH250" s="33"/>
      <c r="CI250" s="33"/>
      <c r="CJ250" s="33"/>
      <c r="CK250" s="33"/>
      <c r="CL250" s="33"/>
      <c r="CM250" s="33"/>
      <c r="CN250" s="33"/>
      <c r="CO250" s="33"/>
      <c r="CP250" s="33"/>
      <c r="CQ250" s="33"/>
      <c r="CR250" s="33"/>
      <c r="CS250" s="33"/>
      <c r="CT250" s="33"/>
      <c r="CU250" s="33"/>
      <c r="CV250" s="33"/>
      <c r="CW250" s="33"/>
      <c r="CX250" s="33"/>
      <c r="CY250" s="33"/>
      <c r="CZ250" s="33"/>
      <c r="DA250" s="33"/>
      <c r="DB250" s="33"/>
      <c r="DC250" s="33"/>
      <c r="DD250" s="33"/>
      <c r="DE250" s="33"/>
      <c r="DF250" s="33"/>
      <c r="DG250" s="33"/>
      <c r="DH250" s="33"/>
      <c r="DI250" s="33"/>
      <c r="DJ250" s="33"/>
      <c r="DK250" s="33"/>
      <c r="DL250" s="33"/>
      <c r="DM250" s="33"/>
      <c r="DN250" s="33"/>
      <c r="DO250" s="33"/>
      <c r="DP250" s="33"/>
      <c r="DQ250" s="33"/>
    </row>
    <row r="251" spans="1:121" ht="15" customHeight="1" thickBot="1">
      <c r="B251" s="172"/>
      <c r="C251" s="172"/>
      <c r="D251" s="312"/>
      <c r="E251" s="313"/>
      <c r="F251" s="314"/>
      <c r="G251" s="312"/>
      <c r="H251" s="313"/>
      <c r="I251" s="314"/>
      <c r="J251" s="312"/>
      <c r="K251" s="313"/>
      <c r="L251" s="314"/>
      <c r="M251" s="312"/>
      <c r="N251" s="313"/>
      <c r="O251" s="314"/>
      <c r="P251" s="312"/>
      <c r="Q251" s="313"/>
      <c r="R251" s="314"/>
      <c r="S251" s="312"/>
      <c r="T251" s="313"/>
      <c r="U251" s="314"/>
      <c r="V251" s="312"/>
      <c r="W251" s="313"/>
      <c r="X251" s="314"/>
      <c r="Y251" s="312"/>
      <c r="Z251" s="313"/>
      <c r="AA251" s="314"/>
      <c r="AB251" s="312"/>
      <c r="AC251" s="313"/>
      <c r="AD251" s="314"/>
      <c r="AE251" s="312"/>
      <c r="AF251" s="313"/>
      <c r="AG251" s="314"/>
      <c r="AH251" s="312"/>
      <c r="AI251" s="313"/>
      <c r="AJ251" s="314"/>
      <c r="AK251" s="312"/>
      <c r="AL251" s="313"/>
      <c r="AM251" s="314"/>
      <c r="AN251" s="168"/>
      <c r="AO251" s="168"/>
      <c r="AQ251" s="33"/>
      <c r="AR251" s="33"/>
      <c r="AS251" s="33"/>
      <c r="AT251" s="33"/>
      <c r="AU251" s="33"/>
      <c r="AV251" s="33"/>
      <c r="AW251" s="33"/>
      <c r="AX251" s="33"/>
      <c r="AY251" s="33"/>
      <c r="AZ251" s="33"/>
      <c r="BA251" s="33"/>
      <c r="BB251" s="33"/>
      <c r="BC251" s="33"/>
      <c r="BD251" s="33"/>
      <c r="BE251" s="33"/>
      <c r="BF251" s="33"/>
      <c r="BG251" s="33"/>
      <c r="BH251" s="33"/>
      <c r="BI251" s="33"/>
      <c r="BJ251" s="33"/>
      <c r="BK251" s="33"/>
      <c r="BL251" s="33"/>
      <c r="BM251" s="33"/>
      <c r="BN251" s="33"/>
      <c r="BO251" s="33"/>
      <c r="BP251" s="33"/>
      <c r="BQ251" s="33"/>
      <c r="BR251" s="33"/>
      <c r="BS251" s="33"/>
      <c r="BT251" s="33"/>
      <c r="BU251" s="33"/>
      <c r="BV251" s="33"/>
      <c r="BW251" s="33"/>
      <c r="BX251" s="33"/>
      <c r="BY251" s="33"/>
      <c r="BZ251" s="33"/>
      <c r="CA251" s="33"/>
      <c r="CB251" s="33"/>
      <c r="CC251" s="33"/>
      <c r="CD251" s="33"/>
      <c r="CE251" s="33"/>
      <c r="CF251" s="33"/>
      <c r="CG251" s="33"/>
      <c r="CH251" s="33"/>
      <c r="CI251" s="33"/>
      <c r="CJ251" s="33"/>
      <c r="CK251" s="33"/>
      <c r="CL251" s="33"/>
      <c r="CM251" s="33"/>
      <c r="CN251" s="33"/>
      <c r="CO251" s="33"/>
      <c r="CP251" s="33"/>
      <c r="CQ251" s="33"/>
      <c r="CR251" s="33"/>
      <c r="CS251" s="33"/>
      <c r="CT251" s="33"/>
      <c r="CU251" s="33"/>
      <c r="CV251" s="33"/>
      <c r="CW251" s="33"/>
      <c r="CX251" s="33"/>
      <c r="CY251" s="33"/>
      <c r="CZ251" s="33"/>
      <c r="DA251" s="33"/>
      <c r="DB251" s="33"/>
      <c r="DC251" s="33"/>
      <c r="DD251" s="33"/>
      <c r="DE251" s="33"/>
      <c r="DF251" s="33"/>
      <c r="DG251" s="33"/>
      <c r="DH251" s="33"/>
      <c r="DI251" s="33"/>
      <c r="DJ251" s="33"/>
      <c r="DK251" s="33"/>
      <c r="DL251" s="33"/>
      <c r="DM251" s="33"/>
      <c r="DN251" s="33"/>
      <c r="DO251" s="33"/>
      <c r="DP251" s="33"/>
      <c r="DQ251" s="33"/>
    </row>
    <row r="252" spans="1:121" ht="15" customHeight="1" thickBot="1">
      <c r="B252" s="173"/>
      <c r="C252" s="173"/>
      <c r="D252" s="9"/>
      <c r="E252" s="6"/>
      <c r="F252" s="7"/>
      <c r="G252" s="43"/>
      <c r="H252" s="6"/>
      <c r="I252" s="7"/>
      <c r="J252" s="9"/>
      <c r="K252" s="6"/>
      <c r="L252" s="7"/>
      <c r="M252" s="9"/>
      <c r="N252" s="6"/>
      <c r="O252" s="7"/>
      <c r="P252" s="9"/>
      <c r="Q252" s="6"/>
      <c r="R252" s="7"/>
      <c r="S252" s="5"/>
      <c r="T252" s="6"/>
      <c r="U252" s="7"/>
      <c r="V252" s="9"/>
      <c r="W252" s="6"/>
      <c r="X252" s="7"/>
      <c r="Y252" s="9"/>
      <c r="Z252" s="6"/>
      <c r="AA252" s="7"/>
      <c r="AB252" s="5"/>
      <c r="AC252" s="6"/>
      <c r="AD252" s="7"/>
      <c r="AE252" s="9"/>
      <c r="AF252" s="6"/>
      <c r="AG252" s="7"/>
      <c r="AH252" s="9"/>
      <c r="AI252" s="6"/>
      <c r="AJ252" s="7"/>
      <c r="AK252" s="9"/>
      <c r="AL252" s="6"/>
      <c r="AM252" s="7"/>
      <c r="AN252" s="168"/>
      <c r="AO252" s="168"/>
      <c r="AQ252" s="33"/>
      <c r="AR252" s="33"/>
      <c r="AS252" s="33"/>
      <c r="AT252" s="33"/>
      <c r="AU252" s="33"/>
      <c r="AV252" s="33"/>
      <c r="AW252" s="33"/>
      <c r="AX252" s="33"/>
      <c r="AY252" s="33"/>
      <c r="AZ252" s="33"/>
      <c r="BA252" s="33"/>
      <c r="BB252" s="33"/>
      <c r="BC252" s="33"/>
      <c r="BD252" s="33"/>
      <c r="BE252" s="33"/>
      <c r="BF252" s="33"/>
      <c r="BG252" s="33"/>
      <c r="BH252" s="33"/>
      <c r="BI252" s="33"/>
      <c r="BJ252" s="33"/>
      <c r="BK252" s="33"/>
      <c r="BL252" s="33"/>
      <c r="BM252" s="33"/>
      <c r="BN252" s="33"/>
      <c r="BO252" s="33"/>
      <c r="BP252" s="33"/>
      <c r="BQ252" s="33"/>
      <c r="BR252" s="33"/>
      <c r="BS252" s="33"/>
      <c r="BT252" s="33"/>
      <c r="BU252" s="33"/>
      <c r="BV252" s="33"/>
      <c r="BW252" s="33"/>
      <c r="BX252" s="33"/>
      <c r="BY252" s="33"/>
      <c r="BZ252" s="33"/>
      <c r="CA252" s="33"/>
      <c r="CB252" s="33"/>
      <c r="CC252" s="33"/>
      <c r="CD252" s="33"/>
      <c r="CE252" s="33"/>
      <c r="CF252" s="33"/>
      <c r="CG252" s="33"/>
      <c r="CH252" s="33"/>
      <c r="CI252" s="33"/>
      <c r="CJ252" s="33"/>
      <c r="CK252" s="33"/>
      <c r="CL252" s="33"/>
      <c r="CM252" s="33"/>
      <c r="CN252" s="33"/>
      <c r="CO252" s="33"/>
      <c r="CP252" s="33"/>
      <c r="CQ252" s="33"/>
      <c r="CR252" s="33"/>
      <c r="CS252" s="33"/>
      <c r="CT252" s="33"/>
      <c r="CU252" s="33"/>
      <c r="CV252" s="33"/>
      <c r="CW252" s="33"/>
      <c r="CX252" s="33"/>
      <c r="CY252" s="33"/>
      <c r="CZ252" s="33"/>
      <c r="DA252" s="33"/>
      <c r="DB252" s="33"/>
      <c r="DC252" s="33"/>
      <c r="DD252" s="33"/>
      <c r="DE252" s="33"/>
      <c r="DF252" s="33"/>
      <c r="DG252" s="33"/>
      <c r="DH252" s="33"/>
      <c r="DI252" s="33"/>
      <c r="DJ252" s="33"/>
      <c r="DK252" s="33"/>
      <c r="DL252" s="33"/>
      <c r="DM252" s="33"/>
      <c r="DN252" s="33"/>
      <c r="DO252" s="33"/>
      <c r="DP252" s="33"/>
      <c r="DQ252" s="33"/>
    </row>
    <row r="253" spans="1:121" ht="15" customHeight="1" thickBot="1">
      <c r="AQ253" s="33"/>
      <c r="AR253" s="33"/>
      <c r="AS253" s="33"/>
      <c r="AT253" s="33"/>
      <c r="AU253" s="33"/>
      <c r="AV253" s="33"/>
      <c r="AW253" s="33"/>
      <c r="AX253" s="33"/>
      <c r="AY253" s="33"/>
      <c r="AZ253" s="33"/>
      <c r="BA253" s="33"/>
      <c r="BB253" s="33"/>
      <c r="BC253" s="33"/>
      <c r="BD253" s="33"/>
      <c r="BE253" s="33"/>
      <c r="BF253" s="33"/>
      <c r="BG253" s="33"/>
      <c r="BH253" s="33"/>
      <c r="BI253" s="33"/>
      <c r="BJ253" s="33"/>
      <c r="BK253" s="33"/>
      <c r="BL253" s="33"/>
      <c r="BM253" s="33"/>
      <c r="BN253" s="33"/>
      <c r="BO253" s="33"/>
      <c r="BP253" s="33"/>
      <c r="BQ253" s="33"/>
      <c r="BR253" s="33"/>
      <c r="BS253" s="33"/>
      <c r="BT253" s="33"/>
      <c r="BU253" s="33"/>
      <c r="BV253" s="33"/>
      <c r="BW253" s="33"/>
      <c r="BX253" s="33"/>
      <c r="BY253" s="33"/>
      <c r="BZ253" s="33"/>
      <c r="CA253" s="33"/>
      <c r="CB253" s="33"/>
      <c r="CC253" s="33"/>
      <c r="CD253" s="33"/>
      <c r="CE253" s="33"/>
      <c r="CF253" s="33"/>
      <c r="CG253" s="33"/>
      <c r="CH253" s="33"/>
      <c r="CI253" s="33"/>
      <c r="CJ253" s="33"/>
      <c r="CK253" s="33"/>
      <c r="CL253" s="33"/>
      <c r="CM253" s="33"/>
      <c r="CN253" s="33"/>
      <c r="CO253" s="33"/>
      <c r="CP253" s="33"/>
      <c r="CQ253" s="33"/>
      <c r="CR253" s="33"/>
      <c r="CS253" s="33"/>
      <c r="CT253" s="33"/>
      <c r="CU253" s="33"/>
      <c r="CV253" s="33"/>
      <c r="CW253" s="33"/>
      <c r="CX253" s="33"/>
      <c r="CY253" s="33"/>
      <c r="CZ253" s="33"/>
      <c r="DA253" s="33"/>
      <c r="DB253" s="33"/>
      <c r="DC253" s="33"/>
      <c r="DD253" s="33"/>
      <c r="DE253" s="33"/>
      <c r="DF253" s="33"/>
      <c r="DG253" s="33"/>
      <c r="DH253" s="33"/>
      <c r="DI253" s="33"/>
      <c r="DJ253" s="33"/>
      <c r="DK253" s="33"/>
      <c r="DL253" s="33"/>
      <c r="DM253" s="33"/>
      <c r="DN253" s="33"/>
      <c r="DO253" s="33"/>
      <c r="DP253" s="33"/>
      <c r="DQ253" s="33"/>
    </row>
    <row r="254" spans="1:121" ht="15" customHeight="1" thickBot="1">
      <c r="B254" s="168" t="s">
        <v>0</v>
      </c>
      <c r="C254" s="168" t="s">
        <v>1</v>
      </c>
      <c r="D254" s="234" t="s">
        <v>106</v>
      </c>
      <c r="E254" s="235"/>
      <c r="F254" s="236"/>
      <c r="G254" s="218" t="s">
        <v>48</v>
      </c>
      <c r="H254" s="219"/>
      <c r="I254" s="220"/>
      <c r="J254" s="315" t="s">
        <v>123</v>
      </c>
      <c r="K254" s="316"/>
      <c r="L254" s="317"/>
      <c r="M254" s="218" t="s">
        <v>86</v>
      </c>
      <c r="N254" s="219"/>
      <c r="O254" s="220"/>
      <c r="P254" s="297" t="s">
        <v>136</v>
      </c>
      <c r="Q254" s="298"/>
      <c r="R254" s="299"/>
      <c r="S254" s="218" t="s">
        <v>112</v>
      </c>
      <c r="T254" s="219"/>
      <c r="U254" s="220"/>
      <c r="V254" s="218" t="s">
        <v>65</v>
      </c>
      <c r="W254" s="219"/>
      <c r="X254" s="220"/>
      <c r="Y254" s="218" t="s">
        <v>91</v>
      </c>
      <c r="Z254" s="219"/>
      <c r="AA254" s="220"/>
      <c r="AB254" s="218" t="s">
        <v>75</v>
      </c>
      <c r="AC254" s="219"/>
      <c r="AD254" s="220"/>
      <c r="AE254" s="218" t="s">
        <v>78</v>
      </c>
      <c r="AF254" s="219"/>
      <c r="AG254" s="220"/>
      <c r="AH254" s="218" t="s">
        <v>77</v>
      </c>
      <c r="AI254" s="219"/>
      <c r="AJ254" s="220"/>
      <c r="AK254" s="218" t="s">
        <v>87</v>
      </c>
      <c r="AL254" s="219"/>
      <c r="AM254" s="220"/>
      <c r="AN254" s="168" t="s">
        <v>0</v>
      </c>
      <c r="AO254" s="168" t="s">
        <v>1</v>
      </c>
      <c r="AQ254" s="33"/>
      <c r="AR254" s="33"/>
      <c r="AS254" s="33"/>
      <c r="AT254" s="33"/>
      <c r="AU254" s="33"/>
      <c r="AV254" s="33"/>
      <c r="AW254" s="33"/>
      <c r="AX254" s="33"/>
      <c r="AY254" s="33"/>
      <c r="AZ254" s="33"/>
      <c r="BA254" s="33"/>
      <c r="BB254" s="33"/>
      <c r="BC254" s="33"/>
      <c r="BD254" s="33"/>
      <c r="BE254" s="33"/>
      <c r="BF254" s="33"/>
      <c r="BG254" s="33"/>
      <c r="BH254" s="33"/>
      <c r="BI254" s="33"/>
      <c r="BJ254" s="33"/>
      <c r="BK254" s="33"/>
      <c r="BL254" s="33"/>
      <c r="BM254" s="33"/>
      <c r="BN254" s="33"/>
      <c r="BO254" s="33"/>
      <c r="BP254" s="33"/>
      <c r="BQ254" s="33"/>
      <c r="BR254" s="33"/>
      <c r="BS254" s="33"/>
      <c r="BT254" s="33"/>
      <c r="BU254" s="33"/>
      <c r="BV254" s="33"/>
      <c r="BW254" s="33"/>
      <c r="BX254" s="33"/>
      <c r="BY254" s="33"/>
      <c r="BZ254" s="33"/>
      <c r="CA254" s="33"/>
      <c r="CB254" s="33"/>
      <c r="CC254" s="33"/>
      <c r="CD254" s="33"/>
      <c r="CE254" s="33"/>
      <c r="CF254" s="33"/>
      <c r="CG254" s="33"/>
      <c r="CH254" s="33"/>
      <c r="CI254" s="33"/>
      <c r="CJ254" s="33"/>
      <c r="CK254" s="33"/>
      <c r="CL254" s="33"/>
      <c r="CM254" s="33"/>
      <c r="CN254" s="33"/>
      <c r="CO254" s="33"/>
      <c r="CP254" s="33"/>
      <c r="CQ254" s="33"/>
      <c r="CR254" s="33"/>
      <c r="CS254" s="33"/>
      <c r="CT254" s="33"/>
      <c r="CU254" s="33"/>
      <c r="CV254" s="33"/>
      <c r="CW254" s="33"/>
      <c r="CX254" s="33"/>
      <c r="CY254" s="33"/>
      <c r="CZ254" s="33"/>
      <c r="DA254" s="33"/>
      <c r="DB254" s="33"/>
      <c r="DC254" s="33"/>
      <c r="DD254" s="33"/>
      <c r="DE254" s="33"/>
      <c r="DF254" s="33"/>
      <c r="DG254" s="33"/>
      <c r="DH254" s="33"/>
      <c r="DI254" s="33"/>
      <c r="DJ254" s="33"/>
      <c r="DK254" s="33"/>
      <c r="DL254" s="33"/>
      <c r="DM254" s="33"/>
      <c r="DN254" s="33"/>
      <c r="DO254" s="33"/>
      <c r="DP254" s="33"/>
      <c r="DQ254" s="33"/>
    </row>
    <row r="255" spans="1:121" ht="15" customHeight="1" thickBot="1">
      <c r="B255" s="168"/>
      <c r="C255" s="168"/>
      <c r="D255" s="237"/>
      <c r="E255" s="238"/>
      <c r="F255" s="239"/>
      <c r="G255" s="221"/>
      <c r="H255" s="222"/>
      <c r="I255" s="223"/>
      <c r="J255" s="318"/>
      <c r="K255" s="319"/>
      <c r="L255" s="320"/>
      <c r="M255" s="221"/>
      <c r="N255" s="222"/>
      <c r="O255" s="223"/>
      <c r="P255" s="300"/>
      <c r="Q255" s="301"/>
      <c r="R255" s="302"/>
      <c r="S255" s="221"/>
      <c r="T255" s="222"/>
      <c r="U255" s="223"/>
      <c r="V255" s="221"/>
      <c r="W255" s="222"/>
      <c r="X255" s="223"/>
      <c r="Y255" s="221"/>
      <c r="Z255" s="222"/>
      <c r="AA255" s="223"/>
      <c r="AB255" s="221"/>
      <c r="AC255" s="222"/>
      <c r="AD255" s="223"/>
      <c r="AE255" s="221"/>
      <c r="AF255" s="222"/>
      <c r="AG255" s="223"/>
      <c r="AH255" s="221"/>
      <c r="AI255" s="222"/>
      <c r="AJ255" s="223"/>
      <c r="AK255" s="221"/>
      <c r="AL255" s="222"/>
      <c r="AM255" s="223"/>
      <c r="AN255" s="168"/>
      <c r="AO255" s="168"/>
      <c r="AQ255" s="33"/>
      <c r="AR255" s="33"/>
      <c r="AS255" s="33"/>
      <c r="AT255" s="33"/>
      <c r="AU255" s="33"/>
      <c r="AV255" s="33"/>
      <c r="AW255" s="33"/>
      <c r="AX255" s="33"/>
      <c r="AY255" s="33"/>
      <c r="AZ255" s="33"/>
      <c r="BA255" s="33"/>
      <c r="BB255" s="33"/>
      <c r="BC255" s="33"/>
      <c r="BD255" s="33"/>
      <c r="BE255" s="33"/>
      <c r="BF255" s="33"/>
      <c r="BG255" s="33"/>
      <c r="BH255" s="33"/>
      <c r="BI255" s="33"/>
      <c r="BJ255" s="33"/>
      <c r="BK255" s="33"/>
      <c r="BL255" s="33"/>
      <c r="BM255" s="33"/>
      <c r="BN255" s="33"/>
      <c r="BO255" s="33"/>
      <c r="BP255" s="33"/>
      <c r="BQ255" s="33"/>
      <c r="BR255" s="33"/>
      <c r="BS255" s="33"/>
      <c r="BT255" s="33"/>
      <c r="BU255" s="33"/>
      <c r="BV255" s="33"/>
      <c r="BW255" s="33"/>
      <c r="BX255" s="33"/>
      <c r="BY255" s="33"/>
      <c r="BZ255" s="33"/>
      <c r="CA255" s="33"/>
      <c r="CB255" s="33"/>
      <c r="CC255" s="33"/>
      <c r="CD255" s="33"/>
      <c r="CE255" s="33"/>
      <c r="CF255" s="33"/>
      <c r="CG255" s="33"/>
      <c r="CH255" s="33"/>
      <c r="CI255" s="33"/>
      <c r="CJ255" s="33"/>
      <c r="CK255" s="33"/>
      <c r="CL255" s="33"/>
      <c r="CM255" s="33"/>
      <c r="CN255" s="33"/>
      <c r="CO255" s="33"/>
      <c r="CP255" s="33"/>
      <c r="CQ255" s="33"/>
      <c r="CR255" s="33"/>
      <c r="CS255" s="33"/>
      <c r="CT255" s="33"/>
      <c r="CU255" s="33"/>
      <c r="CV255" s="33"/>
      <c r="CW255" s="33"/>
      <c r="CX255" s="33"/>
      <c r="CY255" s="33"/>
      <c r="CZ255" s="33"/>
      <c r="DA255" s="33"/>
      <c r="DB255" s="33"/>
      <c r="DC255" s="33"/>
      <c r="DD255" s="33"/>
      <c r="DE255" s="33"/>
      <c r="DF255" s="33"/>
      <c r="DG255" s="33"/>
      <c r="DH255" s="33"/>
      <c r="DI255" s="33"/>
      <c r="DJ255" s="33"/>
      <c r="DK255" s="33"/>
      <c r="DL255" s="33"/>
      <c r="DM255" s="33"/>
      <c r="DN255" s="33"/>
      <c r="DO255" s="33"/>
      <c r="DP255" s="33"/>
      <c r="DQ255" s="33"/>
    </row>
    <row r="256" spans="1:121" ht="15" customHeight="1" thickBot="1">
      <c r="B256" s="168"/>
      <c r="C256" s="208"/>
      <c r="D256" s="321">
        <v>73</v>
      </c>
      <c r="E256" s="322"/>
      <c r="F256" s="323"/>
      <c r="G256" s="170">
        <v>74</v>
      </c>
      <c r="H256" s="170"/>
      <c r="I256" s="171"/>
      <c r="J256" s="169">
        <v>75</v>
      </c>
      <c r="K256" s="170"/>
      <c r="L256" s="171"/>
      <c r="M256" s="169">
        <v>76</v>
      </c>
      <c r="N256" s="170"/>
      <c r="O256" s="171"/>
      <c r="P256" s="169">
        <v>77</v>
      </c>
      <c r="Q256" s="170"/>
      <c r="R256" s="171"/>
      <c r="S256" s="169">
        <v>78</v>
      </c>
      <c r="T256" s="170"/>
      <c r="U256" s="171"/>
      <c r="V256" s="169">
        <v>79</v>
      </c>
      <c r="W256" s="170"/>
      <c r="X256" s="171"/>
      <c r="Y256" s="169">
        <v>80</v>
      </c>
      <c r="Z256" s="170"/>
      <c r="AA256" s="171"/>
      <c r="AB256" s="169">
        <v>81</v>
      </c>
      <c r="AC256" s="170"/>
      <c r="AD256" s="171"/>
      <c r="AE256" s="169">
        <v>82</v>
      </c>
      <c r="AF256" s="170"/>
      <c r="AG256" s="171"/>
      <c r="AH256" s="169">
        <v>83</v>
      </c>
      <c r="AI256" s="170"/>
      <c r="AJ256" s="171"/>
      <c r="AK256" s="169">
        <v>84</v>
      </c>
      <c r="AL256" s="170"/>
      <c r="AM256" s="171"/>
      <c r="AN256" s="168"/>
      <c r="AO256" s="168"/>
      <c r="AQ256" s="33"/>
      <c r="AR256" s="33"/>
      <c r="AS256" s="33"/>
      <c r="AT256" s="33"/>
      <c r="AU256" s="33"/>
      <c r="AV256" s="33"/>
      <c r="AW256" s="33"/>
      <c r="AX256" s="33"/>
      <c r="AY256" s="33"/>
      <c r="AZ256" s="33"/>
      <c r="BA256" s="33"/>
      <c r="BB256" s="33"/>
      <c r="BC256" s="33"/>
      <c r="BD256" s="33"/>
      <c r="BE256" s="33"/>
      <c r="BF256" s="33"/>
      <c r="BG256" s="33"/>
      <c r="BH256" s="33"/>
      <c r="BI256" s="33"/>
      <c r="BJ256" s="33"/>
      <c r="BK256" s="33"/>
      <c r="BL256" s="33"/>
      <c r="BM256" s="33"/>
      <c r="BN256" s="33"/>
      <c r="BO256" s="33"/>
      <c r="BP256" s="33"/>
      <c r="BQ256" s="33"/>
      <c r="BR256" s="33"/>
      <c r="BS256" s="33"/>
      <c r="BT256" s="33"/>
      <c r="BU256" s="33"/>
      <c r="BV256" s="33"/>
      <c r="BW256" s="33"/>
      <c r="BX256" s="33"/>
      <c r="BY256" s="33"/>
      <c r="BZ256" s="33"/>
      <c r="CA256" s="33"/>
      <c r="CB256" s="33"/>
      <c r="CC256" s="33"/>
      <c r="CD256" s="33"/>
      <c r="CE256" s="33"/>
      <c r="CF256" s="33"/>
      <c r="CG256" s="33"/>
      <c r="CH256" s="33"/>
      <c r="CI256" s="33"/>
      <c r="CJ256" s="33"/>
      <c r="CK256" s="33"/>
      <c r="CL256" s="33"/>
      <c r="CM256" s="33"/>
      <c r="CN256" s="33"/>
      <c r="CO256" s="33"/>
      <c r="CP256" s="33"/>
      <c r="CQ256" s="33"/>
      <c r="CR256" s="33"/>
      <c r="CS256" s="33"/>
      <c r="CT256" s="33"/>
      <c r="CU256" s="33"/>
      <c r="CV256" s="33"/>
      <c r="CW256" s="33"/>
      <c r="CX256" s="33"/>
      <c r="CY256" s="33"/>
      <c r="CZ256" s="33"/>
      <c r="DA256" s="33"/>
      <c r="DB256" s="33"/>
      <c r="DC256" s="33"/>
      <c r="DD256" s="33"/>
      <c r="DE256" s="33"/>
      <c r="DF256" s="33"/>
      <c r="DG256" s="33"/>
      <c r="DH256" s="33"/>
      <c r="DI256" s="33"/>
      <c r="DJ256" s="33"/>
      <c r="DK256" s="33"/>
      <c r="DL256" s="33"/>
      <c r="DM256" s="33"/>
      <c r="DN256" s="33"/>
      <c r="DO256" s="33"/>
      <c r="DP256" s="33"/>
      <c r="DQ256" s="33"/>
    </row>
    <row r="257" spans="1:121" ht="15" customHeight="1" thickBot="1">
      <c r="B257" s="168"/>
      <c r="C257" s="208"/>
      <c r="D257" s="37"/>
      <c r="E257" s="6"/>
      <c r="F257" s="38"/>
      <c r="G257" s="3"/>
      <c r="H257" s="3"/>
      <c r="I257" s="4"/>
      <c r="J257" s="2"/>
      <c r="K257" s="3"/>
      <c r="L257" s="4"/>
      <c r="M257" s="5"/>
      <c r="N257" s="6"/>
      <c r="O257" s="7"/>
      <c r="P257" s="2"/>
      <c r="Q257" s="3"/>
      <c r="R257" s="4"/>
      <c r="S257" s="2"/>
      <c r="T257" s="3"/>
      <c r="U257" s="4"/>
      <c r="V257" s="5"/>
      <c r="W257" s="6"/>
      <c r="X257" s="7"/>
      <c r="Y257" s="2"/>
      <c r="Z257" s="3"/>
      <c r="AA257" s="4"/>
      <c r="AB257" s="2"/>
      <c r="AC257" s="3"/>
      <c r="AD257" s="4"/>
      <c r="AE257" s="5"/>
      <c r="AF257" s="6"/>
      <c r="AG257" s="7"/>
      <c r="AH257" s="2"/>
      <c r="AI257" s="3"/>
      <c r="AJ257" s="4"/>
      <c r="AK257" s="5"/>
      <c r="AL257" s="6"/>
      <c r="AM257" s="7"/>
      <c r="AN257" s="168"/>
      <c r="AO257" s="168"/>
      <c r="AQ257" s="33"/>
      <c r="AR257" s="33"/>
      <c r="AS257" s="33"/>
      <c r="AT257" s="33"/>
      <c r="AU257" s="33"/>
      <c r="AV257" s="33"/>
      <c r="AW257" s="33"/>
      <c r="AX257" s="33"/>
      <c r="AY257" s="33"/>
      <c r="AZ257" s="33"/>
      <c r="BA257" s="33"/>
      <c r="BB257" s="33"/>
      <c r="BC257" s="33"/>
      <c r="BD257" s="33"/>
      <c r="BE257" s="33"/>
      <c r="BF257" s="33"/>
      <c r="BG257" s="33"/>
      <c r="BH257" s="33"/>
      <c r="BI257" s="33"/>
      <c r="BJ257" s="33"/>
      <c r="BK257" s="33"/>
      <c r="BL257" s="33"/>
      <c r="BM257" s="33"/>
      <c r="BN257" s="33"/>
      <c r="BO257" s="33"/>
      <c r="BP257" s="33"/>
      <c r="BQ257" s="33"/>
      <c r="BR257" s="33"/>
      <c r="BS257" s="33"/>
      <c r="BT257" s="33"/>
      <c r="BU257" s="33"/>
      <c r="BV257" s="33"/>
      <c r="BW257" s="33"/>
      <c r="BX257" s="33"/>
      <c r="BY257" s="33"/>
      <c r="BZ257" s="33"/>
      <c r="CA257" s="33"/>
      <c r="CB257" s="33"/>
      <c r="CC257" s="33"/>
      <c r="CD257" s="33"/>
      <c r="CE257" s="33"/>
      <c r="CF257" s="33"/>
      <c r="CG257" s="33"/>
      <c r="CH257" s="33"/>
      <c r="CI257" s="33"/>
      <c r="CJ257" s="33"/>
      <c r="CK257" s="33"/>
      <c r="CL257" s="33"/>
      <c r="CM257" s="33"/>
      <c r="CN257" s="33"/>
      <c r="CO257" s="33"/>
      <c r="CP257" s="33"/>
      <c r="CQ257" s="33"/>
      <c r="CR257" s="33"/>
      <c r="CS257" s="33"/>
      <c r="CT257" s="33"/>
      <c r="CU257" s="33"/>
      <c r="CV257" s="33"/>
      <c r="CW257" s="33"/>
      <c r="CX257" s="33"/>
      <c r="CY257" s="33"/>
      <c r="CZ257" s="33"/>
      <c r="DA257" s="33"/>
      <c r="DB257" s="33"/>
      <c r="DC257" s="33"/>
      <c r="DD257" s="33"/>
      <c r="DE257" s="33"/>
      <c r="DF257" s="33"/>
      <c r="DG257" s="33"/>
      <c r="DH257" s="33"/>
      <c r="DI257" s="33"/>
      <c r="DJ257" s="33"/>
      <c r="DK257" s="33"/>
      <c r="DL257" s="33"/>
      <c r="DM257" s="33"/>
      <c r="DN257" s="33"/>
      <c r="DO257" s="33"/>
      <c r="DP257" s="33"/>
      <c r="DQ257" s="33"/>
    </row>
    <row r="258" spans="1:121" ht="15" customHeight="1" thickBot="1">
      <c r="B258" s="1"/>
      <c r="C258" s="34"/>
      <c r="D258" s="226">
        <f>SUM(F259:F290)</f>
        <v>2.4583333333333335</v>
      </c>
      <c r="E258" s="227"/>
      <c r="F258" s="228"/>
      <c r="G258" s="226">
        <f t="shared" ref="G258" si="262">SUM(I259:I290)</f>
        <v>6.7083333333333313</v>
      </c>
      <c r="H258" s="227"/>
      <c r="I258" s="228"/>
      <c r="J258" s="226">
        <f t="shared" ref="J258" si="263">SUM(L259:L290)</f>
        <v>0.875</v>
      </c>
      <c r="K258" s="227"/>
      <c r="L258" s="228"/>
      <c r="M258" s="226">
        <f t="shared" ref="M258" si="264">SUM(O259:O290)</f>
        <v>4.5416666666666661</v>
      </c>
      <c r="N258" s="227"/>
      <c r="O258" s="228"/>
      <c r="P258" s="226">
        <f t="shared" ref="P258" si="265">SUM(R259:R290)</f>
        <v>2.854166666666667</v>
      </c>
      <c r="Q258" s="227"/>
      <c r="R258" s="228"/>
      <c r="S258" s="226">
        <f t="shared" ref="S258" si="266">SUM(U259:U290)</f>
        <v>3.5208333333333339</v>
      </c>
      <c r="T258" s="227"/>
      <c r="U258" s="228"/>
      <c r="V258" s="226">
        <f t="shared" ref="V258" si="267">SUM(X259:X290)</f>
        <v>7.3541666666666661</v>
      </c>
      <c r="W258" s="227"/>
      <c r="X258" s="228"/>
      <c r="Y258" s="226">
        <f t="shared" ref="Y258" si="268">SUM(AA259:AA290)</f>
        <v>2.7916666666666665</v>
      </c>
      <c r="Z258" s="227"/>
      <c r="AA258" s="228"/>
      <c r="AB258" s="226">
        <f t="shared" ref="AB258" si="269">SUM(AD259:AD290)</f>
        <v>5.375</v>
      </c>
      <c r="AC258" s="227"/>
      <c r="AD258" s="228"/>
      <c r="AE258" s="226">
        <f t="shared" ref="AE258" si="270">SUM(AG259:AG290)</f>
        <v>2.229166666666667</v>
      </c>
      <c r="AF258" s="227"/>
      <c r="AG258" s="228"/>
      <c r="AH258" s="226">
        <f t="shared" ref="AH258" si="271">SUM(AJ259:AJ290)</f>
        <v>1.2291666666666665</v>
      </c>
      <c r="AI258" s="227"/>
      <c r="AJ258" s="228"/>
      <c r="AK258" s="226">
        <f t="shared" ref="AK258" si="272">SUM(AM259:AM290)</f>
        <v>1.7916666666666667</v>
      </c>
      <c r="AL258" s="227"/>
      <c r="AM258" s="228"/>
      <c r="AN258" s="8"/>
      <c r="AO258" s="45"/>
      <c r="AP258" s="19">
        <f>SUM(D258:AO258)</f>
        <v>41.72916666666665</v>
      </c>
      <c r="AQ258" s="33"/>
      <c r="AR258" s="33"/>
      <c r="AS258" s="33"/>
      <c r="AT258" s="33"/>
      <c r="AU258" s="33"/>
      <c r="AV258" s="33"/>
      <c r="AW258" s="33"/>
      <c r="AX258" s="33"/>
      <c r="AY258" s="33"/>
      <c r="AZ258" s="33"/>
      <c r="BA258" s="33"/>
      <c r="BB258" s="33"/>
      <c r="BC258" s="33"/>
      <c r="BD258" s="33"/>
      <c r="BE258" s="33"/>
      <c r="BF258" s="33"/>
      <c r="BG258" s="33"/>
      <c r="BH258" s="33"/>
      <c r="BI258" s="33"/>
      <c r="BJ258" s="33"/>
      <c r="BK258" s="33"/>
      <c r="BL258" s="33"/>
      <c r="BM258" s="33"/>
      <c r="BN258" s="33"/>
      <c r="BO258" s="33"/>
      <c r="BP258" s="33"/>
      <c r="BQ258" s="33"/>
      <c r="BR258" s="33"/>
      <c r="BS258" s="33"/>
      <c r="BT258" s="33"/>
      <c r="BU258" s="33"/>
      <c r="BV258" s="33"/>
      <c r="BW258" s="33"/>
      <c r="BX258" s="33"/>
      <c r="BY258" s="33"/>
      <c r="BZ258" s="33"/>
      <c r="CA258" s="33"/>
      <c r="CB258" s="33"/>
      <c r="CC258" s="33"/>
      <c r="CD258" s="33"/>
      <c r="CE258" s="33"/>
      <c r="CF258" s="33"/>
      <c r="CG258" s="33"/>
      <c r="CH258" s="33"/>
      <c r="CI258" s="33"/>
      <c r="CJ258" s="33"/>
      <c r="CK258" s="33"/>
      <c r="CL258" s="33"/>
      <c r="CM258" s="33"/>
      <c r="CN258" s="33"/>
      <c r="CO258" s="33"/>
      <c r="CP258" s="33"/>
      <c r="CQ258" s="33"/>
      <c r="CR258" s="33"/>
      <c r="CS258" s="33"/>
      <c r="CT258" s="33"/>
      <c r="CU258" s="33"/>
      <c r="CV258" s="33"/>
      <c r="CW258" s="33"/>
      <c r="CX258" s="33"/>
      <c r="CY258" s="33"/>
      <c r="CZ258" s="33"/>
      <c r="DA258" s="33"/>
      <c r="DB258" s="33"/>
      <c r="DC258" s="33"/>
      <c r="DD258" s="33"/>
      <c r="DE258" s="33"/>
      <c r="DF258" s="33"/>
      <c r="DG258" s="33"/>
      <c r="DH258" s="33"/>
      <c r="DI258" s="33"/>
      <c r="DJ258" s="33"/>
      <c r="DK258" s="33"/>
      <c r="DL258" s="33"/>
      <c r="DM258" s="33"/>
      <c r="DN258" s="33"/>
      <c r="DO258" s="33"/>
      <c r="DP258" s="33"/>
      <c r="DQ258" s="33"/>
    </row>
    <row r="259" spans="1:121" ht="14.4">
      <c r="B259" s="112">
        <v>1</v>
      </c>
      <c r="C259" s="113" t="s">
        <v>8</v>
      </c>
      <c r="D259" s="114">
        <v>0.66666666666666663</v>
      </c>
      <c r="E259" s="115">
        <v>1.1666666666666667</v>
      </c>
      <c r="F259" s="127">
        <f>(IF(D259="u",0.333333333,IF(D259="W",0,IF(D259="C",F259,IF(D259="op",F259,(E259-D259))))))</f>
        <v>0.50000000000000011</v>
      </c>
      <c r="G259" s="114"/>
      <c r="H259" s="115"/>
      <c r="I259" s="127">
        <f>(IF(G259="u",0.333333333,IF(G259="W",0,IF(G259="C",I259,IF(G259="op",I259,(H259-G259))))))</f>
        <v>0</v>
      </c>
      <c r="J259" s="114" t="s">
        <v>111</v>
      </c>
      <c r="K259" s="115"/>
      <c r="L259" s="127">
        <f>(IF(J259="u",0.333333333,IF(J259="W",0,IF(J259="C",L259,IF(J259="op",L259,(K259-J259))))))</f>
        <v>0</v>
      </c>
      <c r="M259" s="114" t="s">
        <v>111</v>
      </c>
      <c r="N259" s="115"/>
      <c r="O259" s="127">
        <f>(IF(M259="u",0.333333333,IF(M259="W",0,IF(M259="C",O259,IF(M259="op",O259,(N259-M259))))))</f>
        <v>0</v>
      </c>
      <c r="P259" s="114"/>
      <c r="Q259" s="115"/>
      <c r="R259" s="127">
        <f>(IF(P259="u",0.333333333,IF(P259="W",0,IF(P259="C",R259,IF(P259="op",R259,(Q259-P259))))))</f>
        <v>0</v>
      </c>
      <c r="S259" s="114" t="s">
        <v>111</v>
      </c>
      <c r="T259" s="115"/>
      <c r="U259" s="127">
        <f>(IF(S259="u",0.333333333,IF(S259="W",0,IF(S259="C",U259,IF(S259="op",U259,(T259-S259))))))</f>
        <v>0</v>
      </c>
      <c r="V259" s="114">
        <v>0.14583333333333334</v>
      </c>
      <c r="W259" s="115">
        <v>0.64583333333333337</v>
      </c>
      <c r="X259" s="127">
        <f>(IF(V259="u",0.333333333,IF(V259="W",0,IF(V259="C",X259,IF(V259="op",X259,(W259-V259))))))</f>
        <v>0.5</v>
      </c>
      <c r="Y259" s="114" t="s">
        <v>111</v>
      </c>
      <c r="Z259" s="115"/>
      <c r="AA259" s="127">
        <f>(IF(Y259="u",0.333333333,IF(Y259="W",0,IF(Y259="C",AA259,IF(Y259="op",AA259,(Z259-Y259))))))</f>
        <v>0</v>
      </c>
      <c r="AB259" s="114" t="s">
        <v>111</v>
      </c>
      <c r="AC259" s="115"/>
      <c r="AD259" s="127">
        <f>(IF(AB259="u",0.333333333,IF(AB259="W",0,IF(AB259="C",AD259,IF(AB259="op",AD259,(AC259-AB259))))))</f>
        <v>0</v>
      </c>
      <c r="AE259" s="114" t="s">
        <v>111</v>
      </c>
      <c r="AF259" s="115"/>
      <c r="AG259" s="127">
        <f>(IF(AE259="u",0.333333333,IF(AE259="W",0,IF(AE259="C",AG259,IF(AE259="op",AG259,(AF259-AE259))))))</f>
        <v>0</v>
      </c>
      <c r="AH259" s="114" t="s">
        <v>111</v>
      </c>
      <c r="AI259" s="115"/>
      <c r="AJ259" s="127">
        <f>(IF(AH259="u",0.333333333,IF(AH259="W",0,IF(AH259="C",AJ259,IF(AH259="op",AJ259,(AI259-AH259))))))</f>
        <v>0</v>
      </c>
      <c r="AK259" s="114">
        <v>0.125</v>
      </c>
      <c r="AL259" s="115">
        <v>0.58333333333333337</v>
      </c>
      <c r="AM259" s="127">
        <f>(IF(AK259="u",0.333333333,IF(AK259="W",0,IF(AK259="C",AM259,IF(AK259="op",AM259,(AL259-AK259))))))</f>
        <v>0.45833333333333337</v>
      </c>
      <c r="AN259" s="112">
        <v>1</v>
      </c>
      <c r="AO259" s="113" t="s">
        <v>8</v>
      </c>
      <c r="AQ259" s="33"/>
      <c r="AR259" s="33"/>
      <c r="AS259" s="33"/>
      <c r="AT259" s="33"/>
      <c r="AU259" s="33"/>
      <c r="AV259" s="33"/>
      <c r="AW259" s="33"/>
      <c r="AX259" s="33"/>
      <c r="AY259" s="33"/>
      <c r="AZ259" s="33"/>
      <c r="BA259" s="33"/>
      <c r="BB259" s="33"/>
      <c r="BC259" s="33"/>
      <c r="BD259" s="33"/>
      <c r="BE259" s="33"/>
      <c r="BF259" s="33"/>
      <c r="BG259" s="33"/>
      <c r="BH259" s="33"/>
      <c r="BI259" s="33"/>
      <c r="BJ259" s="33"/>
      <c r="BK259" s="33"/>
      <c r="BL259" s="33"/>
      <c r="BM259" s="33"/>
      <c r="BN259" s="33"/>
      <c r="BO259" s="33"/>
      <c r="BP259" s="33"/>
      <c r="BQ259" s="33"/>
      <c r="BR259" s="33"/>
      <c r="BS259" s="33"/>
      <c r="BT259" s="33"/>
      <c r="BU259" s="33"/>
      <c r="BV259" s="33"/>
      <c r="BW259" s="33"/>
      <c r="BX259" s="33"/>
      <c r="BY259" s="33"/>
      <c r="BZ259" s="33"/>
      <c r="CA259" s="33"/>
      <c r="CB259" s="33"/>
      <c r="CC259" s="33"/>
      <c r="CD259" s="33"/>
      <c r="CE259" s="33"/>
      <c r="CF259" s="33"/>
      <c r="CG259" s="33"/>
      <c r="CH259" s="33"/>
      <c r="CI259" s="33"/>
      <c r="CJ259" s="33"/>
      <c r="CK259" s="33"/>
      <c r="CL259" s="33"/>
      <c r="CM259" s="33"/>
      <c r="CN259" s="33"/>
      <c r="CO259" s="33"/>
      <c r="CP259" s="33"/>
      <c r="CQ259" s="33"/>
      <c r="CR259" s="33"/>
      <c r="CS259" s="33"/>
      <c r="CT259" s="33"/>
      <c r="CU259" s="33"/>
      <c r="CV259" s="33"/>
      <c r="CW259" s="33"/>
      <c r="CX259" s="33"/>
      <c r="CY259" s="33"/>
      <c r="CZ259" s="33"/>
      <c r="DA259" s="33"/>
      <c r="DB259" s="33"/>
      <c r="DC259" s="33"/>
      <c r="DD259" s="33"/>
      <c r="DE259" s="33"/>
      <c r="DF259" s="33"/>
      <c r="DG259" s="33"/>
      <c r="DH259" s="33"/>
      <c r="DI259" s="33"/>
      <c r="DJ259" s="33"/>
      <c r="DK259" s="33"/>
      <c r="DL259" s="33"/>
      <c r="DM259" s="33"/>
      <c r="DN259" s="33"/>
      <c r="DO259" s="33"/>
      <c r="DP259" s="33"/>
      <c r="DQ259" s="33"/>
    </row>
    <row r="260" spans="1:121" ht="14.4">
      <c r="B260" s="118">
        <v>2</v>
      </c>
      <c r="C260" s="113" t="s">
        <v>12</v>
      </c>
      <c r="D260" s="119" t="s">
        <v>111</v>
      </c>
      <c r="E260" s="120"/>
      <c r="F260" s="128">
        <f>(IF(D260="u",0.333333333,IF(D260="W",0,IF(D260="C",F260,IF(D260="op",F260,(E260-D260))))))</f>
        <v>0</v>
      </c>
      <c r="G260" s="119"/>
      <c r="H260" s="120"/>
      <c r="I260" s="128">
        <f>(IF(G260="u",0.333333333,IF(G260="W",0,IF(G260="C",I260,IF(G260="op",I260,(H260-G260))))))</f>
        <v>0</v>
      </c>
      <c r="J260" s="119" t="s">
        <v>111</v>
      </c>
      <c r="K260" s="120"/>
      <c r="L260" s="128">
        <f>(IF(J260="u",0.333333333,IF(J260="W",0,IF(J260="C",L260,IF(J260="op",L260,(K260-J260))))))</f>
        <v>0</v>
      </c>
      <c r="M260" s="119" t="s">
        <v>111</v>
      </c>
      <c r="N260" s="120"/>
      <c r="O260" s="128">
        <f>(IF(M260="u",0.333333333,IF(M260="W",0,IF(M260="C",O260,IF(M260="op",O260,(N260-M260))))))</f>
        <v>0</v>
      </c>
      <c r="P260" s="119"/>
      <c r="Q260" s="120"/>
      <c r="R260" s="128">
        <f>(IF(P260="u",0.333333333,IF(P260="W",0,IF(P260="C",R260,IF(P260="op",R260,(Q260-P260))))))</f>
        <v>0</v>
      </c>
      <c r="S260" s="119" t="s">
        <v>111</v>
      </c>
      <c r="T260" s="120"/>
      <c r="U260" s="128">
        <f>(IF(S260="u",0.333333333,IF(S260="W",0,IF(S260="C",U260,IF(S260="op",U260,(T260-S260))))))</f>
        <v>0</v>
      </c>
      <c r="V260" s="119">
        <v>0.14583333333333334</v>
      </c>
      <c r="W260" s="120">
        <v>0.64583333333333337</v>
      </c>
      <c r="X260" s="128">
        <f>(IF(V260="u",0.333333333,IF(V260="W",0,IF(V260="C",X260,IF(V260="op",X260,(W260-V260))))))</f>
        <v>0.5</v>
      </c>
      <c r="Y260" s="119" t="s">
        <v>111</v>
      </c>
      <c r="Z260" s="120"/>
      <c r="AA260" s="128">
        <f>(IF(Y260="u",0.333333333,IF(Y260="W",0,IF(Y260="C",AA260,IF(Y260="op",AA260,(Z260-Y260))))))</f>
        <v>0</v>
      </c>
      <c r="AB260" s="119"/>
      <c r="AC260" s="120"/>
      <c r="AD260" s="128">
        <f>(IF(AB260="u",0.333333333,IF(AB260="W",0,IF(AB260="C",AD260,IF(AB260="op",AD260,(AC260-AB260))))))</f>
        <v>0</v>
      </c>
      <c r="AE260" s="119" t="s">
        <v>111</v>
      </c>
      <c r="AF260" s="120"/>
      <c r="AG260" s="128">
        <f>(IF(AE260="u",0.333333333,IF(AE260="W",0,IF(AE260="C",AG260,IF(AE260="op",AG260,(AF260-AE260))))))</f>
        <v>0</v>
      </c>
      <c r="AH260" s="119" t="s">
        <v>111</v>
      </c>
      <c r="AI260" s="120"/>
      <c r="AJ260" s="128">
        <f>(IF(AH260="u",0.333333333,IF(AH260="W",0,IF(AH260="C",AJ260,IF(AH260="op",AJ260,(AI260-AH260))))))</f>
        <v>0</v>
      </c>
      <c r="AK260" s="119" t="s">
        <v>111</v>
      </c>
      <c r="AL260" s="120"/>
      <c r="AM260" s="128">
        <f>(IF(AK260="u",0.333333333,IF(AK260="W",0,IF(AK260="C",AM260,IF(AK260="op",AM260,(AL260-AK260))))))</f>
        <v>0</v>
      </c>
      <c r="AN260" s="118">
        <v>2</v>
      </c>
      <c r="AO260" s="113" t="s">
        <v>12</v>
      </c>
      <c r="AQ260" s="33"/>
      <c r="AR260" s="33"/>
      <c r="AS260" s="33"/>
      <c r="AT260" s="33"/>
      <c r="AU260" s="33"/>
      <c r="AV260" s="33"/>
      <c r="AW260" s="33"/>
      <c r="AX260" s="33"/>
      <c r="AY260" s="33"/>
      <c r="AZ260" s="33"/>
      <c r="BA260" s="33"/>
      <c r="BB260" s="33"/>
      <c r="BC260" s="33"/>
      <c r="BD260" s="33"/>
      <c r="BE260" s="33"/>
      <c r="BF260" s="33"/>
      <c r="BG260" s="33"/>
      <c r="BH260" s="33"/>
      <c r="BI260" s="33"/>
      <c r="BJ260" s="33"/>
      <c r="BK260" s="33"/>
      <c r="BL260" s="33"/>
      <c r="BM260" s="33"/>
      <c r="BN260" s="33"/>
      <c r="BO260" s="33"/>
      <c r="BP260" s="33"/>
      <c r="BQ260" s="33"/>
      <c r="BR260" s="33"/>
      <c r="BS260" s="33"/>
      <c r="BT260" s="33"/>
      <c r="BU260" s="33"/>
      <c r="BV260" s="33"/>
      <c r="BW260" s="33"/>
      <c r="BX260" s="33"/>
      <c r="BY260" s="33"/>
      <c r="BZ260" s="33"/>
      <c r="CA260" s="33"/>
      <c r="CB260" s="33"/>
      <c r="CC260" s="33"/>
      <c r="CD260" s="33"/>
      <c r="CE260" s="33"/>
      <c r="CF260" s="33"/>
      <c r="CG260" s="33"/>
      <c r="CH260" s="33"/>
      <c r="CI260" s="33"/>
      <c r="CJ260" s="33"/>
      <c r="CK260" s="33"/>
      <c r="CL260" s="33"/>
      <c r="CM260" s="33"/>
      <c r="CN260" s="33"/>
      <c r="CO260" s="33"/>
      <c r="CP260" s="33"/>
      <c r="CQ260" s="33"/>
      <c r="CR260" s="33"/>
      <c r="CS260" s="33"/>
      <c r="CT260" s="33"/>
      <c r="CU260" s="33"/>
      <c r="CV260" s="33"/>
      <c r="CW260" s="33"/>
      <c r="CX260" s="33"/>
      <c r="CY260" s="33"/>
      <c r="CZ260" s="33"/>
      <c r="DA260" s="33"/>
      <c r="DB260" s="33"/>
      <c r="DC260" s="33"/>
      <c r="DD260" s="33"/>
      <c r="DE260" s="33"/>
      <c r="DF260" s="33"/>
      <c r="DG260" s="33"/>
      <c r="DH260" s="33"/>
      <c r="DI260" s="33"/>
      <c r="DJ260" s="33"/>
      <c r="DK260" s="33"/>
      <c r="DL260" s="33"/>
      <c r="DM260" s="33"/>
      <c r="DN260" s="33"/>
      <c r="DO260" s="33"/>
      <c r="DP260" s="33"/>
      <c r="DQ260" s="33"/>
    </row>
    <row r="261" spans="1:121" ht="14.4">
      <c r="B261" s="118">
        <v>3</v>
      </c>
      <c r="C261" s="113" t="s">
        <v>85</v>
      </c>
      <c r="D261" s="119" t="s">
        <v>111</v>
      </c>
      <c r="E261" s="120"/>
      <c r="F261" s="128">
        <f t="shared" ref="F261:F262" si="273">(IF(D261="u",0.333333333,IF(D261="W",0,IF(D261="C",F261,IF(D261="op",F261,(E261-D261))))))</f>
        <v>0</v>
      </c>
      <c r="G261" s="119">
        <v>0.66666666666666663</v>
      </c>
      <c r="H261" s="120">
        <v>1.1666666666666667</v>
      </c>
      <c r="I261" s="128">
        <f t="shared" ref="I261:I262" si="274">(IF(G261="u",0.333333333,IF(G261="W",0,IF(G261="C",I261,IF(G261="op",I261,(H261-G261))))))</f>
        <v>0.50000000000000011</v>
      </c>
      <c r="J261" s="119" t="s">
        <v>111</v>
      </c>
      <c r="K261" s="120"/>
      <c r="L261" s="128">
        <f t="shared" ref="L261:L262" si="275">(IF(J261="u",0.333333333,IF(J261="W",0,IF(J261="C",L261,IF(J261="op",L261,(K261-J261))))))</f>
        <v>0</v>
      </c>
      <c r="M261" s="119" t="s">
        <v>111</v>
      </c>
      <c r="N261" s="120"/>
      <c r="O261" s="128">
        <f t="shared" ref="O261:O262" si="276">(IF(M261="u",0.333333333,IF(M261="W",0,IF(M261="C",O261,IF(M261="op",O261,(N261-M261))))))</f>
        <v>0</v>
      </c>
      <c r="P261" s="132">
        <v>0.375</v>
      </c>
      <c r="Q261" s="133">
        <v>0.66666666666666663</v>
      </c>
      <c r="R261" s="148">
        <f t="shared" ref="R261:R262" si="277">(IF(P261="u",0.333333333,IF(P261="W",0,IF(P261="C",R261,IF(P261="op",R261,(Q261-P261))))))</f>
        <v>0.29166666666666663</v>
      </c>
      <c r="S261" s="119">
        <v>0.125</v>
      </c>
      <c r="T261" s="120">
        <v>0.58333333333333337</v>
      </c>
      <c r="U261" s="128">
        <f t="shared" ref="U261:U262" si="278">(IF(S261="u",0.333333333,IF(S261="W",0,IF(S261="C",U261,IF(S261="op",U261,(T261-S261))))))</f>
        <v>0.45833333333333337</v>
      </c>
      <c r="V261" s="119">
        <v>0.125</v>
      </c>
      <c r="W261" s="120">
        <v>0.58333333333333337</v>
      </c>
      <c r="X261" s="128">
        <f t="shared" ref="X261:X262" si="279">(IF(V261="u",0.333333333,IF(V261="W",0,IF(V261="C",X261,IF(V261="op",X261,(W261-V261))))))</f>
        <v>0.45833333333333337</v>
      </c>
      <c r="Y261" s="119" t="s">
        <v>111</v>
      </c>
      <c r="Z261" s="120"/>
      <c r="AA261" s="128">
        <f t="shared" ref="AA261:AA262" si="280">(IF(Y261="u",0.333333333,IF(Y261="W",0,IF(Y261="C",AA261,IF(Y261="op",AA261,(Z261-Y261))))))</f>
        <v>0</v>
      </c>
      <c r="AB261" s="119" t="s">
        <v>111</v>
      </c>
      <c r="AC261" s="120"/>
      <c r="AD261" s="128">
        <f t="shared" ref="AD261:AD262" si="281">(IF(AB261="u",0.333333333,IF(AB261="W",0,IF(AB261="C",AD261,IF(AB261="op",AD261,(AC261-AB261))))))</f>
        <v>0</v>
      </c>
      <c r="AE261" s="119" t="s">
        <v>111</v>
      </c>
      <c r="AF261" s="120"/>
      <c r="AG261" s="128">
        <f t="shared" ref="AG261:AG262" si="282">(IF(AE261="u",0.333333333,IF(AE261="W",0,IF(AE261="C",AG261,IF(AE261="op",AG261,(AF261-AE261))))))</f>
        <v>0</v>
      </c>
      <c r="AH261" s="119" t="s">
        <v>111</v>
      </c>
      <c r="AI261" s="120"/>
      <c r="AJ261" s="128">
        <f t="shared" ref="AJ261:AJ262" si="283">(IF(AH261="u",0.333333333,IF(AH261="W",0,IF(AH261="C",AJ261,IF(AH261="op",AJ261,(AI261-AH261))))))</f>
        <v>0</v>
      </c>
      <c r="AK261" s="119" t="s">
        <v>111</v>
      </c>
      <c r="AL261" s="120"/>
      <c r="AM261" s="128">
        <f t="shared" ref="AM261:AM262" si="284">(IF(AK261="u",0.333333333,IF(AK261="W",0,IF(AK261="C",AM261,IF(AK261="op",AM261,(AL261-AK261))))))</f>
        <v>0</v>
      </c>
      <c r="AN261" s="118">
        <v>3</v>
      </c>
      <c r="AO261" s="113" t="s">
        <v>85</v>
      </c>
      <c r="AQ261" s="33"/>
      <c r="AR261" s="33"/>
      <c r="AS261" s="33"/>
      <c r="AT261" s="33"/>
      <c r="AU261" s="33"/>
      <c r="AV261" s="33"/>
      <c r="AW261" s="33"/>
      <c r="AX261" s="33"/>
      <c r="AY261" s="33"/>
      <c r="AZ261" s="33"/>
      <c r="BA261" s="33"/>
      <c r="BB261" s="33"/>
      <c r="BC261" s="33"/>
      <c r="BD261" s="33"/>
      <c r="BE261" s="33"/>
      <c r="BF261" s="33"/>
      <c r="BG261" s="33"/>
      <c r="BH261" s="33"/>
      <c r="BI261" s="33"/>
      <c r="BJ261" s="33"/>
      <c r="BK261" s="33"/>
      <c r="BL261" s="33"/>
      <c r="BM261" s="33"/>
      <c r="BN261" s="33"/>
      <c r="BO261" s="33"/>
      <c r="BP261" s="33"/>
      <c r="BQ261" s="33"/>
      <c r="BR261" s="33"/>
      <c r="BS261" s="33"/>
      <c r="BT261" s="33"/>
      <c r="BU261" s="33"/>
      <c r="BV261" s="33"/>
      <c r="BW261" s="33"/>
      <c r="BX261" s="33"/>
      <c r="BY261" s="33"/>
      <c r="BZ261" s="33"/>
      <c r="CA261" s="33"/>
      <c r="CB261" s="33"/>
      <c r="CC261" s="33"/>
      <c r="CD261" s="33"/>
      <c r="CE261" s="33"/>
      <c r="CF261" s="33"/>
      <c r="CG261" s="33"/>
      <c r="CH261" s="33"/>
      <c r="CI261" s="33"/>
      <c r="CJ261" s="33"/>
      <c r="CK261" s="33"/>
      <c r="CL261" s="33"/>
      <c r="CM261" s="33"/>
      <c r="CN261" s="33"/>
      <c r="CO261" s="33"/>
      <c r="CP261" s="33"/>
      <c r="CQ261" s="33"/>
      <c r="CR261" s="33"/>
      <c r="CS261" s="33"/>
      <c r="CT261" s="33"/>
      <c r="CU261" s="33"/>
      <c r="CV261" s="33"/>
      <c r="CW261" s="33"/>
      <c r="CX261" s="33"/>
      <c r="CY261" s="33"/>
      <c r="CZ261" s="33"/>
      <c r="DA261" s="33"/>
      <c r="DB261" s="33"/>
      <c r="DC261" s="33"/>
      <c r="DD261" s="33"/>
      <c r="DE261" s="33"/>
      <c r="DF261" s="33"/>
      <c r="DG261" s="33"/>
      <c r="DH261" s="33"/>
      <c r="DI261" s="33"/>
      <c r="DJ261" s="33"/>
      <c r="DK261" s="33"/>
      <c r="DL261" s="33"/>
      <c r="DM261" s="33"/>
      <c r="DN261" s="33"/>
      <c r="DO261" s="33"/>
      <c r="DP261" s="33"/>
      <c r="DQ261" s="33"/>
    </row>
    <row r="262" spans="1:121" ht="14.4">
      <c r="B262" s="118">
        <v>4</v>
      </c>
      <c r="C262" s="113" t="s">
        <v>4</v>
      </c>
      <c r="D262" s="119" t="s">
        <v>111</v>
      </c>
      <c r="E262" s="120"/>
      <c r="F262" s="128">
        <f t="shared" si="273"/>
        <v>0</v>
      </c>
      <c r="G262" s="119" t="s">
        <v>111</v>
      </c>
      <c r="H262" s="120"/>
      <c r="I262" s="128">
        <f t="shared" si="274"/>
        <v>0</v>
      </c>
      <c r="J262" s="119" t="s">
        <v>111</v>
      </c>
      <c r="K262" s="120"/>
      <c r="L262" s="128">
        <f t="shared" si="275"/>
        <v>0</v>
      </c>
      <c r="M262" s="119" t="s">
        <v>111</v>
      </c>
      <c r="N262" s="120"/>
      <c r="O262" s="128">
        <f t="shared" si="276"/>
        <v>0</v>
      </c>
      <c r="P262" s="119" t="s">
        <v>111</v>
      </c>
      <c r="Q262" s="120"/>
      <c r="R262" s="128">
        <f t="shared" si="277"/>
        <v>0</v>
      </c>
      <c r="S262" s="119">
        <v>0.125</v>
      </c>
      <c r="T262" s="120">
        <v>0.54166666666666663</v>
      </c>
      <c r="U262" s="128">
        <f t="shared" si="278"/>
        <v>0.41666666666666663</v>
      </c>
      <c r="V262" s="119">
        <v>0.66666666666666663</v>
      </c>
      <c r="W262" s="120">
        <v>1.1666666666666667</v>
      </c>
      <c r="X262" s="128">
        <f t="shared" si="279"/>
        <v>0.50000000000000011</v>
      </c>
      <c r="Y262" s="119" t="s">
        <v>111</v>
      </c>
      <c r="Z262" s="120"/>
      <c r="AA262" s="128">
        <f t="shared" si="280"/>
        <v>0</v>
      </c>
      <c r="AB262" s="119"/>
      <c r="AC262" s="120"/>
      <c r="AD262" s="128">
        <f t="shared" si="281"/>
        <v>0</v>
      </c>
      <c r="AE262" s="119" t="s">
        <v>111</v>
      </c>
      <c r="AF262" s="120"/>
      <c r="AG262" s="128">
        <f t="shared" si="282"/>
        <v>0</v>
      </c>
      <c r="AH262" s="119" t="s">
        <v>111</v>
      </c>
      <c r="AI262" s="120"/>
      <c r="AJ262" s="128">
        <f t="shared" si="283"/>
        <v>0</v>
      </c>
      <c r="AK262" s="119" t="s">
        <v>111</v>
      </c>
      <c r="AL262" s="120"/>
      <c r="AM262" s="128">
        <f t="shared" si="284"/>
        <v>0</v>
      </c>
      <c r="AN262" s="118">
        <v>4</v>
      </c>
      <c r="AO262" s="113" t="s">
        <v>4</v>
      </c>
      <c r="AP262" s="33"/>
      <c r="AQ262" s="33"/>
      <c r="AR262" s="33"/>
      <c r="AS262" s="33"/>
      <c r="AT262" s="33"/>
      <c r="AU262" s="33"/>
      <c r="AV262" s="33"/>
      <c r="AW262" s="33"/>
      <c r="AX262" s="33"/>
      <c r="AY262" s="33"/>
      <c r="AZ262" s="33"/>
      <c r="BA262" s="33"/>
      <c r="BB262" s="33"/>
      <c r="BC262" s="33"/>
      <c r="BD262" s="33"/>
      <c r="BE262" s="33"/>
      <c r="BF262" s="33"/>
      <c r="BG262" s="33"/>
      <c r="BH262" s="33"/>
      <c r="BI262" s="33"/>
      <c r="BJ262" s="33"/>
      <c r="BK262" s="33"/>
      <c r="BL262" s="33"/>
      <c r="BM262" s="33"/>
      <c r="BN262" s="33"/>
      <c r="BO262" s="33"/>
      <c r="BP262" s="33"/>
      <c r="BQ262" s="33"/>
      <c r="BR262" s="33"/>
      <c r="BS262" s="33"/>
      <c r="BT262" s="33"/>
      <c r="BU262" s="33"/>
      <c r="BV262" s="33"/>
      <c r="BW262" s="33"/>
      <c r="BX262" s="33"/>
      <c r="BY262" s="33"/>
      <c r="BZ262" s="33"/>
      <c r="CA262" s="33"/>
      <c r="CB262" s="33"/>
      <c r="CC262" s="33"/>
      <c r="CD262" s="33"/>
      <c r="CE262" s="33"/>
      <c r="CF262" s="33"/>
      <c r="CG262" s="33"/>
      <c r="CH262" s="33"/>
      <c r="CI262" s="33"/>
      <c r="CJ262" s="33"/>
      <c r="CK262" s="33"/>
      <c r="CL262" s="33"/>
      <c r="CM262" s="33"/>
      <c r="CN262" s="33"/>
      <c r="CO262" s="33"/>
      <c r="CP262" s="33"/>
      <c r="CQ262" s="33"/>
      <c r="CR262" s="33"/>
      <c r="CS262" s="33"/>
      <c r="CT262" s="33"/>
      <c r="CU262" s="33"/>
      <c r="CV262" s="33"/>
      <c r="CW262" s="33"/>
      <c r="CX262" s="33"/>
      <c r="CY262" s="33"/>
      <c r="CZ262" s="33"/>
      <c r="DA262" s="33"/>
      <c r="DB262" s="33"/>
      <c r="DC262" s="33"/>
      <c r="DD262" s="33"/>
      <c r="DE262" s="33"/>
      <c r="DF262" s="33"/>
      <c r="DG262" s="33"/>
      <c r="DH262" s="33"/>
      <c r="DI262" s="33"/>
      <c r="DJ262" s="33"/>
      <c r="DK262" s="33"/>
      <c r="DL262" s="33"/>
      <c r="DM262" s="33"/>
      <c r="DN262" s="33"/>
      <c r="DO262" s="33"/>
      <c r="DP262" s="33"/>
      <c r="DQ262" s="33"/>
    </row>
    <row r="263" spans="1:121" ht="14.4">
      <c r="A263" s="33"/>
      <c r="B263" s="86">
        <v>5</v>
      </c>
      <c r="C263" s="87" t="s">
        <v>5</v>
      </c>
      <c r="D263" s="88"/>
      <c r="E263" s="89"/>
      <c r="F263" s="92">
        <f>(IF(D263="u",0.333333333,IF(D263="W",0,IF(D263="C",F263,IF(D263="op",F263,(E263-D263))))))</f>
        <v>0</v>
      </c>
      <c r="G263" s="88" t="s">
        <v>111</v>
      </c>
      <c r="H263" s="89"/>
      <c r="I263" s="92">
        <f>(IF(G263="u",0.333333333,IF(G263="W",0,IF(G263="C",I263,IF(G263="op",I263,(H263-G263))))))</f>
        <v>0</v>
      </c>
      <c r="J263" s="88" t="s">
        <v>111</v>
      </c>
      <c r="K263" s="89"/>
      <c r="L263" s="92">
        <f>(IF(J263="u",0.333333333,IF(J263="W",0,IF(J263="C",L263,IF(J263="op",L263,(K263-J263))))))</f>
        <v>0</v>
      </c>
      <c r="M263" s="88">
        <v>0.16666666666666666</v>
      </c>
      <c r="N263" s="89">
        <v>0.66666666666666663</v>
      </c>
      <c r="O263" s="92">
        <f>(IF(M263="u",0.333333333,IF(M263="W",0,IF(M263="C",O263,IF(M263="op",O263,(N263-M263))))))</f>
        <v>0.5</v>
      </c>
      <c r="P263" s="88"/>
      <c r="Q263" s="89"/>
      <c r="R263" s="92">
        <f>(IF(P263="u",0.333333333,IF(P263="W",0,IF(P263="C",R263,IF(P263="op",R263,(Q263-P263))))))</f>
        <v>0</v>
      </c>
      <c r="S263" s="88"/>
      <c r="T263" s="89"/>
      <c r="U263" s="92">
        <f>(IF(S263="u",0.333333333,IF(S263="W",0,IF(S263="C",U263,IF(S263="op",U263,(T263-S263))))))</f>
        <v>0</v>
      </c>
      <c r="V263" s="88" t="s">
        <v>111</v>
      </c>
      <c r="W263" s="89"/>
      <c r="X263" s="92">
        <f>(IF(V263="u",0.333333333,IF(V263="W",0,IF(V263="C",X263,IF(V263="op",X263,(W263-V263))))))</f>
        <v>0</v>
      </c>
      <c r="Y263" s="88" t="s">
        <v>111</v>
      </c>
      <c r="Z263" s="89"/>
      <c r="AA263" s="92">
        <f>(IF(Y263="u",0.333333333,IF(Y263="W",0,IF(Y263="C",AA263,IF(Y263="op",AA263,(Z263-Y263))))))</f>
        <v>0</v>
      </c>
      <c r="AB263" s="88"/>
      <c r="AC263" s="89"/>
      <c r="AD263" s="92">
        <f>(IF(AB263="u",0.333333333,IF(AB263="W",0,IF(AB263="C",AD263,IF(AB263="op",AD263,(AC263-AB263))))))</f>
        <v>0</v>
      </c>
      <c r="AE263" s="88">
        <v>0.66666666666666663</v>
      </c>
      <c r="AF263" s="89">
        <v>1.1666666666666667</v>
      </c>
      <c r="AG263" s="92">
        <f>(IF(AE263="u",0.333333333,IF(AE263="W",0,IF(AE263="C",AG263,IF(AE263="op",AG263,(AF263-AE263))))))</f>
        <v>0.50000000000000011</v>
      </c>
      <c r="AH263" s="88"/>
      <c r="AI263" s="89"/>
      <c r="AJ263" s="92">
        <f>(IF(AH263="u",0.333333333,IF(AH263="W",0,IF(AH263="C",AJ263,IF(AH263="op",AJ263,(AI263-AH263))))))</f>
        <v>0</v>
      </c>
      <c r="AK263" s="88"/>
      <c r="AL263" s="89"/>
      <c r="AM263" s="92">
        <f>(IF(AK263="u",0.333333333,IF(AK263="W",0,IF(AK263="C",AM263,IF(AK263="op",AM263,(AL263-AK263))))))</f>
        <v>0</v>
      </c>
      <c r="AN263" s="86">
        <v>5</v>
      </c>
      <c r="AO263" s="87" t="s">
        <v>5</v>
      </c>
      <c r="AP263" s="33"/>
      <c r="AQ263" s="33"/>
      <c r="AR263" s="33"/>
      <c r="AS263" s="33"/>
      <c r="AT263" s="33"/>
      <c r="AU263" s="33"/>
      <c r="AV263" s="33"/>
      <c r="AW263" s="33"/>
      <c r="AX263" s="33"/>
      <c r="AY263" s="33"/>
      <c r="AZ263" s="33"/>
      <c r="BA263" s="33"/>
      <c r="BB263" s="33"/>
      <c r="BC263" s="33"/>
      <c r="BD263" s="33"/>
      <c r="BE263" s="33"/>
      <c r="BF263" s="33"/>
      <c r="BG263" s="33"/>
      <c r="BH263" s="33"/>
      <c r="BI263" s="33"/>
      <c r="BJ263" s="33"/>
      <c r="BK263" s="33"/>
      <c r="BL263" s="33"/>
      <c r="BM263" s="33"/>
      <c r="BN263" s="33"/>
      <c r="BO263" s="33"/>
      <c r="BP263" s="33"/>
      <c r="BQ263" s="33"/>
      <c r="BR263" s="33"/>
      <c r="BS263" s="33"/>
      <c r="BT263" s="33"/>
      <c r="BU263" s="33"/>
      <c r="BV263" s="33"/>
      <c r="BW263" s="33"/>
      <c r="BX263" s="33"/>
      <c r="BY263" s="33"/>
      <c r="BZ263" s="33"/>
      <c r="CA263" s="33"/>
      <c r="CB263" s="33"/>
      <c r="CC263" s="33"/>
      <c r="CD263" s="33"/>
      <c r="CE263" s="33"/>
      <c r="CF263" s="33"/>
      <c r="CG263" s="33"/>
      <c r="CH263" s="33"/>
      <c r="CI263" s="33"/>
      <c r="CJ263" s="33"/>
      <c r="CK263" s="33"/>
      <c r="CL263" s="33"/>
      <c r="CM263" s="33"/>
      <c r="CN263" s="33"/>
      <c r="CO263" s="33"/>
      <c r="CP263" s="33"/>
      <c r="CQ263" s="33"/>
      <c r="CR263" s="33"/>
      <c r="CS263" s="33"/>
      <c r="CT263" s="33"/>
      <c r="CU263" s="33"/>
      <c r="CV263" s="33"/>
      <c r="CW263" s="33"/>
      <c r="CX263" s="33"/>
      <c r="CY263" s="33"/>
      <c r="CZ263" s="33"/>
      <c r="DA263" s="33"/>
      <c r="DB263" s="33"/>
      <c r="DC263" s="33"/>
      <c r="DD263" s="33"/>
      <c r="DE263" s="33"/>
      <c r="DF263" s="33"/>
      <c r="DG263" s="33"/>
      <c r="DH263" s="33"/>
      <c r="DI263" s="33"/>
      <c r="DJ263" s="33"/>
      <c r="DK263" s="33"/>
      <c r="DL263" s="33"/>
      <c r="DM263" s="33"/>
      <c r="DN263" s="33"/>
      <c r="DO263" s="33"/>
      <c r="DP263" s="33"/>
      <c r="DQ263" s="33"/>
    </row>
    <row r="264" spans="1:121" s="40" customFormat="1" ht="16.5" customHeight="1">
      <c r="A264" s="33"/>
      <c r="B264" s="86">
        <v>6</v>
      </c>
      <c r="C264" s="87" t="s">
        <v>6</v>
      </c>
      <c r="D264" s="88"/>
      <c r="E264" s="89"/>
      <c r="F264" s="92">
        <f t="shared" ref="F264:F272" si="285">(IF(D264="u",0.333333333,IF(D264="W",0,IF(D264="C",F264,IF(D264="op",F264,(E264-D264))))))</f>
        <v>0</v>
      </c>
      <c r="G264" s="88" t="s">
        <v>111</v>
      </c>
      <c r="H264" s="89"/>
      <c r="I264" s="92">
        <f t="shared" ref="I264:I272" si="286">(IF(G264="u",0.333333333,IF(G264="W",0,IF(G264="C",I264,IF(G264="op",I264,(H264-G264))))))</f>
        <v>0</v>
      </c>
      <c r="J264" s="88"/>
      <c r="K264" s="89"/>
      <c r="L264" s="92">
        <f t="shared" ref="L264:L272" si="287">(IF(J264="u",0.333333333,IF(J264="W",0,IF(J264="C",L264,IF(J264="op",L264,(K264-J264))))))</f>
        <v>0</v>
      </c>
      <c r="M264" s="88">
        <v>0.5</v>
      </c>
      <c r="N264" s="89">
        <v>0.91666666666666663</v>
      </c>
      <c r="O264" s="92">
        <f t="shared" ref="O264:O270" si="288">(IF(M264="u",0.333333333,IF(M264="W",0,IF(M264="C",O264,IF(M264="op",O264,(N264-M264))))))</f>
        <v>0.41666666666666663</v>
      </c>
      <c r="P264" s="88">
        <v>0.41666666666666669</v>
      </c>
      <c r="Q264" s="89">
        <v>0.83333333333333337</v>
      </c>
      <c r="R264" s="92">
        <f t="shared" ref="R264:R272" si="289">(IF(P264="u",0.333333333,IF(P264="W",0,IF(P264="C",R264,IF(P264="op",R264,(Q264-P264))))))</f>
        <v>0.41666666666666669</v>
      </c>
      <c r="S264" s="88"/>
      <c r="T264" s="89"/>
      <c r="U264" s="92">
        <f t="shared" ref="U264:U272" si="290">(IF(S264="u",0.333333333,IF(S264="W",0,IF(S264="C",U264,IF(S264="op",U264,(T264-S264))))))</f>
        <v>0</v>
      </c>
      <c r="V264" s="88" t="s">
        <v>111</v>
      </c>
      <c r="W264" s="89"/>
      <c r="X264" s="92">
        <f t="shared" ref="X264:X272" si="291">(IF(V264="u",0.333333333,IF(V264="W",0,IF(V264="C",X264,IF(V264="op",X264,(W264-V264))))))</f>
        <v>0</v>
      </c>
      <c r="Y264" s="88">
        <v>0.5</v>
      </c>
      <c r="Z264" s="89">
        <v>0.91666666666666663</v>
      </c>
      <c r="AA264" s="92">
        <f t="shared" ref="AA264:AA272" si="292">(IF(Y264="u",0.333333333,IF(Y264="W",0,IF(Y264="C",AA264,IF(Y264="op",AA264,(Z264-Y264))))))</f>
        <v>0.41666666666666663</v>
      </c>
      <c r="AB264" s="88">
        <v>0.125</v>
      </c>
      <c r="AC264" s="89">
        <v>0.54166666666666663</v>
      </c>
      <c r="AD264" s="92">
        <f t="shared" ref="AD264:AD272" si="293">(IF(AB264="u",0.333333333,IF(AB264="W",0,IF(AB264="C",AD264,IF(AB264="op",AD264,(AC264-AB264))))))</f>
        <v>0.41666666666666663</v>
      </c>
      <c r="AE264" s="88"/>
      <c r="AF264" s="89"/>
      <c r="AG264" s="92">
        <f t="shared" ref="AG264:AG272" si="294">(IF(AE264="u",0.333333333,IF(AE264="W",0,IF(AE264="C",AG264,IF(AE264="op",AG264,(AF264-AE264))))))</f>
        <v>0</v>
      </c>
      <c r="AH264" s="88">
        <v>0.5</v>
      </c>
      <c r="AI264" s="89">
        <v>0.91666666666666663</v>
      </c>
      <c r="AJ264" s="92">
        <f t="shared" ref="AJ264:AJ272" si="295">(IF(AH264="u",0.333333333,IF(AH264="W",0,IF(AH264="C",AJ264,IF(AH264="op",AJ264,(AI264-AH264))))))</f>
        <v>0.41666666666666663</v>
      </c>
      <c r="AK264" s="88">
        <v>0.5</v>
      </c>
      <c r="AL264" s="89">
        <v>0.91666666666666663</v>
      </c>
      <c r="AM264" s="92">
        <f t="shared" ref="AM264:AM272" si="296">(IF(AK264="u",0.333333333,IF(AK264="W",0,IF(AK264="C",AM264,IF(AK264="op",AM264,(AL264-AK264))))))</f>
        <v>0.41666666666666663</v>
      </c>
      <c r="AN264" s="86">
        <v>6</v>
      </c>
      <c r="AO264" s="87" t="s">
        <v>6</v>
      </c>
      <c r="AP264" s="33"/>
      <c r="AQ264" s="33"/>
      <c r="AR264" s="33"/>
      <c r="AS264" s="33"/>
      <c r="AT264" s="33"/>
      <c r="AU264" s="33"/>
      <c r="AV264" s="33"/>
      <c r="AW264" s="33"/>
      <c r="AX264" s="33"/>
      <c r="AY264" s="33"/>
      <c r="AZ264" s="33"/>
      <c r="BA264" s="33"/>
      <c r="BB264" s="33"/>
      <c r="BC264" s="33"/>
      <c r="BD264" s="33"/>
      <c r="BE264" s="33"/>
      <c r="BF264" s="33"/>
      <c r="BG264" s="33"/>
      <c r="BH264" s="33"/>
      <c r="BI264" s="33"/>
      <c r="BJ264" s="33"/>
      <c r="BK264" s="33"/>
      <c r="BL264" s="33"/>
      <c r="BM264" s="33"/>
      <c r="BN264" s="33"/>
      <c r="BO264" s="33"/>
      <c r="BP264" s="33"/>
      <c r="BQ264" s="33"/>
      <c r="BR264" s="33"/>
      <c r="BS264" s="33"/>
      <c r="BT264" s="33"/>
      <c r="BU264" s="33"/>
      <c r="BV264" s="33"/>
      <c r="BW264" s="33"/>
      <c r="BX264" s="33"/>
      <c r="BY264" s="33"/>
      <c r="BZ264" s="33"/>
      <c r="CA264" s="33"/>
      <c r="CB264" s="33"/>
      <c r="CC264" s="33"/>
      <c r="CD264" s="33"/>
      <c r="CE264" s="33"/>
      <c r="CF264" s="33"/>
      <c r="CG264" s="33"/>
      <c r="CH264" s="33"/>
      <c r="CI264" s="33"/>
      <c r="CJ264" s="33"/>
      <c r="CK264" s="33"/>
      <c r="CL264" s="33"/>
      <c r="CM264" s="33"/>
      <c r="CN264" s="33"/>
      <c r="CO264" s="33"/>
      <c r="CP264" s="33"/>
      <c r="CQ264" s="33"/>
      <c r="CR264" s="33"/>
      <c r="CS264" s="33"/>
      <c r="CT264" s="33"/>
      <c r="CU264" s="33"/>
      <c r="CV264" s="33"/>
      <c r="CW264" s="33"/>
      <c r="CX264" s="33"/>
      <c r="CY264" s="33"/>
      <c r="CZ264" s="33"/>
      <c r="DA264" s="33"/>
      <c r="DB264" s="33"/>
      <c r="DC264" s="33"/>
      <c r="DD264" s="33"/>
      <c r="DE264" s="33"/>
      <c r="DF264" s="33"/>
      <c r="DG264" s="33"/>
      <c r="DH264" s="33"/>
      <c r="DI264" s="33"/>
      <c r="DJ264" s="33"/>
      <c r="DK264" s="33"/>
      <c r="DL264" s="33"/>
      <c r="DM264" s="33"/>
      <c r="DN264" s="33"/>
      <c r="DO264" s="33"/>
      <c r="DP264" s="33"/>
      <c r="DQ264" s="33"/>
    </row>
    <row r="265" spans="1:121" s="40" customFormat="1" ht="15.75" customHeight="1">
      <c r="A265" s="33"/>
      <c r="B265" s="118">
        <v>7</v>
      </c>
      <c r="C265" s="113" t="s">
        <v>7</v>
      </c>
      <c r="D265" s="119" t="s">
        <v>111</v>
      </c>
      <c r="E265" s="120"/>
      <c r="F265" s="128">
        <f t="shared" si="285"/>
        <v>0</v>
      </c>
      <c r="G265" s="119" t="s">
        <v>111</v>
      </c>
      <c r="H265" s="120"/>
      <c r="I265" s="128">
        <f t="shared" si="286"/>
        <v>0</v>
      </c>
      <c r="J265" s="119" t="s">
        <v>111</v>
      </c>
      <c r="K265" s="120"/>
      <c r="L265" s="128">
        <f t="shared" si="287"/>
        <v>0</v>
      </c>
      <c r="M265" s="119" t="s">
        <v>111</v>
      </c>
      <c r="N265" s="120"/>
      <c r="O265" s="128">
        <f t="shared" si="288"/>
        <v>0</v>
      </c>
      <c r="P265" s="119" t="s">
        <v>111</v>
      </c>
      <c r="Q265" s="120"/>
      <c r="R265" s="128">
        <f t="shared" si="289"/>
        <v>0</v>
      </c>
      <c r="S265" s="119" t="s">
        <v>111</v>
      </c>
      <c r="T265" s="120"/>
      <c r="U265" s="128">
        <f t="shared" si="290"/>
        <v>0</v>
      </c>
      <c r="V265" s="119">
        <v>0.66666666666666663</v>
      </c>
      <c r="W265" s="120">
        <v>1.1666666666666667</v>
      </c>
      <c r="X265" s="128">
        <f t="shared" si="291"/>
        <v>0.50000000000000011</v>
      </c>
      <c r="Y265" s="119" t="s">
        <v>111</v>
      </c>
      <c r="Z265" s="120"/>
      <c r="AA265" s="128">
        <f t="shared" si="292"/>
        <v>0</v>
      </c>
      <c r="AB265" s="119" t="s">
        <v>111</v>
      </c>
      <c r="AC265" s="120"/>
      <c r="AD265" s="128">
        <f t="shared" si="293"/>
        <v>0</v>
      </c>
      <c r="AE265" s="119" t="s">
        <v>111</v>
      </c>
      <c r="AF265" s="120"/>
      <c r="AG265" s="128">
        <f t="shared" si="294"/>
        <v>0</v>
      </c>
      <c r="AH265" s="119" t="s">
        <v>111</v>
      </c>
      <c r="AI265" s="120"/>
      <c r="AJ265" s="128">
        <f t="shared" si="295"/>
        <v>0</v>
      </c>
      <c r="AK265" s="119" t="s">
        <v>111</v>
      </c>
      <c r="AL265" s="120"/>
      <c r="AM265" s="128">
        <f t="shared" si="296"/>
        <v>0</v>
      </c>
      <c r="AN265" s="118">
        <v>7</v>
      </c>
      <c r="AO265" s="113" t="s">
        <v>7</v>
      </c>
      <c r="AP265" s="33"/>
      <c r="AQ265" s="33"/>
      <c r="AR265" s="33"/>
      <c r="AS265" s="33"/>
      <c r="AT265" s="33"/>
      <c r="AU265" s="33"/>
      <c r="AV265" s="33"/>
      <c r="AW265" s="33"/>
      <c r="AX265" s="33"/>
      <c r="AY265" s="33"/>
      <c r="AZ265" s="33"/>
      <c r="BA265" s="33"/>
      <c r="BB265" s="33"/>
      <c r="BC265" s="33"/>
      <c r="BD265" s="33"/>
      <c r="BE265" s="33"/>
      <c r="BF265" s="33"/>
      <c r="BG265" s="33"/>
      <c r="BH265" s="33"/>
      <c r="BI265" s="33"/>
      <c r="BJ265" s="33"/>
      <c r="BK265" s="33"/>
      <c r="BL265" s="33"/>
      <c r="BM265" s="33"/>
      <c r="BN265" s="33"/>
      <c r="BO265" s="33"/>
      <c r="BP265" s="33"/>
      <c r="BQ265" s="33"/>
      <c r="BR265" s="33"/>
      <c r="BS265" s="33"/>
      <c r="BT265" s="33"/>
      <c r="BU265" s="33"/>
      <c r="BV265" s="33"/>
      <c r="BW265" s="33"/>
      <c r="BX265" s="33"/>
      <c r="BY265" s="33"/>
      <c r="BZ265" s="33"/>
      <c r="CA265" s="33"/>
      <c r="CB265" s="33"/>
      <c r="CC265" s="33"/>
      <c r="CD265" s="33"/>
      <c r="CE265" s="33"/>
      <c r="CF265" s="33"/>
      <c r="CG265" s="33"/>
      <c r="CH265" s="33"/>
      <c r="CI265" s="33"/>
      <c r="CJ265" s="33"/>
      <c r="CK265" s="33"/>
      <c r="CL265" s="33"/>
      <c r="CM265" s="33"/>
      <c r="CN265" s="33"/>
      <c r="CO265" s="33"/>
      <c r="CP265" s="33"/>
      <c r="CQ265" s="33"/>
      <c r="CR265" s="33"/>
      <c r="CS265" s="33"/>
      <c r="CT265" s="33"/>
      <c r="CU265" s="33"/>
      <c r="CV265" s="33"/>
      <c r="CW265" s="33"/>
      <c r="CX265" s="33"/>
      <c r="CY265" s="33"/>
      <c r="CZ265" s="33"/>
      <c r="DA265" s="33"/>
      <c r="DB265" s="33"/>
      <c r="DC265" s="33"/>
      <c r="DD265" s="33"/>
      <c r="DE265" s="33"/>
      <c r="DF265" s="33"/>
      <c r="DG265" s="33"/>
      <c r="DH265" s="33"/>
      <c r="DI265" s="33"/>
      <c r="DJ265" s="33"/>
      <c r="DK265" s="33"/>
      <c r="DL265" s="33"/>
      <c r="DM265" s="33"/>
      <c r="DN265" s="33"/>
      <c r="DO265" s="33"/>
      <c r="DP265" s="33"/>
      <c r="DQ265" s="33"/>
    </row>
    <row r="266" spans="1:121" ht="14.4">
      <c r="A266" s="33"/>
      <c r="B266" s="118">
        <v>8</v>
      </c>
      <c r="C266" s="113" t="s">
        <v>8</v>
      </c>
      <c r="D266" s="119" t="s">
        <v>111</v>
      </c>
      <c r="E266" s="120"/>
      <c r="F266" s="128">
        <f t="shared" si="285"/>
        <v>0</v>
      </c>
      <c r="G266" s="119">
        <v>0.16666666666666666</v>
      </c>
      <c r="H266" s="120">
        <v>0.66666666666666663</v>
      </c>
      <c r="I266" s="128">
        <f t="shared" si="286"/>
        <v>0.5</v>
      </c>
      <c r="J266" s="119" t="s">
        <v>111</v>
      </c>
      <c r="K266" s="120"/>
      <c r="L266" s="128">
        <f t="shared" si="287"/>
        <v>0</v>
      </c>
      <c r="M266" s="119" t="s">
        <v>111</v>
      </c>
      <c r="N266" s="120"/>
      <c r="O266" s="128">
        <f t="shared" si="288"/>
        <v>0</v>
      </c>
      <c r="P266" s="119" t="s">
        <v>111</v>
      </c>
      <c r="Q266" s="120"/>
      <c r="R266" s="128">
        <f t="shared" si="289"/>
        <v>0</v>
      </c>
      <c r="S266" s="119" t="s">
        <v>111</v>
      </c>
      <c r="T266" s="120"/>
      <c r="U266" s="128">
        <f t="shared" si="290"/>
        <v>0</v>
      </c>
      <c r="V266" s="119"/>
      <c r="W266" s="120"/>
      <c r="X266" s="128">
        <f t="shared" si="291"/>
        <v>0</v>
      </c>
      <c r="Y266" s="119" t="s">
        <v>111</v>
      </c>
      <c r="Z266" s="120"/>
      <c r="AA266" s="128">
        <f t="shared" si="292"/>
        <v>0</v>
      </c>
      <c r="AB266" s="119" t="s">
        <v>111</v>
      </c>
      <c r="AC266" s="120"/>
      <c r="AD266" s="128">
        <f t="shared" si="293"/>
        <v>0</v>
      </c>
      <c r="AE266" s="119" t="s">
        <v>111</v>
      </c>
      <c r="AF266" s="120"/>
      <c r="AG266" s="128">
        <f t="shared" si="294"/>
        <v>0</v>
      </c>
      <c r="AH266" s="119" t="s">
        <v>111</v>
      </c>
      <c r="AI266" s="120"/>
      <c r="AJ266" s="128">
        <f t="shared" si="295"/>
        <v>0</v>
      </c>
      <c r="AK266" s="119" t="s">
        <v>111</v>
      </c>
      <c r="AL266" s="120"/>
      <c r="AM266" s="128">
        <f t="shared" si="296"/>
        <v>0</v>
      </c>
      <c r="AN266" s="118">
        <v>8</v>
      </c>
      <c r="AO266" s="113" t="s">
        <v>8</v>
      </c>
      <c r="AP266" s="33"/>
      <c r="AQ266" s="33"/>
      <c r="AR266" s="33"/>
      <c r="AS266" s="33"/>
      <c r="AT266" s="33"/>
      <c r="AU266" s="33"/>
      <c r="AV266" s="33"/>
      <c r="AW266" s="33"/>
      <c r="AX266" s="33"/>
      <c r="AY266" s="33"/>
      <c r="AZ266" s="33"/>
      <c r="BA266" s="33"/>
      <c r="BB266" s="33"/>
      <c r="BC266" s="33"/>
      <c r="BD266" s="33"/>
      <c r="BE266" s="33"/>
      <c r="BF266" s="33"/>
      <c r="BG266" s="33"/>
      <c r="BH266" s="33"/>
      <c r="BI266" s="33"/>
      <c r="BJ266" s="33"/>
      <c r="BK266" s="33"/>
      <c r="BL266" s="33"/>
      <c r="BM266" s="33"/>
      <c r="BN266" s="33"/>
      <c r="BO266" s="33"/>
      <c r="BP266" s="33"/>
      <c r="BQ266" s="33"/>
      <c r="BR266" s="33"/>
      <c r="BS266" s="33"/>
      <c r="BT266" s="33"/>
      <c r="BU266" s="33"/>
      <c r="BV266" s="33"/>
      <c r="BW266" s="33"/>
      <c r="BX266" s="33"/>
      <c r="BY266" s="33"/>
      <c r="BZ266" s="33"/>
      <c r="CA266" s="33"/>
      <c r="CB266" s="33"/>
      <c r="CC266" s="33"/>
      <c r="CD266" s="33"/>
      <c r="CE266" s="33"/>
      <c r="CF266" s="33"/>
      <c r="CG266" s="33"/>
      <c r="CH266" s="33"/>
      <c r="CI266" s="33"/>
      <c r="CJ266" s="33"/>
      <c r="CK266" s="33"/>
      <c r="CL266" s="33"/>
      <c r="CM266" s="33"/>
      <c r="CN266" s="33"/>
      <c r="CO266" s="33"/>
      <c r="CP266" s="33"/>
      <c r="CQ266" s="33"/>
      <c r="CR266" s="33"/>
      <c r="CS266" s="33"/>
      <c r="CT266" s="33"/>
      <c r="CU266" s="33"/>
      <c r="CV266" s="33"/>
      <c r="CW266" s="33"/>
      <c r="CX266" s="33"/>
      <c r="CY266" s="33"/>
      <c r="CZ266" s="33"/>
      <c r="DA266" s="33"/>
      <c r="DB266" s="33"/>
      <c r="DC266" s="33"/>
      <c r="DD266" s="33"/>
      <c r="DE266" s="33"/>
      <c r="DF266" s="33"/>
      <c r="DG266" s="33"/>
      <c r="DH266" s="33"/>
      <c r="DI266" s="33"/>
      <c r="DJ266" s="33"/>
      <c r="DK266" s="33"/>
      <c r="DL266" s="33"/>
      <c r="DM266" s="33"/>
      <c r="DN266" s="33"/>
      <c r="DO266" s="33"/>
      <c r="DP266" s="33"/>
      <c r="DQ266" s="33"/>
    </row>
    <row r="267" spans="1:121" ht="14.4">
      <c r="A267" s="33"/>
      <c r="B267" s="118">
        <v>9</v>
      </c>
      <c r="C267" s="113" t="s">
        <v>12</v>
      </c>
      <c r="D267" s="119" t="s">
        <v>111</v>
      </c>
      <c r="E267" s="120"/>
      <c r="F267" s="128">
        <f t="shared" si="285"/>
        <v>0</v>
      </c>
      <c r="G267" s="119"/>
      <c r="H267" s="120"/>
      <c r="I267" s="128">
        <f t="shared" si="286"/>
        <v>0</v>
      </c>
      <c r="J267" s="119" t="s">
        <v>111</v>
      </c>
      <c r="K267" s="120"/>
      <c r="L267" s="128">
        <f t="shared" si="287"/>
        <v>0</v>
      </c>
      <c r="M267" s="119" t="s">
        <v>111</v>
      </c>
      <c r="N267" s="120"/>
      <c r="O267" s="128">
        <f t="shared" si="288"/>
        <v>0</v>
      </c>
      <c r="P267" s="119" t="s">
        <v>111</v>
      </c>
      <c r="Q267" s="120"/>
      <c r="R267" s="128">
        <f t="shared" si="289"/>
        <v>0</v>
      </c>
      <c r="S267" s="119" t="s">
        <v>111</v>
      </c>
      <c r="T267" s="120"/>
      <c r="U267" s="128">
        <f t="shared" si="290"/>
        <v>0</v>
      </c>
      <c r="V267" s="119">
        <v>0.16666666666666666</v>
      </c>
      <c r="W267" s="120">
        <v>0.66666666666666663</v>
      </c>
      <c r="X267" s="128">
        <f t="shared" si="291"/>
        <v>0.5</v>
      </c>
      <c r="Y267" s="119" t="s">
        <v>111</v>
      </c>
      <c r="Z267" s="120"/>
      <c r="AA267" s="128">
        <f t="shared" si="292"/>
        <v>0</v>
      </c>
      <c r="AB267" s="119">
        <v>0.16666666666666666</v>
      </c>
      <c r="AC267" s="120">
        <v>0.66666666666666663</v>
      </c>
      <c r="AD267" s="128">
        <f t="shared" si="293"/>
        <v>0.5</v>
      </c>
      <c r="AE267" s="119" t="s">
        <v>111</v>
      </c>
      <c r="AF267" s="120"/>
      <c r="AG267" s="128">
        <f t="shared" si="294"/>
        <v>0</v>
      </c>
      <c r="AH267" s="119" t="s">
        <v>111</v>
      </c>
      <c r="AI267" s="120"/>
      <c r="AJ267" s="128">
        <f t="shared" si="295"/>
        <v>0</v>
      </c>
      <c r="AK267" s="119" t="s">
        <v>111</v>
      </c>
      <c r="AL267" s="120"/>
      <c r="AM267" s="128">
        <f t="shared" si="296"/>
        <v>0</v>
      </c>
      <c r="AN267" s="118">
        <v>9</v>
      </c>
      <c r="AO267" s="113" t="s">
        <v>12</v>
      </c>
      <c r="AP267" s="33"/>
      <c r="AQ267" s="33"/>
      <c r="AR267" s="33"/>
      <c r="AS267" s="33"/>
      <c r="AT267" s="33"/>
      <c r="AU267" s="33"/>
      <c r="AV267" s="33"/>
      <c r="AW267" s="33"/>
      <c r="AX267" s="33"/>
      <c r="AY267" s="33"/>
      <c r="AZ267" s="33"/>
      <c r="BA267" s="33"/>
      <c r="BB267" s="33"/>
      <c r="BC267" s="33"/>
      <c r="BD267" s="33"/>
      <c r="BE267" s="33"/>
      <c r="BF267" s="33"/>
      <c r="BG267" s="33"/>
      <c r="BH267" s="33"/>
      <c r="BI267" s="33"/>
      <c r="BJ267" s="33"/>
      <c r="BK267" s="33"/>
      <c r="BL267" s="33"/>
      <c r="BM267" s="33"/>
      <c r="BN267" s="33"/>
      <c r="BO267" s="33"/>
      <c r="BP267" s="33"/>
      <c r="BQ267" s="33"/>
      <c r="BR267" s="33"/>
      <c r="BS267" s="33"/>
      <c r="BT267" s="33"/>
      <c r="BU267" s="33"/>
      <c r="BV267" s="33"/>
      <c r="BW267" s="33"/>
      <c r="BX267" s="33"/>
      <c r="BY267" s="33"/>
      <c r="BZ267" s="33"/>
      <c r="CA267" s="33"/>
      <c r="CB267" s="33"/>
      <c r="CC267" s="33"/>
      <c r="CD267" s="33"/>
      <c r="CE267" s="33"/>
      <c r="CF267" s="33"/>
      <c r="CG267" s="33"/>
      <c r="CH267" s="33"/>
      <c r="CI267" s="33"/>
      <c r="CJ267" s="33"/>
      <c r="CK267" s="33"/>
      <c r="CL267" s="33"/>
      <c r="CM267" s="33"/>
      <c r="CN267" s="33"/>
      <c r="CO267" s="33"/>
      <c r="CP267" s="33"/>
      <c r="CQ267" s="33"/>
      <c r="CR267" s="33"/>
      <c r="CS267" s="33"/>
      <c r="CT267" s="33"/>
      <c r="CU267" s="33"/>
      <c r="CV267" s="33"/>
      <c r="CW267" s="33"/>
      <c r="CX267" s="33"/>
      <c r="CY267" s="33"/>
      <c r="CZ267" s="33"/>
      <c r="DA267" s="33"/>
      <c r="DB267" s="33"/>
      <c r="DC267" s="33"/>
      <c r="DD267" s="33"/>
      <c r="DE267" s="33"/>
      <c r="DF267" s="33"/>
      <c r="DG267" s="33"/>
      <c r="DH267" s="33"/>
      <c r="DI267" s="33"/>
      <c r="DJ267" s="33"/>
      <c r="DK267" s="33"/>
      <c r="DL267" s="33"/>
      <c r="DM267" s="33"/>
      <c r="DN267" s="33"/>
      <c r="DO267" s="33"/>
      <c r="DP267" s="33"/>
      <c r="DQ267" s="33"/>
    </row>
    <row r="268" spans="1:121" ht="14.4">
      <c r="A268" s="33"/>
      <c r="B268" s="118">
        <v>10</v>
      </c>
      <c r="C268" s="113" t="s">
        <v>85</v>
      </c>
      <c r="D268" s="119" t="s">
        <v>111</v>
      </c>
      <c r="E268" s="120"/>
      <c r="F268" s="128">
        <f t="shared" si="285"/>
        <v>0</v>
      </c>
      <c r="G268" s="119">
        <v>0.16666666666666666</v>
      </c>
      <c r="H268" s="120">
        <v>0.66666666666666663</v>
      </c>
      <c r="I268" s="128">
        <f t="shared" si="286"/>
        <v>0.5</v>
      </c>
      <c r="J268" s="119" t="s">
        <v>111</v>
      </c>
      <c r="K268" s="120"/>
      <c r="L268" s="128">
        <f t="shared" si="287"/>
        <v>0</v>
      </c>
      <c r="M268" s="119" t="s">
        <v>111</v>
      </c>
      <c r="N268" s="120"/>
      <c r="O268" s="128">
        <f t="shared" si="288"/>
        <v>0</v>
      </c>
      <c r="P268" s="119" t="s">
        <v>111</v>
      </c>
      <c r="Q268" s="120"/>
      <c r="R268" s="128">
        <f t="shared" si="289"/>
        <v>0</v>
      </c>
      <c r="S268" s="119" t="s">
        <v>111</v>
      </c>
      <c r="T268" s="120"/>
      <c r="U268" s="128">
        <f t="shared" si="290"/>
        <v>0</v>
      </c>
      <c r="V268" s="119">
        <v>0.125</v>
      </c>
      <c r="W268" s="120">
        <v>0.58333333333333337</v>
      </c>
      <c r="X268" s="128">
        <f t="shared" si="291"/>
        <v>0.45833333333333337</v>
      </c>
      <c r="Y268" s="119" t="s">
        <v>111</v>
      </c>
      <c r="Z268" s="120"/>
      <c r="AA268" s="128">
        <f t="shared" si="292"/>
        <v>0</v>
      </c>
      <c r="AB268" s="119">
        <v>0.66666666666666663</v>
      </c>
      <c r="AC268" s="120">
        <v>1.1666666666666667</v>
      </c>
      <c r="AD268" s="128">
        <f t="shared" si="293"/>
        <v>0.50000000000000011</v>
      </c>
      <c r="AE268" s="119" t="s">
        <v>111</v>
      </c>
      <c r="AF268" s="120"/>
      <c r="AG268" s="128">
        <f t="shared" si="294"/>
        <v>0</v>
      </c>
      <c r="AH268" s="119" t="s">
        <v>111</v>
      </c>
      <c r="AI268" s="120"/>
      <c r="AJ268" s="128">
        <f t="shared" si="295"/>
        <v>0</v>
      </c>
      <c r="AK268" s="119" t="s">
        <v>111</v>
      </c>
      <c r="AL268" s="120"/>
      <c r="AM268" s="128">
        <f t="shared" si="296"/>
        <v>0</v>
      </c>
      <c r="AN268" s="118">
        <v>10</v>
      </c>
      <c r="AO268" s="113" t="s">
        <v>85</v>
      </c>
      <c r="AP268" s="33"/>
      <c r="AQ268" s="33"/>
      <c r="AR268" s="33"/>
      <c r="AS268" s="33"/>
      <c r="AT268" s="33"/>
      <c r="AU268" s="33"/>
      <c r="AV268" s="33"/>
      <c r="AW268" s="33"/>
      <c r="AX268" s="33"/>
      <c r="AY268" s="33"/>
      <c r="AZ268" s="33"/>
      <c r="BA268" s="33"/>
      <c r="BB268" s="33"/>
      <c r="BC268" s="33"/>
      <c r="BD268" s="33"/>
      <c r="BE268" s="33"/>
      <c r="BF268" s="33"/>
      <c r="BG268" s="33"/>
      <c r="BH268" s="33"/>
      <c r="BI268" s="33"/>
      <c r="BJ268" s="33"/>
      <c r="BK268" s="33"/>
      <c r="BL268" s="33"/>
      <c r="BM268" s="33"/>
      <c r="BN268" s="33"/>
      <c r="BO268" s="33"/>
      <c r="BP268" s="33"/>
      <c r="BQ268" s="33"/>
      <c r="BR268" s="33"/>
      <c r="BS268" s="33"/>
      <c r="BT268" s="33"/>
      <c r="BU268" s="33"/>
      <c r="BV268" s="33"/>
      <c r="BW268" s="33"/>
      <c r="BX268" s="33"/>
      <c r="BY268" s="33"/>
      <c r="BZ268" s="33"/>
      <c r="CA268" s="33"/>
      <c r="CB268" s="33"/>
      <c r="CC268" s="33"/>
      <c r="CD268" s="33"/>
      <c r="CE268" s="33"/>
      <c r="CF268" s="33"/>
      <c r="CG268" s="33"/>
      <c r="CH268" s="33"/>
      <c r="CI268" s="33"/>
      <c r="CJ268" s="33"/>
      <c r="CK268" s="33"/>
      <c r="CL268" s="33"/>
      <c r="CM268" s="33"/>
      <c r="CN268" s="33"/>
      <c r="CO268" s="33"/>
      <c r="CP268" s="33"/>
      <c r="CQ268" s="33"/>
      <c r="CR268" s="33"/>
      <c r="CS268" s="33"/>
      <c r="CT268" s="33"/>
      <c r="CU268" s="33"/>
      <c r="CV268" s="33"/>
      <c r="CW268" s="33"/>
      <c r="CX268" s="33"/>
      <c r="CY268" s="33"/>
      <c r="CZ268" s="33"/>
      <c r="DA268" s="33"/>
      <c r="DB268" s="33"/>
      <c r="DC268" s="33"/>
      <c r="DD268" s="33"/>
      <c r="DE268" s="33"/>
      <c r="DF268" s="33"/>
      <c r="DG268" s="33"/>
      <c r="DH268" s="33"/>
      <c r="DI268" s="33"/>
      <c r="DJ268" s="33"/>
      <c r="DK268" s="33"/>
      <c r="DL268" s="33"/>
      <c r="DM268" s="33"/>
      <c r="DN268" s="33"/>
      <c r="DO268" s="33"/>
      <c r="DP268" s="33"/>
      <c r="DQ268" s="33"/>
    </row>
    <row r="269" spans="1:121" ht="14.4">
      <c r="A269" s="33"/>
      <c r="B269" s="118">
        <v>11</v>
      </c>
      <c r="C269" s="113" t="s">
        <v>4</v>
      </c>
      <c r="D269" s="119" t="s">
        <v>111</v>
      </c>
      <c r="E269" s="120"/>
      <c r="F269" s="128">
        <f t="shared" si="285"/>
        <v>0</v>
      </c>
      <c r="G269" s="119"/>
      <c r="H269" s="120"/>
      <c r="I269" s="128">
        <f t="shared" si="286"/>
        <v>0</v>
      </c>
      <c r="J269" s="119" t="s">
        <v>111</v>
      </c>
      <c r="K269" s="120"/>
      <c r="L269" s="128">
        <f t="shared" si="287"/>
        <v>0</v>
      </c>
      <c r="M269" s="119" t="s">
        <v>111</v>
      </c>
      <c r="N269" s="120"/>
      <c r="O269" s="128">
        <f t="shared" si="288"/>
        <v>0</v>
      </c>
      <c r="P269" s="119" t="s">
        <v>111</v>
      </c>
      <c r="Q269" s="120"/>
      <c r="R269" s="128">
        <f t="shared" si="289"/>
        <v>0</v>
      </c>
      <c r="S269" s="119" t="s">
        <v>111</v>
      </c>
      <c r="T269" s="120"/>
      <c r="U269" s="128">
        <f t="shared" si="290"/>
        <v>0</v>
      </c>
      <c r="V269" s="119">
        <v>0.5</v>
      </c>
      <c r="W269" s="120">
        <v>0.875</v>
      </c>
      <c r="X269" s="128">
        <f t="shared" si="291"/>
        <v>0.375</v>
      </c>
      <c r="Y269" s="119" t="s">
        <v>111</v>
      </c>
      <c r="Z269" s="120"/>
      <c r="AA269" s="128">
        <f t="shared" si="292"/>
        <v>0</v>
      </c>
      <c r="AB269" s="119" t="s">
        <v>111</v>
      </c>
      <c r="AC269" s="120"/>
      <c r="AD269" s="128">
        <f t="shared" si="293"/>
        <v>0</v>
      </c>
      <c r="AE269" s="119" t="s">
        <v>111</v>
      </c>
      <c r="AF269" s="120"/>
      <c r="AG269" s="128">
        <f t="shared" si="294"/>
        <v>0</v>
      </c>
      <c r="AH269" s="119" t="s">
        <v>111</v>
      </c>
      <c r="AI269" s="120"/>
      <c r="AJ269" s="128">
        <f t="shared" si="295"/>
        <v>0</v>
      </c>
      <c r="AK269" s="119" t="s">
        <v>111</v>
      </c>
      <c r="AL269" s="120"/>
      <c r="AM269" s="128">
        <f t="shared" si="296"/>
        <v>0</v>
      </c>
      <c r="AN269" s="118">
        <v>11</v>
      </c>
      <c r="AO269" s="113" t="s">
        <v>4</v>
      </c>
      <c r="AP269" s="33"/>
      <c r="AQ269" s="33"/>
      <c r="AR269" s="33"/>
      <c r="AS269" s="33"/>
      <c r="AT269" s="33"/>
      <c r="AU269" s="33"/>
      <c r="AV269" s="33"/>
      <c r="AW269" s="33"/>
      <c r="AX269" s="33"/>
      <c r="AY269" s="33"/>
      <c r="AZ269" s="33"/>
      <c r="BA269" s="33"/>
      <c r="BB269" s="33"/>
      <c r="BC269" s="33"/>
      <c r="BD269" s="33"/>
      <c r="BE269" s="33"/>
      <c r="BF269" s="33"/>
      <c r="BG269" s="33"/>
      <c r="BH269" s="33"/>
      <c r="BI269" s="33"/>
      <c r="BJ269" s="33"/>
      <c r="BK269" s="33"/>
      <c r="BL269" s="33"/>
      <c r="BM269" s="33"/>
      <c r="BN269" s="33"/>
      <c r="BO269" s="33"/>
      <c r="BP269" s="33"/>
      <c r="BQ269" s="33"/>
      <c r="BR269" s="33"/>
      <c r="BS269" s="33"/>
      <c r="BT269" s="33"/>
      <c r="BU269" s="33"/>
      <c r="BV269" s="33"/>
      <c r="BW269" s="33"/>
      <c r="BX269" s="33"/>
      <c r="BY269" s="33"/>
      <c r="BZ269" s="33"/>
      <c r="CA269" s="33"/>
      <c r="CB269" s="33"/>
      <c r="CC269" s="33"/>
      <c r="CD269" s="33"/>
      <c r="CE269" s="33"/>
      <c r="CF269" s="33"/>
      <c r="CG269" s="33"/>
      <c r="CH269" s="33"/>
      <c r="CI269" s="33"/>
      <c r="CJ269" s="33"/>
      <c r="CK269" s="33"/>
      <c r="CL269" s="33"/>
      <c r="CM269" s="33"/>
      <c r="CN269" s="33"/>
      <c r="CO269" s="33"/>
      <c r="CP269" s="33"/>
      <c r="CQ269" s="33"/>
      <c r="CR269" s="33"/>
      <c r="CS269" s="33"/>
      <c r="CT269" s="33"/>
      <c r="CU269" s="33"/>
      <c r="CV269" s="33"/>
      <c r="CW269" s="33"/>
      <c r="CX269" s="33"/>
      <c r="CY269" s="33"/>
      <c r="CZ269" s="33"/>
      <c r="DA269" s="33"/>
      <c r="DB269" s="33"/>
      <c r="DC269" s="33"/>
      <c r="DD269" s="33"/>
      <c r="DE269" s="33"/>
      <c r="DF269" s="33"/>
      <c r="DG269" s="33"/>
      <c r="DH269" s="33"/>
      <c r="DI269" s="33"/>
      <c r="DJ269" s="33"/>
      <c r="DK269" s="33"/>
      <c r="DL269" s="33"/>
      <c r="DM269" s="33"/>
      <c r="DN269" s="33"/>
      <c r="DO269" s="33"/>
      <c r="DP269" s="33"/>
      <c r="DQ269" s="33"/>
    </row>
    <row r="270" spans="1:121" ht="14.4">
      <c r="A270" s="33" t="s">
        <v>11</v>
      </c>
      <c r="B270" s="86">
        <v>12</v>
      </c>
      <c r="C270" s="87" t="s">
        <v>5</v>
      </c>
      <c r="D270" s="88" t="s">
        <v>111</v>
      </c>
      <c r="E270" s="89"/>
      <c r="F270" s="92">
        <f t="shared" si="285"/>
        <v>0</v>
      </c>
      <c r="G270" s="88">
        <v>0.125</v>
      </c>
      <c r="H270" s="89">
        <v>0.54166666666666663</v>
      </c>
      <c r="I270" s="92">
        <f t="shared" si="286"/>
        <v>0.41666666666666663</v>
      </c>
      <c r="J270" s="88"/>
      <c r="K270" s="89"/>
      <c r="L270" s="92">
        <f t="shared" si="287"/>
        <v>0</v>
      </c>
      <c r="M270" s="88">
        <v>0.16666666666666666</v>
      </c>
      <c r="N270" s="89">
        <v>0.66666666666666663</v>
      </c>
      <c r="O270" s="92">
        <f t="shared" si="288"/>
        <v>0.5</v>
      </c>
      <c r="P270" s="88"/>
      <c r="Q270" s="89"/>
      <c r="R270" s="92">
        <f t="shared" si="289"/>
        <v>0</v>
      </c>
      <c r="S270" s="88">
        <v>0.125</v>
      </c>
      <c r="T270" s="89">
        <v>0.58333333333333337</v>
      </c>
      <c r="U270" s="92">
        <f t="shared" si="290"/>
        <v>0.45833333333333337</v>
      </c>
      <c r="V270" s="88"/>
      <c r="W270" s="89"/>
      <c r="X270" s="92">
        <f t="shared" si="291"/>
        <v>0</v>
      </c>
      <c r="Y270" s="88">
        <v>0.33333333333333331</v>
      </c>
      <c r="Z270" s="89">
        <v>0.83333333333333337</v>
      </c>
      <c r="AA270" s="92">
        <f t="shared" si="292"/>
        <v>0.5</v>
      </c>
      <c r="AB270" s="88">
        <v>0.33333333333333331</v>
      </c>
      <c r="AC270" s="89">
        <v>0.83333333333333337</v>
      </c>
      <c r="AD270" s="92">
        <f t="shared" si="293"/>
        <v>0.5</v>
      </c>
      <c r="AE270" s="88">
        <v>0.125</v>
      </c>
      <c r="AF270" s="89">
        <v>0.54166666666666663</v>
      </c>
      <c r="AG270" s="92">
        <f t="shared" si="294"/>
        <v>0.41666666666666663</v>
      </c>
      <c r="AH270" s="88"/>
      <c r="AI270" s="89"/>
      <c r="AJ270" s="92">
        <f t="shared" si="295"/>
        <v>0</v>
      </c>
      <c r="AK270" s="88"/>
      <c r="AL270" s="89"/>
      <c r="AM270" s="92">
        <f t="shared" si="296"/>
        <v>0</v>
      </c>
      <c r="AN270" s="86">
        <v>12</v>
      </c>
      <c r="AO270" s="87" t="s">
        <v>5</v>
      </c>
      <c r="AP270" s="33"/>
      <c r="AQ270" s="33"/>
      <c r="AR270" s="33"/>
      <c r="AS270" s="33"/>
      <c r="AT270" s="33"/>
      <c r="AU270" s="33"/>
      <c r="AV270" s="33"/>
      <c r="AW270" s="33"/>
      <c r="AX270" s="33"/>
      <c r="AY270" s="33"/>
      <c r="AZ270" s="33"/>
      <c r="BA270" s="33"/>
      <c r="BB270" s="33"/>
      <c r="BC270" s="33"/>
      <c r="BD270" s="33"/>
      <c r="BE270" s="33"/>
      <c r="BF270" s="33"/>
      <c r="BG270" s="33"/>
      <c r="BH270" s="33"/>
      <c r="BI270" s="33"/>
      <c r="BJ270" s="33"/>
      <c r="BK270" s="33"/>
      <c r="BL270" s="33"/>
      <c r="BM270" s="33"/>
      <c r="BN270" s="33"/>
      <c r="BO270" s="33"/>
      <c r="BP270" s="33"/>
      <c r="BQ270" s="33"/>
      <c r="BR270" s="33"/>
      <c r="BS270" s="33"/>
      <c r="BT270" s="33"/>
      <c r="BU270" s="33"/>
      <c r="BV270" s="33"/>
      <c r="BW270" s="33"/>
      <c r="BX270" s="33"/>
      <c r="BY270" s="33"/>
      <c r="BZ270" s="33"/>
      <c r="CA270" s="33"/>
      <c r="CB270" s="33"/>
      <c r="CC270" s="33"/>
      <c r="CD270" s="33"/>
      <c r="CE270" s="33"/>
      <c r="CF270" s="33"/>
      <c r="CG270" s="33"/>
      <c r="CH270" s="33"/>
      <c r="CI270" s="33"/>
      <c r="CJ270" s="33"/>
      <c r="CK270" s="33"/>
      <c r="CL270" s="33"/>
      <c r="CM270" s="33"/>
      <c r="CN270" s="33"/>
      <c r="CO270" s="33"/>
      <c r="CP270" s="33"/>
      <c r="CQ270" s="33"/>
      <c r="CR270" s="33"/>
      <c r="CS270" s="33"/>
      <c r="CT270" s="33"/>
      <c r="CU270" s="33"/>
      <c r="CV270" s="33"/>
      <c r="CW270" s="33"/>
      <c r="CX270" s="33"/>
      <c r="CY270" s="33"/>
      <c r="CZ270" s="33"/>
      <c r="DA270" s="33"/>
      <c r="DB270" s="33"/>
      <c r="DC270" s="33"/>
      <c r="DD270" s="33"/>
      <c r="DE270" s="33"/>
      <c r="DF270" s="33"/>
      <c r="DG270" s="33"/>
      <c r="DH270" s="33"/>
      <c r="DI270" s="33"/>
      <c r="DJ270" s="33"/>
      <c r="DK270" s="33"/>
      <c r="DL270" s="33"/>
      <c r="DM270" s="33"/>
      <c r="DN270" s="33"/>
      <c r="DO270" s="33"/>
      <c r="DP270" s="33"/>
      <c r="DQ270" s="33"/>
    </row>
    <row r="271" spans="1:121" s="40" customFormat="1" ht="14.4">
      <c r="A271" s="33"/>
      <c r="B271" s="86">
        <v>13</v>
      </c>
      <c r="C271" s="87" t="s">
        <v>6</v>
      </c>
      <c r="D271" s="88"/>
      <c r="E271" s="89"/>
      <c r="F271" s="92">
        <f t="shared" si="285"/>
        <v>0</v>
      </c>
      <c r="G271" s="88">
        <v>0.16666666666666666</v>
      </c>
      <c r="H271" s="89">
        <v>0.66666666666666663</v>
      </c>
      <c r="I271" s="92">
        <f t="shared" si="286"/>
        <v>0.5</v>
      </c>
      <c r="J271" s="88">
        <v>0.5</v>
      </c>
      <c r="K271" s="89">
        <v>0.91666666666666663</v>
      </c>
      <c r="L271" s="92">
        <f t="shared" si="287"/>
        <v>0.41666666666666663</v>
      </c>
      <c r="M271" s="88">
        <v>0.33333333333333331</v>
      </c>
      <c r="N271" s="89">
        <v>0.83333333333333337</v>
      </c>
      <c r="O271" s="92">
        <f>(IF(M271="u",0.333333333,IF(M271="W",0,IF(M271="C",O271,IF(M271="op",O271,(N271-M271))))))</f>
        <v>0.5</v>
      </c>
      <c r="P271" s="88">
        <v>0.41666666666666669</v>
      </c>
      <c r="Q271" s="89">
        <v>0.83333333333333337</v>
      </c>
      <c r="R271" s="92">
        <f t="shared" si="289"/>
        <v>0.41666666666666669</v>
      </c>
      <c r="S271" s="88"/>
      <c r="T271" s="89"/>
      <c r="U271" s="92">
        <f t="shared" si="290"/>
        <v>0</v>
      </c>
      <c r="V271" s="88"/>
      <c r="W271" s="89"/>
      <c r="X271" s="92">
        <f t="shared" si="291"/>
        <v>0</v>
      </c>
      <c r="Y271" s="88">
        <v>0.33333333333333331</v>
      </c>
      <c r="Z271" s="89">
        <v>0.83333333333333337</v>
      </c>
      <c r="AA271" s="92">
        <f t="shared" si="292"/>
        <v>0.5</v>
      </c>
      <c r="AB271" s="88">
        <v>0.33333333333333331</v>
      </c>
      <c r="AC271" s="89">
        <v>0.83333333333333337</v>
      </c>
      <c r="AD271" s="92">
        <f t="shared" si="293"/>
        <v>0.5</v>
      </c>
      <c r="AE271" s="88">
        <v>0.16666666666666666</v>
      </c>
      <c r="AF271" s="89">
        <v>0.66666666666666663</v>
      </c>
      <c r="AG271" s="92">
        <f t="shared" si="294"/>
        <v>0.5</v>
      </c>
      <c r="AH271" s="88"/>
      <c r="AI271" s="89"/>
      <c r="AJ271" s="92">
        <f t="shared" si="295"/>
        <v>0</v>
      </c>
      <c r="AK271" s="88"/>
      <c r="AL271" s="89"/>
      <c r="AM271" s="92">
        <f t="shared" si="296"/>
        <v>0</v>
      </c>
      <c r="AN271" s="86">
        <v>13</v>
      </c>
      <c r="AO271" s="87" t="s">
        <v>6</v>
      </c>
      <c r="AP271" s="33"/>
      <c r="AQ271" s="33"/>
      <c r="AR271" s="33"/>
      <c r="AS271" s="33"/>
      <c r="AT271" s="33"/>
      <c r="AU271" s="33"/>
      <c r="AV271" s="33"/>
      <c r="AW271" s="33"/>
      <c r="AX271" s="33"/>
      <c r="AY271" s="33"/>
      <c r="AZ271" s="33"/>
      <c r="BA271" s="33"/>
      <c r="BB271" s="33"/>
      <c r="BC271" s="33"/>
      <c r="BD271" s="33"/>
      <c r="BE271" s="33"/>
      <c r="BF271" s="33"/>
      <c r="BG271" s="33"/>
      <c r="BH271" s="33"/>
      <c r="BI271" s="33"/>
      <c r="BJ271" s="33"/>
      <c r="BK271" s="33"/>
      <c r="BL271" s="33"/>
      <c r="BM271" s="33"/>
      <c r="BN271" s="33"/>
      <c r="BO271" s="33"/>
      <c r="BP271" s="33"/>
      <c r="BQ271" s="33"/>
      <c r="BR271" s="33"/>
      <c r="BS271" s="33"/>
      <c r="BT271" s="33"/>
      <c r="BU271" s="33"/>
      <c r="BV271" s="33"/>
      <c r="BW271" s="33"/>
      <c r="BX271" s="33"/>
      <c r="BY271" s="33"/>
      <c r="BZ271" s="33"/>
      <c r="CA271" s="33"/>
      <c r="CB271" s="33"/>
      <c r="CC271" s="33"/>
      <c r="CD271" s="33"/>
      <c r="CE271" s="33"/>
      <c r="CF271" s="33"/>
      <c r="CG271" s="33"/>
      <c r="CH271" s="33"/>
      <c r="CI271" s="33"/>
      <c r="CJ271" s="33"/>
      <c r="CK271" s="33"/>
      <c r="CL271" s="33"/>
      <c r="CM271" s="33"/>
      <c r="CN271" s="33"/>
      <c r="CO271" s="33"/>
      <c r="CP271" s="33"/>
      <c r="CQ271" s="33"/>
      <c r="CR271" s="33"/>
      <c r="CS271" s="33"/>
      <c r="CT271" s="33"/>
      <c r="CU271" s="33"/>
      <c r="CV271" s="33"/>
      <c r="CW271" s="33"/>
      <c r="CX271" s="33"/>
      <c r="CY271" s="33"/>
      <c r="CZ271" s="33"/>
      <c r="DA271" s="33"/>
      <c r="DB271" s="33"/>
      <c r="DC271" s="33"/>
      <c r="DD271" s="33"/>
      <c r="DE271" s="33"/>
      <c r="DF271" s="33"/>
      <c r="DG271" s="33"/>
      <c r="DH271" s="33"/>
      <c r="DI271" s="33"/>
      <c r="DJ271" s="33"/>
      <c r="DK271" s="33"/>
      <c r="DL271" s="33"/>
      <c r="DM271" s="33"/>
      <c r="DN271" s="33"/>
      <c r="DO271" s="33"/>
      <c r="DP271" s="33"/>
      <c r="DQ271" s="33"/>
    </row>
    <row r="272" spans="1:121" s="40" customFormat="1" ht="14.4">
      <c r="A272" s="33"/>
      <c r="B272" s="118">
        <v>14</v>
      </c>
      <c r="C272" s="113" t="s">
        <v>7</v>
      </c>
      <c r="D272" s="119" t="s">
        <v>111</v>
      </c>
      <c r="E272" s="120"/>
      <c r="F272" s="128">
        <f t="shared" si="285"/>
        <v>0</v>
      </c>
      <c r="G272" s="119"/>
      <c r="H272" s="120"/>
      <c r="I272" s="128">
        <f t="shared" si="286"/>
        <v>0</v>
      </c>
      <c r="J272" s="119" t="s">
        <v>111</v>
      </c>
      <c r="K272" s="120"/>
      <c r="L272" s="128">
        <f t="shared" si="287"/>
        <v>0</v>
      </c>
      <c r="M272" s="119" t="s">
        <v>111</v>
      </c>
      <c r="N272" s="120"/>
      <c r="O272" s="128">
        <f>(IF(M272="u",0.333333333,IF(M272="W",0,IF(M272="C",O272,IF(M272="op",O272,(N272-M272))))))</f>
        <v>0</v>
      </c>
      <c r="P272" s="119" t="s">
        <v>111</v>
      </c>
      <c r="Q272" s="120"/>
      <c r="R272" s="128">
        <f t="shared" si="289"/>
        <v>0</v>
      </c>
      <c r="S272" s="119" t="s">
        <v>111</v>
      </c>
      <c r="T272" s="120"/>
      <c r="U272" s="128">
        <f t="shared" si="290"/>
        <v>0</v>
      </c>
      <c r="V272" s="119"/>
      <c r="W272" s="120"/>
      <c r="X272" s="128">
        <f t="shared" si="291"/>
        <v>0</v>
      </c>
      <c r="Y272" s="119" t="s">
        <v>111</v>
      </c>
      <c r="Z272" s="120"/>
      <c r="AA272" s="128">
        <f t="shared" si="292"/>
        <v>0</v>
      </c>
      <c r="AB272" s="119" t="s">
        <v>111</v>
      </c>
      <c r="AC272" s="120"/>
      <c r="AD272" s="128">
        <f t="shared" si="293"/>
        <v>0</v>
      </c>
      <c r="AE272" s="119" t="s">
        <v>111</v>
      </c>
      <c r="AF272" s="120"/>
      <c r="AG272" s="128">
        <f t="shared" si="294"/>
        <v>0</v>
      </c>
      <c r="AH272" s="119" t="s">
        <v>111</v>
      </c>
      <c r="AI272" s="120"/>
      <c r="AJ272" s="128">
        <f t="shared" si="295"/>
        <v>0</v>
      </c>
      <c r="AK272" s="119" t="s">
        <v>111</v>
      </c>
      <c r="AL272" s="120"/>
      <c r="AM272" s="128">
        <f t="shared" si="296"/>
        <v>0</v>
      </c>
      <c r="AN272" s="118">
        <v>14</v>
      </c>
      <c r="AO272" s="113" t="s">
        <v>7</v>
      </c>
      <c r="AP272" s="209">
        <f>SUM(AP6+AP48+AP90+AP132+AP174+AP216+AP258)</f>
        <v>412.10416666666663</v>
      </c>
      <c r="AQ272" s="33"/>
      <c r="AR272" s="33"/>
      <c r="AS272" s="33"/>
      <c r="AT272" s="33"/>
      <c r="AU272" s="33"/>
      <c r="AV272" s="33"/>
      <c r="AW272" s="33"/>
      <c r="AX272" s="33"/>
      <c r="AY272" s="33"/>
      <c r="AZ272" s="33"/>
      <c r="BA272" s="33"/>
      <c r="BB272" s="33"/>
      <c r="BC272" s="33"/>
      <c r="BD272" s="33"/>
      <c r="BE272" s="33"/>
      <c r="BF272" s="33"/>
      <c r="BG272" s="33"/>
      <c r="BH272" s="33"/>
      <c r="BI272" s="33"/>
      <c r="BJ272" s="33"/>
      <c r="BK272" s="33"/>
      <c r="BL272" s="33"/>
      <c r="BM272" s="33"/>
      <c r="BN272" s="33"/>
      <c r="BO272" s="33"/>
      <c r="BP272" s="33"/>
      <c r="BQ272" s="33"/>
      <c r="BR272" s="33"/>
      <c r="BS272" s="33"/>
      <c r="BT272" s="33"/>
      <c r="BU272" s="33"/>
      <c r="BV272" s="33"/>
      <c r="BW272" s="33"/>
      <c r="BX272" s="33"/>
      <c r="BY272" s="33"/>
      <c r="BZ272" s="33"/>
      <c r="CA272" s="33"/>
      <c r="CB272" s="33"/>
      <c r="CC272" s="33"/>
      <c r="CD272" s="33"/>
      <c r="CE272" s="33"/>
      <c r="CF272" s="33"/>
      <c r="CG272" s="33"/>
      <c r="CH272" s="33"/>
      <c r="CI272" s="33"/>
      <c r="CJ272" s="33"/>
      <c r="CK272" s="33"/>
      <c r="CL272" s="33"/>
      <c r="CM272" s="33"/>
      <c r="CN272" s="33"/>
      <c r="CO272" s="33"/>
      <c r="CP272" s="33"/>
      <c r="CQ272" s="33"/>
      <c r="CR272" s="33"/>
      <c r="CS272" s="33"/>
      <c r="CT272" s="33"/>
      <c r="CU272" s="33"/>
      <c r="CV272" s="33"/>
      <c r="CW272" s="33"/>
      <c r="CX272" s="33"/>
      <c r="CY272" s="33"/>
      <c r="CZ272" s="33"/>
      <c r="DA272" s="33"/>
      <c r="DB272" s="33"/>
      <c r="DC272" s="33"/>
      <c r="DD272" s="33"/>
      <c r="DE272" s="33"/>
      <c r="DF272" s="33"/>
      <c r="DG272" s="33"/>
      <c r="DH272" s="33"/>
      <c r="DI272" s="33"/>
      <c r="DJ272" s="33"/>
      <c r="DK272" s="33"/>
      <c r="DL272" s="33"/>
      <c r="DM272" s="33"/>
      <c r="DN272" s="33"/>
      <c r="DO272" s="33"/>
      <c r="DP272" s="33"/>
      <c r="DQ272" s="33"/>
    </row>
    <row r="273" spans="1:121" ht="14.4">
      <c r="A273" s="33"/>
      <c r="B273" s="118">
        <v>15</v>
      </c>
      <c r="C273" s="113" t="s">
        <v>8</v>
      </c>
      <c r="D273" s="119" t="s">
        <v>111</v>
      </c>
      <c r="E273" s="120"/>
      <c r="F273" s="128">
        <f>(IF(D273="u",0.333333333,IF(D273="W",0,IF(D273="C",F273,IF(D273="op",F273,(E273-D273))))))</f>
        <v>0</v>
      </c>
      <c r="G273" s="119">
        <v>0.66666666666666663</v>
      </c>
      <c r="H273" s="120">
        <v>1.1666666666666667</v>
      </c>
      <c r="I273" s="128">
        <f>(IF(G273="u",0.333333333,IF(G273="W",0,IF(G273="C",I273,IF(G273="op",I273,(H273-G273))))))</f>
        <v>0.50000000000000011</v>
      </c>
      <c r="J273" s="119" t="s">
        <v>111</v>
      </c>
      <c r="K273" s="120"/>
      <c r="L273" s="128">
        <f>(IF(J273="u",0.333333333,IF(J273="W",0,IF(J273="C",L273,IF(J273="op",L273,(K273-J273))))))</f>
        <v>0</v>
      </c>
      <c r="M273" s="119">
        <v>0.5</v>
      </c>
      <c r="N273" s="120">
        <v>0.91666666666666663</v>
      </c>
      <c r="O273" s="128">
        <f>(IF(M273="u",0.333333333,IF(M273="W",0,IF(M273="C",O273,IF(M273="op",O273,(N273-M273))))))</f>
        <v>0.41666666666666663</v>
      </c>
      <c r="P273" s="119" t="s">
        <v>111</v>
      </c>
      <c r="Q273" s="120"/>
      <c r="R273" s="128">
        <f>(IF(P273="u",0.333333333,IF(P273="W",0,IF(P273="C",R273,IF(P273="op",R273,(Q273-P273))))))</f>
        <v>0</v>
      </c>
      <c r="S273" s="119" t="s">
        <v>111</v>
      </c>
      <c r="T273" s="120"/>
      <c r="U273" s="128">
        <f>(IF(S273="u",0.333333333,IF(S273="W",0,IF(S273="C",U273,IF(S273="op",U273,(T273-S273))))))</f>
        <v>0</v>
      </c>
      <c r="V273" s="119">
        <v>0.125</v>
      </c>
      <c r="W273" s="120">
        <v>0.58333333333333337</v>
      </c>
      <c r="X273" s="128">
        <f>(IF(V273="u",0.333333333,IF(V273="W",0,IF(V273="C",X273,IF(V273="op",X273,(W273-V273))))))</f>
        <v>0.45833333333333337</v>
      </c>
      <c r="Y273" s="119" t="s">
        <v>111</v>
      </c>
      <c r="Z273" s="120"/>
      <c r="AA273" s="128">
        <f>(IF(Y273="u",0.333333333,IF(Y273="W",0,IF(Y273="C",AA273,IF(Y273="op",AA273,(Z273-Y273))))))</f>
        <v>0</v>
      </c>
      <c r="AB273" s="119" t="s">
        <v>111</v>
      </c>
      <c r="AC273" s="120"/>
      <c r="AD273" s="128">
        <f>(IF(AB273="u",0.333333333,IF(AB273="W",0,IF(AB273="C",AD273,IF(AB273="op",AD273,(AC273-AB273))))))</f>
        <v>0</v>
      </c>
      <c r="AE273" s="119" t="s">
        <v>111</v>
      </c>
      <c r="AF273" s="120"/>
      <c r="AG273" s="128">
        <f>(IF(AE273="u",0.333333333,IF(AE273="W",0,IF(AE273="C",AG273,IF(AE273="op",AG273,(AF273-AE273))))))</f>
        <v>0</v>
      </c>
      <c r="AH273" s="119" t="s">
        <v>111</v>
      </c>
      <c r="AI273" s="120"/>
      <c r="AJ273" s="128">
        <f>(IF(AH273="u",0.333333333,IF(AH273="W",0,IF(AH273="C",AJ273,IF(AH273="op",AJ273,(AI273-AH273))))))</f>
        <v>0</v>
      </c>
      <c r="AK273" s="119" t="s">
        <v>111</v>
      </c>
      <c r="AL273" s="120"/>
      <c r="AM273" s="128">
        <f>(IF(AK273="u",0.333333333,IF(AK273="W",0,IF(AK273="C",AM273,IF(AK273="op",AM273,(AL273-AK273))))))</f>
        <v>0</v>
      </c>
      <c r="AN273" s="118">
        <v>15</v>
      </c>
      <c r="AO273" s="113" t="s">
        <v>8</v>
      </c>
      <c r="AP273" s="209"/>
      <c r="AQ273" s="33"/>
      <c r="AR273" s="33"/>
      <c r="AS273" s="33"/>
      <c r="AT273" s="33"/>
      <c r="AU273" s="33"/>
      <c r="AV273" s="33"/>
      <c r="AW273" s="33"/>
      <c r="AX273" s="33"/>
      <c r="AY273" s="33"/>
      <c r="AZ273" s="33"/>
      <c r="BA273" s="33"/>
      <c r="BB273" s="33"/>
      <c r="BC273" s="33"/>
      <c r="BD273" s="33"/>
      <c r="BE273" s="33"/>
      <c r="BF273" s="33"/>
      <c r="BG273" s="33"/>
      <c r="BH273" s="33"/>
      <c r="BI273" s="33"/>
      <c r="BJ273" s="33"/>
      <c r="BK273" s="33"/>
      <c r="BL273" s="33"/>
      <c r="BM273" s="33"/>
      <c r="BN273" s="33"/>
      <c r="BO273" s="33"/>
      <c r="BP273" s="33"/>
      <c r="BQ273" s="33"/>
      <c r="BR273" s="33"/>
      <c r="BS273" s="33"/>
      <c r="BT273" s="33"/>
      <c r="BU273" s="33"/>
      <c r="BV273" s="33"/>
      <c r="BW273" s="33"/>
      <c r="BX273" s="33"/>
      <c r="BY273" s="33"/>
      <c r="BZ273" s="33"/>
      <c r="CA273" s="33"/>
      <c r="CB273" s="33"/>
      <c r="CC273" s="33"/>
      <c r="CD273" s="33"/>
      <c r="CE273" s="33"/>
      <c r="CF273" s="33"/>
      <c r="CG273" s="33"/>
      <c r="CH273" s="33"/>
      <c r="CI273" s="33"/>
      <c r="CJ273" s="33"/>
      <c r="CK273" s="33"/>
      <c r="CL273" s="33"/>
      <c r="CM273" s="33"/>
      <c r="CN273" s="33"/>
      <c r="CO273" s="33"/>
      <c r="CP273" s="33"/>
      <c r="CQ273" s="33"/>
      <c r="CR273" s="33"/>
      <c r="CS273" s="33"/>
      <c r="CT273" s="33"/>
      <c r="CU273" s="33"/>
      <c r="CV273" s="33"/>
      <c r="CW273" s="33"/>
      <c r="CX273" s="33"/>
      <c r="CY273" s="33"/>
      <c r="CZ273" s="33"/>
      <c r="DA273" s="33"/>
      <c r="DB273" s="33"/>
      <c r="DC273" s="33"/>
      <c r="DD273" s="33"/>
      <c r="DE273" s="33"/>
      <c r="DF273" s="33"/>
      <c r="DG273" s="33"/>
      <c r="DH273" s="33"/>
      <c r="DI273" s="33"/>
      <c r="DJ273" s="33"/>
      <c r="DK273" s="33"/>
      <c r="DL273" s="33"/>
      <c r="DM273" s="33"/>
      <c r="DN273" s="33"/>
      <c r="DO273" s="33"/>
      <c r="DP273" s="33"/>
      <c r="DQ273" s="33"/>
    </row>
    <row r="274" spans="1:121" ht="14.4">
      <c r="A274" s="33"/>
      <c r="B274" s="118">
        <v>16</v>
      </c>
      <c r="C274" s="113" t="s">
        <v>12</v>
      </c>
      <c r="D274" s="119" t="s">
        <v>111</v>
      </c>
      <c r="E274" s="120"/>
      <c r="F274" s="128">
        <f t="shared" ref="F274:F289" si="297">(IF(D274="u",0.333333333,IF(D274="W",0,IF(D274="C",F274,IF(D274="op",F274,(E274-D274))))))</f>
        <v>0</v>
      </c>
      <c r="G274" s="119">
        <v>0.66666666666666663</v>
      </c>
      <c r="H274" s="120">
        <v>1.1666666666666667</v>
      </c>
      <c r="I274" s="128">
        <f t="shared" ref="I274:I289" si="298">(IF(G274="u",0.333333333,IF(G274="W",0,IF(G274="C",I274,IF(G274="op",I274,(H274-G274))))))</f>
        <v>0.50000000000000011</v>
      </c>
      <c r="J274" s="119" t="s">
        <v>111</v>
      </c>
      <c r="K274" s="120"/>
      <c r="L274" s="128">
        <f t="shared" ref="L274:L289" si="299">(IF(J274="u",0.333333333,IF(J274="W",0,IF(J274="C",L274,IF(J274="op",L274,(K274-J274))))))</f>
        <v>0</v>
      </c>
      <c r="M274" s="119" t="s">
        <v>111</v>
      </c>
      <c r="N274" s="120"/>
      <c r="O274" s="128">
        <f>(IF(M274="u",0.333333333,IF(M274="W",0,IF(M274="C",O274,IF(M274="op",O274,(N274-M274))))))</f>
        <v>0</v>
      </c>
      <c r="P274" s="119" t="s">
        <v>111</v>
      </c>
      <c r="Q274" s="120"/>
      <c r="R274" s="128">
        <f t="shared" ref="R274:R289" si="300">(IF(P274="u",0.333333333,IF(P274="W",0,IF(P274="C",R274,IF(P274="op",R274,(Q274-P274))))))</f>
        <v>0</v>
      </c>
      <c r="S274" s="119" t="s">
        <v>111</v>
      </c>
      <c r="T274" s="120"/>
      <c r="U274" s="128">
        <f t="shared" ref="U274:U289" si="301">(IF(S274="u",0.333333333,IF(S274="W",0,IF(S274="C",U274,IF(S274="op",U274,(T274-S274))))))</f>
        <v>0</v>
      </c>
      <c r="V274" s="119">
        <v>0.16666666666666666</v>
      </c>
      <c r="W274" s="120">
        <v>0.66666666666666663</v>
      </c>
      <c r="X274" s="128">
        <f t="shared" ref="X274:X289" si="302">(IF(V274="u",0.333333333,IF(V274="W",0,IF(V274="C",X274,IF(V274="op",X274,(W274-V274))))))</f>
        <v>0.5</v>
      </c>
      <c r="Y274" s="119" t="s">
        <v>111</v>
      </c>
      <c r="Z274" s="120"/>
      <c r="AA274" s="128">
        <f t="shared" ref="AA274:AA289" si="303">(IF(Y274="u",0.333333333,IF(Y274="W",0,IF(Y274="C",AA274,IF(Y274="op",AA274,(Z274-Y274))))))</f>
        <v>0</v>
      </c>
      <c r="AB274" s="119">
        <v>0.16666666666666666</v>
      </c>
      <c r="AC274" s="120">
        <v>0.66666666666666663</v>
      </c>
      <c r="AD274" s="128">
        <f t="shared" ref="AD274:AD289" si="304">(IF(AB274="u",0.333333333,IF(AB274="W",0,IF(AB274="C",AD274,IF(AB274="op",AD274,(AC274-AB274))))))</f>
        <v>0.5</v>
      </c>
      <c r="AE274" s="119" t="s">
        <v>111</v>
      </c>
      <c r="AF274" s="120"/>
      <c r="AG274" s="128">
        <f t="shared" ref="AG274:AG289" si="305">(IF(AE274="u",0.333333333,IF(AE274="W",0,IF(AE274="C",AG274,IF(AE274="op",AG274,(AF274-AE274))))))</f>
        <v>0</v>
      </c>
      <c r="AH274" s="119" t="s">
        <v>111</v>
      </c>
      <c r="AI274" s="120"/>
      <c r="AJ274" s="128">
        <f t="shared" ref="AJ274:AJ289" si="306">(IF(AH274="u",0.333333333,IF(AH274="W",0,IF(AH274="C",AJ274,IF(AH274="op",AJ274,(AI274-AH274))))))</f>
        <v>0</v>
      </c>
      <c r="AK274" s="119" t="s">
        <v>111</v>
      </c>
      <c r="AL274" s="120"/>
      <c r="AM274" s="128">
        <f t="shared" ref="AM274:AM289" si="307">(IF(AK274="u",0.333333333,IF(AK274="W",0,IF(AK274="C",AM274,IF(AK274="op",AM274,(AL274-AK274))))))</f>
        <v>0</v>
      </c>
      <c r="AN274" s="118">
        <v>16</v>
      </c>
      <c r="AO274" s="113" t="s">
        <v>12</v>
      </c>
      <c r="AP274" s="209"/>
      <c r="AQ274" s="33"/>
      <c r="AR274" s="33"/>
      <c r="AS274" s="33"/>
      <c r="AT274" s="33"/>
      <c r="AU274" s="33"/>
      <c r="AV274" s="33"/>
      <c r="AW274" s="33"/>
      <c r="AX274" s="33"/>
      <c r="AY274" s="33"/>
      <c r="AZ274" s="33"/>
      <c r="BA274" s="33"/>
      <c r="BB274" s="33"/>
      <c r="BC274" s="33"/>
      <c r="BD274" s="33"/>
      <c r="BE274" s="33"/>
      <c r="BF274" s="33"/>
      <c r="BG274" s="33"/>
      <c r="BH274" s="33"/>
      <c r="BI274" s="33"/>
      <c r="BJ274" s="33"/>
      <c r="BK274" s="33"/>
      <c r="BL274" s="33"/>
      <c r="BM274" s="33"/>
      <c r="BN274" s="33"/>
      <c r="BO274" s="33"/>
      <c r="BP274" s="33"/>
      <c r="BQ274" s="33"/>
      <c r="BR274" s="33"/>
      <c r="BS274" s="33"/>
      <c r="BT274" s="33"/>
      <c r="BU274" s="33"/>
      <c r="BV274" s="33"/>
      <c r="BW274" s="33"/>
      <c r="BX274" s="33"/>
      <c r="BY274" s="33"/>
      <c r="BZ274" s="33"/>
      <c r="CA274" s="33"/>
      <c r="CB274" s="33"/>
      <c r="CC274" s="33"/>
      <c r="CD274" s="33"/>
      <c r="CE274" s="33"/>
      <c r="CF274" s="33"/>
      <c r="CG274" s="33"/>
      <c r="CH274" s="33"/>
      <c r="CI274" s="33"/>
      <c r="CJ274" s="33"/>
      <c r="CK274" s="33"/>
      <c r="CL274" s="33"/>
      <c r="CM274" s="33"/>
      <c r="CN274" s="33"/>
      <c r="CO274" s="33"/>
      <c r="CP274" s="33"/>
      <c r="CQ274" s="33"/>
      <c r="CR274" s="33"/>
      <c r="CS274" s="33"/>
      <c r="CT274" s="33"/>
      <c r="CU274" s="33"/>
      <c r="CV274" s="33"/>
      <c r="CW274" s="33"/>
      <c r="CX274" s="33"/>
      <c r="CY274" s="33"/>
      <c r="CZ274" s="33"/>
      <c r="DA274" s="33"/>
      <c r="DB274" s="33"/>
      <c r="DC274" s="33"/>
      <c r="DD274" s="33"/>
      <c r="DE274" s="33"/>
      <c r="DF274" s="33"/>
      <c r="DG274" s="33"/>
      <c r="DH274" s="33"/>
      <c r="DI274" s="33"/>
      <c r="DJ274" s="33"/>
      <c r="DK274" s="33"/>
      <c r="DL274" s="33"/>
      <c r="DM274" s="33"/>
      <c r="DN274" s="33"/>
      <c r="DO274" s="33"/>
      <c r="DP274" s="33"/>
      <c r="DQ274" s="33"/>
    </row>
    <row r="275" spans="1:121" ht="14.4">
      <c r="A275" s="33"/>
      <c r="B275" s="118">
        <v>17</v>
      </c>
      <c r="C275" s="113" t="s">
        <v>85</v>
      </c>
      <c r="D275" s="119" t="s">
        <v>111</v>
      </c>
      <c r="E275" s="120"/>
      <c r="F275" s="128">
        <f t="shared" si="297"/>
        <v>0</v>
      </c>
      <c r="G275" s="119"/>
      <c r="H275" s="120"/>
      <c r="I275" s="128">
        <f t="shared" si="298"/>
        <v>0</v>
      </c>
      <c r="J275" s="119" t="s">
        <v>111</v>
      </c>
      <c r="K275" s="120"/>
      <c r="L275" s="128">
        <f t="shared" si="299"/>
        <v>0</v>
      </c>
      <c r="M275" s="119" t="s">
        <v>111</v>
      </c>
      <c r="N275" s="120"/>
      <c r="O275" s="128">
        <f t="shared" ref="O275:O289" si="308">(IF(M275="u",0.333333333,IF(M275="W",0,IF(M275="C",O275,IF(M275="op",O275,(N275-M275))))))</f>
        <v>0</v>
      </c>
      <c r="P275" s="119" t="s">
        <v>111</v>
      </c>
      <c r="Q275" s="120"/>
      <c r="R275" s="128">
        <f t="shared" si="300"/>
        <v>0</v>
      </c>
      <c r="S275" s="119" t="s">
        <v>111</v>
      </c>
      <c r="T275" s="120"/>
      <c r="U275" s="128">
        <f t="shared" si="301"/>
        <v>0</v>
      </c>
      <c r="V275" s="119">
        <v>0.66666666666666663</v>
      </c>
      <c r="W275" s="120">
        <v>1.1666666666666667</v>
      </c>
      <c r="X275" s="128">
        <f t="shared" si="302"/>
        <v>0.50000000000000011</v>
      </c>
      <c r="Y275" s="119" t="s">
        <v>111</v>
      </c>
      <c r="Z275" s="120"/>
      <c r="AA275" s="128">
        <f t="shared" si="303"/>
        <v>0</v>
      </c>
      <c r="AB275" s="119">
        <v>0.16666666666666666</v>
      </c>
      <c r="AC275" s="120">
        <v>0.66666666666666663</v>
      </c>
      <c r="AD275" s="128">
        <f t="shared" si="304"/>
        <v>0.5</v>
      </c>
      <c r="AE275" s="119" t="s">
        <v>111</v>
      </c>
      <c r="AF275" s="120"/>
      <c r="AG275" s="128">
        <f t="shared" si="305"/>
        <v>0</v>
      </c>
      <c r="AH275" s="119" t="s">
        <v>111</v>
      </c>
      <c r="AI275" s="120"/>
      <c r="AJ275" s="128">
        <f t="shared" si="306"/>
        <v>0</v>
      </c>
      <c r="AK275" s="119" t="s">
        <v>111</v>
      </c>
      <c r="AL275" s="120"/>
      <c r="AM275" s="128">
        <f t="shared" si="307"/>
        <v>0</v>
      </c>
      <c r="AN275" s="118">
        <v>17</v>
      </c>
      <c r="AO275" s="113" t="s">
        <v>85</v>
      </c>
      <c r="AP275" s="33"/>
      <c r="AQ275" s="33"/>
      <c r="AR275" s="33"/>
      <c r="AS275" s="33"/>
      <c r="AT275" s="33"/>
      <c r="AU275" s="33"/>
      <c r="AV275" s="33"/>
      <c r="AW275" s="33"/>
      <c r="AX275" s="33"/>
      <c r="AY275" s="33"/>
      <c r="AZ275" s="33"/>
      <c r="BA275" s="33"/>
      <c r="BB275" s="33"/>
      <c r="BC275" s="33"/>
      <c r="BD275" s="33"/>
      <c r="BE275" s="33"/>
      <c r="BF275" s="33"/>
      <c r="BG275" s="33"/>
      <c r="BH275" s="33"/>
      <c r="BI275" s="33"/>
      <c r="BJ275" s="33"/>
      <c r="BK275" s="33"/>
      <c r="BL275" s="33"/>
      <c r="BM275" s="33"/>
      <c r="BN275" s="33"/>
      <c r="BO275" s="33"/>
      <c r="BP275" s="33"/>
      <c r="BQ275" s="33"/>
      <c r="BR275" s="33"/>
      <c r="BS275" s="33"/>
      <c r="BT275" s="33"/>
      <c r="BU275" s="33"/>
      <c r="BV275" s="33"/>
      <c r="BW275" s="33"/>
      <c r="BX275" s="33"/>
      <c r="BY275" s="33"/>
      <c r="BZ275" s="33"/>
      <c r="CA275" s="33"/>
      <c r="CB275" s="33"/>
      <c r="CC275" s="33"/>
      <c r="CD275" s="33"/>
      <c r="CE275" s="33"/>
      <c r="CF275" s="33"/>
      <c r="CG275" s="33"/>
      <c r="CH275" s="33"/>
      <c r="CI275" s="33"/>
      <c r="CJ275" s="33"/>
      <c r="CK275" s="33"/>
      <c r="CL275" s="33"/>
      <c r="CM275" s="33"/>
      <c r="CN275" s="33"/>
      <c r="CO275" s="33"/>
      <c r="CP275" s="33"/>
      <c r="CQ275" s="33"/>
      <c r="CR275" s="33"/>
      <c r="CS275" s="33"/>
      <c r="CT275" s="33"/>
      <c r="CU275" s="33"/>
      <c r="CV275" s="33"/>
      <c r="CW275" s="33"/>
      <c r="CX275" s="33"/>
      <c r="CY275" s="33"/>
      <c r="CZ275" s="33"/>
      <c r="DA275" s="33"/>
      <c r="DB275" s="33"/>
      <c r="DC275" s="33"/>
      <c r="DD275" s="33"/>
      <c r="DE275" s="33"/>
      <c r="DF275" s="33"/>
      <c r="DG275" s="33"/>
      <c r="DH275" s="33"/>
      <c r="DI275" s="33"/>
      <c r="DJ275" s="33"/>
      <c r="DK275" s="33"/>
      <c r="DL275" s="33"/>
      <c r="DM275" s="33"/>
      <c r="DN275" s="33"/>
      <c r="DO275" s="33"/>
      <c r="DP275" s="33"/>
      <c r="DQ275" s="33"/>
    </row>
    <row r="276" spans="1:121" ht="14.4">
      <c r="A276" s="33" t="s">
        <v>16</v>
      </c>
      <c r="B276" s="118">
        <v>18</v>
      </c>
      <c r="C276" s="113" t="s">
        <v>4</v>
      </c>
      <c r="D276" s="119"/>
      <c r="E276" s="120"/>
      <c r="F276" s="128">
        <f t="shared" si="297"/>
        <v>0</v>
      </c>
      <c r="G276" s="119">
        <v>0.125</v>
      </c>
      <c r="H276" s="120">
        <v>0.54166666666666663</v>
      </c>
      <c r="I276" s="128">
        <f t="shared" si="298"/>
        <v>0.41666666666666663</v>
      </c>
      <c r="J276" s="119" t="s">
        <v>111</v>
      </c>
      <c r="K276" s="120"/>
      <c r="L276" s="128">
        <f t="shared" si="299"/>
        <v>0</v>
      </c>
      <c r="M276" s="119" t="s">
        <v>111</v>
      </c>
      <c r="N276" s="120"/>
      <c r="O276" s="128">
        <f t="shared" si="308"/>
        <v>0</v>
      </c>
      <c r="P276" s="119" t="s">
        <v>111</v>
      </c>
      <c r="Q276" s="120"/>
      <c r="R276" s="128">
        <f t="shared" si="300"/>
        <v>0</v>
      </c>
      <c r="S276" s="119" t="s">
        <v>111</v>
      </c>
      <c r="T276" s="120"/>
      <c r="U276" s="128">
        <f t="shared" si="301"/>
        <v>0</v>
      </c>
      <c r="V276" s="119"/>
      <c r="W276" s="120"/>
      <c r="X276" s="128">
        <f t="shared" si="302"/>
        <v>0</v>
      </c>
      <c r="Y276" s="119" t="s">
        <v>111</v>
      </c>
      <c r="Z276" s="120"/>
      <c r="AA276" s="128">
        <f t="shared" si="303"/>
        <v>0</v>
      </c>
      <c r="AB276" s="119" t="s">
        <v>111</v>
      </c>
      <c r="AC276" s="120"/>
      <c r="AD276" s="128">
        <f t="shared" si="304"/>
        <v>0</v>
      </c>
      <c r="AE276" s="119" t="s">
        <v>111</v>
      </c>
      <c r="AF276" s="120"/>
      <c r="AG276" s="128">
        <f t="shared" si="305"/>
        <v>0</v>
      </c>
      <c r="AH276" s="119" t="s">
        <v>111</v>
      </c>
      <c r="AI276" s="120"/>
      <c r="AJ276" s="128">
        <f t="shared" si="306"/>
        <v>0</v>
      </c>
      <c r="AK276" s="119" t="s">
        <v>111</v>
      </c>
      <c r="AL276" s="120"/>
      <c r="AM276" s="128">
        <f t="shared" si="307"/>
        <v>0</v>
      </c>
      <c r="AN276" s="118">
        <v>18</v>
      </c>
      <c r="AO276" s="113" t="s">
        <v>4</v>
      </c>
      <c r="AP276" s="33"/>
      <c r="AQ276" s="33"/>
      <c r="AR276" s="33"/>
      <c r="AS276" s="33"/>
      <c r="AT276" s="33"/>
      <c r="AU276" s="33"/>
      <c r="AV276" s="33"/>
      <c r="AW276" s="33"/>
      <c r="AX276" s="33"/>
      <c r="AY276" s="33"/>
      <c r="AZ276" s="33"/>
      <c r="BA276" s="33"/>
      <c r="BB276" s="33"/>
      <c r="BC276" s="33"/>
      <c r="BD276" s="33"/>
      <c r="BE276" s="33"/>
      <c r="BF276" s="33"/>
      <c r="BG276" s="33"/>
      <c r="BH276" s="33"/>
      <c r="BI276" s="33"/>
      <c r="BJ276" s="33"/>
      <c r="BK276" s="33"/>
      <c r="BL276" s="33"/>
      <c r="BM276" s="33"/>
      <c r="BN276" s="33"/>
      <c r="BO276" s="33"/>
      <c r="BP276" s="33"/>
      <c r="BQ276" s="33"/>
      <c r="BR276" s="33"/>
      <c r="BS276" s="33"/>
      <c r="BT276" s="33"/>
      <c r="BU276" s="33"/>
      <c r="BV276" s="33"/>
      <c r="BW276" s="33"/>
      <c r="BX276" s="33"/>
      <c r="BY276" s="33"/>
      <c r="BZ276" s="33"/>
      <c r="CA276" s="33"/>
      <c r="CB276" s="33"/>
      <c r="CC276" s="33"/>
      <c r="CD276" s="33"/>
      <c r="CE276" s="33"/>
      <c r="CF276" s="33"/>
      <c r="CG276" s="33"/>
      <c r="CH276" s="33"/>
      <c r="CI276" s="33"/>
      <c r="CJ276" s="33"/>
      <c r="CK276" s="33"/>
      <c r="CL276" s="33"/>
      <c r="CM276" s="33"/>
      <c r="CN276" s="33"/>
      <c r="CO276" s="33"/>
      <c r="CP276" s="33"/>
      <c r="CQ276" s="33"/>
      <c r="CR276" s="33"/>
      <c r="CS276" s="33"/>
      <c r="CT276" s="33"/>
      <c r="CU276" s="33"/>
      <c r="CV276" s="33"/>
      <c r="CW276" s="33"/>
      <c r="CX276" s="33"/>
      <c r="CY276" s="33"/>
      <c r="CZ276" s="33"/>
      <c r="DA276" s="33"/>
      <c r="DB276" s="33"/>
      <c r="DC276" s="33"/>
      <c r="DD276" s="33"/>
      <c r="DE276" s="33"/>
      <c r="DF276" s="33"/>
      <c r="DG276" s="33"/>
      <c r="DH276" s="33"/>
      <c r="DI276" s="33"/>
      <c r="DJ276" s="33"/>
      <c r="DK276" s="33"/>
      <c r="DL276" s="33"/>
      <c r="DM276" s="33"/>
      <c r="DN276" s="33"/>
      <c r="DO276" s="33"/>
      <c r="DP276" s="33"/>
      <c r="DQ276" s="33"/>
    </row>
    <row r="277" spans="1:121" ht="14.4">
      <c r="A277" s="33"/>
      <c r="B277" s="86">
        <v>19</v>
      </c>
      <c r="C277" s="87" t="s">
        <v>5</v>
      </c>
      <c r="D277" s="88">
        <v>0.29166666666666669</v>
      </c>
      <c r="E277" s="89">
        <v>0.79166666666666663</v>
      </c>
      <c r="F277" s="92">
        <f t="shared" si="297"/>
        <v>0.49999999999999994</v>
      </c>
      <c r="G277" s="88"/>
      <c r="H277" s="89"/>
      <c r="I277" s="92">
        <f t="shared" si="298"/>
        <v>0</v>
      </c>
      <c r="J277" s="88" t="s">
        <v>111</v>
      </c>
      <c r="K277" s="89"/>
      <c r="L277" s="92">
        <f t="shared" si="299"/>
        <v>0</v>
      </c>
      <c r="M277" s="88">
        <v>0.41666666666666669</v>
      </c>
      <c r="N277" s="89">
        <v>0.83333333333333337</v>
      </c>
      <c r="O277" s="92">
        <f t="shared" si="308"/>
        <v>0.41666666666666669</v>
      </c>
      <c r="P277" s="88">
        <v>0.41666666666666669</v>
      </c>
      <c r="Q277" s="89">
        <v>0.83333333333333337</v>
      </c>
      <c r="R277" s="92">
        <f t="shared" si="300"/>
        <v>0.41666666666666669</v>
      </c>
      <c r="S277" s="88" t="s">
        <v>111</v>
      </c>
      <c r="T277" s="89"/>
      <c r="U277" s="92">
        <f t="shared" si="301"/>
        <v>0</v>
      </c>
      <c r="V277" s="88">
        <v>0.41666666666666669</v>
      </c>
      <c r="W277" s="89">
        <v>0.83333333333333337</v>
      </c>
      <c r="X277" s="92">
        <f t="shared" si="302"/>
        <v>0.41666666666666669</v>
      </c>
      <c r="Y277" s="88">
        <v>0.16666666666666666</v>
      </c>
      <c r="Z277" s="89">
        <v>0.66666666666666663</v>
      </c>
      <c r="AA277" s="92">
        <f t="shared" si="303"/>
        <v>0.5</v>
      </c>
      <c r="AB277" s="88"/>
      <c r="AC277" s="89"/>
      <c r="AD277" s="92">
        <f t="shared" si="304"/>
        <v>0</v>
      </c>
      <c r="AE277" s="88" t="s">
        <v>111</v>
      </c>
      <c r="AF277" s="89"/>
      <c r="AG277" s="92">
        <f t="shared" si="305"/>
        <v>0</v>
      </c>
      <c r="AH277" s="88">
        <v>0.125</v>
      </c>
      <c r="AI277" s="89">
        <v>0.54166666666666663</v>
      </c>
      <c r="AJ277" s="92">
        <f t="shared" si="306"/>
        <v>0.41666666666666663</v>
      </c>
      <c r="AK277" s="88">
        <v>0.41666666666666669</v>
      </c>
      <c r="AL277" s="89">
        <v>0.83333333333333337</v>
      </c>
      <c r="AM277" s="92">
        <f t="shared" si="307"/>
        <v>0.41666666666666669</v>
      </c>
      <c r="AN277" s="86">
        <v>19</v>
      </c>
      <c r="AO277" s="87" t="s">
        <v>5</v>
      </c>
      <c r="AP277" s="33"/>
      <c r="AQ277" s="33"/>
      <c r="AR277" s="33"/>
      <c r="AS277" s="33"/>
      <c r="AT277" s="33"/>
      <c r="AU277" s="33"/>
      <c r="AV277" s="33"/>
      <c r="AW277" s="33"/>
      <c r="AX277" s="33"/>
      <c r="AY277" s="33"/>
      <c r="AZ277" s="33"/>
      <c r="BA277" s="33"/>
      <c r="BB277" s="33"/>
      <c r="BC277" s="33"/>
      <c r="BD277" s="33"/>
      <c r="BE277" s="33"/>
      <c r="BF277" s="33"/>
      <c r="BG277" s="33"/>
      <c r="BH277" s="33"/>
      <c r="BI277" s="33"/>
      <c r="BJ277" s="33"/>
      <c r="BK277" s="33"/>
      <c r="BL277" s="33"/>
      <c r="BM277" s="33"/>
      <c r="BN277" s="33"/>
      <c r="BO277" s="33"/>
      <c r="BP277" s="33"/>
      <c r="BQ277" s="33"/>
      <c r="BR277" s="33"/>
      <c r="BS277" s="33"/>
      <c r="BT277" s="33"/>
      <c r="BU277" s="33"/>
      <c r="BV277" s="33"/>
      <c r="BW277" s="33"/>
      <c r="BX277" s="33"/>
      <c r="BY277" s="33"/>
      <c r="BZ277" s="33"/>
      <c r="CA277" s="33"/>
      <c r="CB277" s="33"/>
      <c r="CC277" s="33"/>
      <c r="CD277" s="33"/>
      <c r="CE277" s="33"/>
      <c r="CF277" s="33"/>
      <c r="CG277" s="33"/>
      <c r="CH277" s="33"/>
      <c r="CI277" s="33"/>
      <c r="CJ277" s="33"/>
      <c r="CK277" s="33"/>
      <c r="CL277" s="33"/>
      <c r="CM277" s="33"/>
      <c r="CN277" s="33"/>
      <c r="CO277" s="33"/>
      <c r="CP277" s="33"/>
      <c r="CQ277" s="33"/>
      <c r="CR277" s="33"/>
      <c r="CS277" s="33"/>
      <c r="CT277" s="33"/>
      <c r="CU277" s="33"/>
      <c r="CV277" s="33"/>
      <c r="CW277" s="33"/>
      <c r="CX277" s="33"/>
      <c r="CY277" s="33"/>
      <c r="CZ277" s="33"/>
      <c r="DA277" s="33"/>
      <c r="DB277" s="33"/>
      <c r="DC277" s="33"/>
      <c r="DD277" s="33"/>
      <c r="DE277" s="33"/>
      <c r="DF277" s="33"/>
      <c r="DG277" s="33"/>
      <c r="DH277" s="33"/>
      <c r="DI277" s="33"/>
      <c r="DJ277" s="33"/>
      <c r="DK277" s="33"/>
      <c r="DL277" s="33"/>
      <c r="DM277" s="33"/>
      <c r="DN277" s="33"/>
      <c r="DO277" s="33"/>
      <c r="DP277" s="33"/>
      <c r="DQ277" s="33"/>
    </row>
    <row r="278" spans="1:121" s="40" customFormat="1" ht="14.4">
      <c r="A278" s="33"/>
      <c r="B278" s="86">
        <v>20</v>
      </c>
      <c r="C278" s="87" t="s">
        <v>6</v>
      </c>
      <c r="D278" s="88">
        <v>0.625</v>
      </c>
      <c r="E278" s="89">
        <v>1.125</v>
      </c>
      <c r="F278" s="92">
        <f t="shared" si="297"/>
        <v>0.5</v>
      </c>
      <c r="G278" s="88"/>
      <c r="H278" s="89"/>
      <c r="I278" s="92">
        <f t="shared" si="298"/>
        <v>0</v>
      </c>
      <c r="J278" s="88"/>
      <c r="K278" s="89"/>
      <c r="L278" s="92">
        <f t="shared" si="299"/>
        <v>0</v>
      </c>
      <c r="M278" s="88">
        <v>0.5</v>
      </c>
      <c r="N278" s="89">
        <v>0.91666666666666663</v>
      </c>
      <c r="O278" s="92">
        <f t="shared" si="308"/>
        <v>0.41666666666666663</v>
      </c>
      <c r="P278" s="88">
        <v>0.5</v>
      </c>
      <c r="Q278" s="89">
        <v>0.91666666666666663</v>
      </c>
      <c r="R278" s="92">
        <f t="shared" si="300"/>
        <v>0.41666666666666663</v>
      </c>
      <c r="S278" s="88">
        <v>0.16666666666666666</v>
      </c>
      <c r="T278" s="89">
        <v>0.66666666666666663</v>
      </c>
      <c r="U278" s="92">
        <f t="shared" si="301"/>
        <v>0.5</v>
      </c>
      <c r="V278" s="88"/>
      <c r="W278" s="89"/>
      <c r="X278" s="92">
        <f t="shared" si="302"/>
        <v>0</v>
      </c>
      <c r="Y278" s="88">
        <v>0.125</v>
      </c>
      <c r="Z278" s="89">
        <v>0.54166666666666663</v>
      </c>
      <c r="AA278" s="92">
        <f t="shared" si="303"/>
        <v>0.41666666666666663</v>
      </c>
      <c r="AB278" s="88" t="s">
        <v>111</v>
      </c>
      <c r="AC278" s="89"/>
      <c r="AD278" s="92">
        <f t="shared" si="304"/>
        <v>0</v>
      </c>
      <c r="AE278" s="88">
        <v>0.125</v>
      </c>
      <c r="AF278" s="89">
        <v>0.54166666666666663</v>
      </c>
      <c r="AG278" s="92">
        <f t="shared" si="305"/>
        <v>0.41666666666666663</v>
      </c>
      <c r="AH278" s="88"/>
      <c r="AI278" s="89"/>
      <c r="AJ278" s="92">
        <f t="shared" si="306"/>
        <v>0</v>
      </c>
      <c r="AK278" s="88"/>
      <c r="AL278" s="89"/>
      <c r="AM278" s="92">
        <f t="shared" si="307"/>
        <v>0</v>
      </c>
      <c r="AN278" s="86">
        <v>20</v>
      </c>
      <c r="AO278" s="87" t="s">
        <v>6</v>
      </c>
      <c r="AP278" s="33"/>
      <c r="AQ278" s="33"/>
      <c r="AR278" s="33"/>
      <c r="AS278" s="33"/>
      <c r="AT278" s="33"/>
      <c r="AU278" s="33"/>
      <c r="AV278" s="33"/>
      <c r="AW278" s="33"/>
      <c r="AX278" s="33"/>
      <c r="AY278" s="33"/>
      <c r="AZ278" s="33"/>
      <c r="BA278" s="33"/>
      <c r="BB278" s="33"/>
      <c r="BC278" s="33"/>
      <c r="BD278" s="33"/>
      <c r="BE278" s="33"/>
      <c r="BF278" s="33"/>
      <c r="BG278" s="33"/>
      <c r="BH278" s="33"/>
      <c r="BI278" s="33"/>
      <c r="BJ278" s="33"/>
      <c r="BK278" s="33"/>
      <c r="BL278" s="33"/>
      <c r="BM278" s="33"/>
      <c r="BN278" s="33"/>
      <c r="BO278" s="33"/>
      <c r="BP278" s="33"/>
      <c r="BQ278" s="33"/>
      <c r="BR278" s="33"/>
      <c r="BS278" s="33"/>
      <c r="BT278" s="33"/>
      <c r="BU278" s="33"/>
      <c r="BV278" s="33"/>
      <c r="BW278" s="33"/>
      <c r="BX278" s="33"/>
      <c r="BY278" s="33"/>
      <c r="BZ278" s="33"/>
      <c r="CA278" s="33"/>
      <c r="CB278" s="33"/>
      <c r="CC278" s="33"/>
      <c r="CD278" s="33"/>
      <c r="CE278" s="33"/>
      <c r="CF278" s="33"/>
      <c r="CG278" s="33"/>
      <c r="CH278" s="33"/>
      <c r="CI278" s="33"/>
      <c r="CJ278" s="33"/>
      <c r="CK278" s="33"/>
      <c r="CL278" s="33"/>
      <c r="CM278" s="33"/>
      <c r="CN278" s="33"/>
      <c r="CO278" s="33"/>
      <c r="CP278" s="33"/>
      <c r="CQ278" s="33"/>
      <c r="CR278" s="33"/>
      <c r="CS278" s="33"/>
      <c r="CT278" s="33"/>
      <c r="CU278" s="33"/>
      <c r="CV278" s="33"/>
      <c r="CW278" s="33"/>
      <c r="CX278" s="33"/>
      <c r="CY278" s="33"/>
      <c r="CZ278" s="33"/>
      <c r="DA278" s="33"/>
      <c r="DB278" s="33"/>
      <c r="DC278" s="33"/>
      <c r="DD278" s="33"/>
      <c r="DE278" s="33"/>
      <c r="DF278" s="33"/>
      <c r="DG278" s="33"/>
      <c r="DH278" s="33"/>
      <c r="DI278" s="33"/>
      <c r="DJ278" s="33"/>
      <c r="DK278" s="33"/>
      <c r="DL278" s="33"/>
      <c r="DM278" s="33"/>
      <c r="DN278" s="33"/>
      <c r="DO278" s="33"/>
      <c r="DP278" s="33"/>
      <c r="DQ278" s="33"/>
    </row>
    <row r="279" spans="1:121" s="40" customFormat="1" ht="14.4">
      <c r="A279" s="33"/>
      <c r="B279" s="118">
        <v>21</v>
      </c>
      <c r="C279" s="113" t="s">
        <v>7</v>
      </c>
      <c r="D279" s="119" t="s">
        <v>111</v>
      </c>
      <c r="E279" s="120"/>
      <c r="F279" s="128">
        <f t="shared" si="297"/>
        <v>0</v>
      </c>
      <c r="G279" s="119">
        <v>0.16666666666666666</v>
      </c>
      <c r="H279" s="120">
        <v>0.66666666666666663</v>
      </c>
      <c r="I279" s="128">
        <f t="shared" si="298"/>
        <v>0.5</v>
      </c>
      <c r="J279" s="119" t="s">
        <v>111</v>
      </c>
      <c r="K279" s="120"/>
      <c r="L279" s="128">
        <f t="shared" si="299"/>
        <v>0</v>
      </c>
      <c r="M279" s="119">
        <v>0.5</v>
      </c>
      <c r="N279" s="120">
        <v>0.875</v>
      </c>
      <c r="O279" s="128">
        <f t="shared" si="308"/>
        <v>0.375</v>
      </c>
      <c r="P279" s="119" t="s">
        <v>111</v>
      </c>
      <c r="Q279" s="120"/>
      <c r="R279" s="128">
        <f t="shared" si="300"/>
        <v>0</v>
      </c>
      <c r="S279" s="119">
        <v>0.125</v>
      </c>
      <c r="T279" s="120">
        <v>0.52083333333333337</v>
      </c>
      <c r="U279" s="128">
        <f t="shared" si="301"/>
        <v>0.39583333333333337</v>
      </c>
      <c r="V279" s="119" t="s">
        <v>111</v>
      </c>
      <c r="W279" s="120"/>
      <c r="X279" s="128">
        <f t="shared" si="302"/>
        <v>0</v>
      </c>
      <c r="Y279" s="119" t="s">
        <v>111</v>
      </c>
      <c r="Z279" s="120"/>
      <c r="AA279" s="128">
        <f t="shared" si="303"/>
        <v>0</v>
      </c>
      <c r="AB279" s="119" t="s">
        <v>111</v>
      </c>
      <c r="AC279" s="120"/>
      <c r="AD279" s="128">
        <f t="shared" si="304"/>
        <v>0</v>
      </c>
      <c r="AE279" s="119" t="s">
        <v>111</v>
      </c>
      <c r="AF279" s="120"/>
      <c r="AG279" s="128">
        <f t="shared" si="305"/>
        <v>0</v>
      </c>
      <c r="AH279" s="119" t="s">
        <v>111</v>
      </c>
      <c r="AI279" s="120"/>
      <c r="AJ279" s="128">
        <f t="shared" si="306"/>
        <v>0</v>
      </c>
      <c r="AK279" s="119" t="s">
        <v>111</v>
      </c>
      <c r="AL279" s="120"/>
      <c r="AM279" s="128">
        <f t="shared" si="307"/>
        <v>0</v>
      </c>
      <c r="AN279" s="118">
        <v>21</v>
      </c>
      <c r="AO279" s="113" t="s">
        <v>7</v>
      </c>
      <c r="AP279" s="33"/>
      <c r="AQ279" s="33"/>
      <c r="AR279" s="33"/>
      <c r="AS279" s="33"/>
      <c r="AT279" s="33"/>
      <c r="AU279" s="33"/>
      <c r="AV279" s="33"/>
      <c r="AW279" s="33"/>
      <c r="AX279" s="33"/>
      <c r="AY279" s="33"/>
      <c r="AZ279" s="33"/>
      <c r="BA279" s="33"/>
      <c r="BB279" s="33"/>
      <c r="BC279" s="33"/>
      <c r="BD279" s="33"/>
      <c r="BE279" s="33"/>
      <c r="BF279" s="33"/>
      <c r="BG279" s="33"/>
      <c r="BH279" s="33"/>
      <c r="BI279" s="33"/>
      <c r="BJ279" s="33"/>
      <c r="BK279" s="33"/>
      <c r="BL279" s="33"/>
      <c r="BM279" s="33"/>
      <c r="BN279" s="33"/>
      <c r="BO279" s="33"/>
      <c r="BP279" s="33"/>
      <c r="BQ279" s="33"/>
      <c r="BR279" s="33"/>
      <c r="BS279" s="33"/>
      <c r="BT279" s="33"/>
      <c r="BU279" s="33"/>
      <c r="BV279" s="33"/>
      <c r="BW279" s="33"/>
      <c r="BX279" s="33"/>
      <c r="BY279" s="33"/>
      <c r="BZ279" s="33"/>
      <c r="CA279" s="33"/>
      <c r="CB279" s="33"/>
      <c r="CC279" s="33"/>
      <c r="CD279" s="33"/>
      <c r="CE279" s="33"/>
      <c r="CF279" s="33"/>
      <c r="CG279" s="33"/>
      <c r="CH279" s="33"/>
      <c r="CI279" s="33"/>
      <c r="CJ279" s="33"/>
      <c r="CK279" s="33"/>
      <c r="CL279" s="33"/>
      <c r="CM279" s="33"/>
      <c r="CN279" s="33"/>
      <c r="CO279" s="33"/>
      <c r="CP279" s="33"/>
      <c r="CQ279" s="33"/>
      <c r="CR279" s="33"/>
      <c r="CS279" s="33"/>
      <c r="CT279" s="33"/>
      <c r="CU279" s="33"/>
      <c r="CV279" s="33"/>
      <c r="CW279" s="33"/>
      <c r="CX279" s="33"/>
      <c r="CY279" s="33"/>
      <c r="CZ279" s="33"/>
      <c r="DA279" s="33"/>
      <c r="DB279" s="33"/>
      <c r="DC279" s="33"/>
      <c r="DD279" s="33"/>
      <c r="DE279" s="33"/>
      <c r="DF279" s="33"/>
      <c r="DG279" s="33"/>
      <c r="DH279" s="33"/>
      <c r="DI279" s="33"/>
      <c r="DJ279" s="33"/>
      <c r="DK279" s="33"/>
      <c r="DL279" s="33"/>
      <c r="DM279" s="33"/>
      <c r="DN279" s="33"/>
      <c r="DO279" s="33"/>
      <c r="DP279" s="33"/>
      <c r="DQ279" s="33"/>
    </row>
    <row r="280" spans="1:121" ht="14.4">
      <c r="A280" s="33"/>
      <c r="B280" s="118">
        <v>22</v>
      </c>
      <c r="C280" s="113" t="s">
        <v>8</v>
      </c>
      <c r="D280" s="119" t="s">
        <v>111</v>
      </c>
      <c r="E280" s="120"/>
      <c r="F280" s="128">
        <f t="shared" si="297"/>
        <v>0</v>
      </c>
      <c r="G280" s="119">
        <v>0.125</v>
      </c>
      <c r="H280" s="120">
        <v>0.52083333333333337</v>
      </c>
      <c r="I280" s="128">
        <f t="shared" si="298"/>
        <v>0.39583333333333337</v>
      </c>
      <c r="J280" s="119" t="s">
        <v>111</v>
      </c>
      <c r="K280" s="120"/>
      <c r="L280" s="128">
        <f t="shared" si="299"/>
        <v>0</v>
      </c>
      <c r="M280" s="119" t="s">
        <v>111</v>
      </c>
      <c r="N280" s="120"/>
      <c r="O280" s="128">
        <f t="shared" si="308"/>
        <v>0</v>
      </c>
      <c r="P280" s="119" t="s">
        <v>111</v>
      </c>
      <c r="Q280" s="120"/>
      <c r="R280" s="128">
        <f t="shared" si="300"/>
        <v>0</v>
      </c>
      <c r="S280" s="119" t="s">
        <v>111</v>
      </c>
      <c r="T280" s="120"/>
      <c r="U280" s="128">
        <f t="shared" si="301"/>
        <v>0</v>
      </c>
      <c r="V280" s="119" t="s">
        <v>111</v>
      </c>
      <c r="W280" s="120"/>
      <c r="X280" s="128">
        <f t="shared" si="302"/>
        <v>0</v>
      </c>
      <c r="Y280" s="119" t="s">
        <v>111</v>
      </c>
      <c r="Z280" s="120"/>
      <c r="AA280" s="128">
        <f t="shared" si="303"/>
        <v>0</v>
      </c>
      <c r="AB280" s="119" t="s">
        <v>111</v>
      </c>
      <c r="AC280" s="120"/>
      <c r="AD280" s="128">
        <f t="shared" si="304"/>
        <v>0</v>
      </c>
      <c r="AE280" s="119" t="s">
        <v>111</v>
      </c>
      <c r="AF280" s="120"/>
      <c r="AG280" s="128">
        <f t="shared" si="305"/>
        <v>0</v>
      </c>
      <c r="AH280" s="119" t="s">
        <v>111</v>
      </c>
      <c r="AI280" s="120"/>
      <c r="AJ280" s="128">
        <f t="shared" si="306"/>
        <v>0</v>
      </c>
      <c r="AK280" s="119" t="s">
        <v>111</v>
      </c>
      <c r="AL280" s="120"/>
      <c r="AM280" s="128">
        <f t="shared" si="307"/>
        <v>0</v>
      </c>
      <c r="AN280" s="118">
        <v>22</v>
      </c>
      <c r="AO280" s="113" t="s">
        <v>8</v>
      </c>
      <c r="AP280" s="33"/>
      <c r="AQ280" s="33"/>
      <c r="AR280" s="33"/>
      <c r="AS280" s="33"/>
      <c r="AT280" s="33"/>
      <c r="AU280" s="33"/>
      <c r="AV280" s="33"/>
      <c r="AW280" s="33"/>
      <c r="AX280" s="33"/>
      <c r="AY280" s="33"/>
      <c r="AZ280" s="33"/>
      <c r="BA280" s="33"/>
      <c r="BB280" s="33"/>
      <c r="BC280" s="33"/>
      <c r="BD280" s="33"/>
      <c r="BE280" s="33"/>
      <c r="BF280" s="33"/>
      <c r="BG280" s="33"/>
      <c r="BH280" s="33"/>
      <c r="BI280" s="33"/>
      <c r="BJ280" s="33"/>
      <c r="BK280" s="33"/>
      <c r="BL280" s="33"/>
      <c r="BM280" s="33"/>
      <c r="BN280" s="33"/>
      <c r="BO280" s="33"/>
      <c r="BP280" s="33"/>
      <c r="BQ280" s="33"/>
      <c r="BR280" s="33"/>
      <c r="BS280" s="33"/>
      <c r="BT280" s="33"/>
      <c r="BU280" s="33"/>
      <c r="BV280" s="33"/>
      <c r="BW280" s="33"/>
      <c r="BX280" s="33"/>
      <c r="BY280" s="33"/>
      <c r="BZ280" s="33"/>
      <c r="CA280" s="33"/>
      <c r="CB280" s="33"/>
      <c r="CC280" s="33"/>
      <c r="CD280" s="33"/>
      <c r="CE280" s="33"/>
      <c r="CF280" s="33"/>
      <c r="CG280" s="33"/>
      <c r="CH280" s="33"/>
      <c r="CI280" s="33"/>
      <c r="CJ280" s="33"/>
      <c r="CK280" s="33"/>
      <c r="CL280" s="33"/>
      <c r="CM280" s="33"/>
      <c r="CN280" s="33"/>
      <c r="CO280" s="33"/>
      <c r="CP280" s="33"/>
      <c r="CQ280" s="33"/>
      <c r="CR280" s="33"/>
      <c r="CS280" s="33"/>
      <c r="CT280" s="33"/>
      <c r="CU280" s="33"/>
      <c r="CV280" s="33"/>
      <c r="CW280" s="33"/>
      <c r="CX280" s="33"/>
      <c r="CY280" s="33"/>
      <c r="CZ280" s="33"/>
      <c r="DA280" s="33"/>
      <c r="DB280" s="33"/>
      <c r="DC280" s="33"/>
      <c r="DD280" s="33"/>
      <c r="DE280" s="33"/>
      <c r="DF280" s="33"/>
      <c r="DG280" s="33"/>
      <c r="DH280" s="33"/>
      <c r="DI280" s="33"/>
      <c r="DJ280" s="33"/>
      <c r="DK280" s="33"/>
      <c r="DL280" s="33"/>
      <c r="DM280" s="33"/>
      <c r="DN280" s="33"/>
      <c r="DO280" s="33"/>
      <c r="DP280" s="33"/>
      <c r="DQ280" s="33"/>
    </row>
    <row r="281" spans="1:121" ht="14.4">
      <c r="A281" s="33"/>
      <c r="B281" s="118">
        <v>23</v>
      </c>
      <c r="C281" s="113" t="s">
        <v>12</v>
      </c>
      <c r="D281" s="119" t="s">
        <v>111</v>
      </c>
      <c r="E281" s="120"/>
      <c r="F281" s="128">
        <f t="shared" si="297"/>
        <v>0</v>
      </c>
      <c r="G281" s="119">
        <v>0.125</v>
      </c>
      <c r="H281" s="120">
        <v>0.52083333333333337</v>
      </c>
      <c r="I281" s="128">
        <f t="shared" si="298"/>
        <v>0.39583333333333337</v>
      </c>
      <c r="J281" s="119" t="s">
        <v>111</v>
      </c>
      <c r="K281" s="120"/>
      <c r="L281" s="128">
        <f t="shared" si="299"/>
        <v>0</v>
      </c>
      <c r="M281" s="119" t="s">
        <v>111</v>
      </c>
      <c r="N281" s="120"/>
      <c r="O281" s="128">
        <f t="shared" si="308"/>
        <v>0</v>
      </c>
      <c r="P281" s="119" t="s">
        <v>111</v>
      </c>
      <c r="Q281" s="120"/>
      <c r="R281" s="128">
        <f t="shared" si="300"/>
        <v>0</v>
      </c>
      <c r="S281" s="119" t="s">
        <v>111</v>
      </c>
      <c r="T281" s="120"/>
      <c r="U281" s="128">
        <f t="shared" si="301"/>
        <v>0</v>
      </c>
      <c r="V281" s="119">
        <v>0.16666666666666666</v>
      </c>
      <c r="W281" s="120">
        <v>0.66666666666666663</v>
      </c>
      <c r="X281" s="128">
        <f t="shared" si="302"/>
        <v>0.5</v>
      </c>
      <c r="Y281" s="119" t="s">
        <v>111</v>
      </c>
      <c r="Z281" s="120"/>
      <c r="AA281" s="128">
        <f t="shared" si="303"/>
        <v>0</v>
      </c>
      <c r="AB281" s="119">
        <v>0.16666666666666666</v>
      </c>
      <c r="AC281" s="120">
        <v>0.66666666666666663</v>
      </c>
      <c r="AD281" s="128">
        <f t="shared" si="304"/>
        <v>0.5</v>
      </c>
      <c r="AE281" s="119" t="s">
        <v>111</v>
      </c>
      <c r="AF281" s="120"/>
      <c r="AG281" s="128">
        <f t="shared" si="305"/>
        <v>0</v>
      </c>
      <c r="AH281" s="119" t="s">
        <v>111</v>
      </c>
      <c r="AI281" s="120"/>
      <c r="AJ281" s="128">
        <f t="shared" si="306"/>
        <v>0</v>
      </c>
      <c r="AK281" s="119" t="s">
        <v>111</v>
      </c>
      <c r="AL281" s="120"/>
      <c r="AM281" s="128">
        <f t="shared" si="307"/>
        <v>0</v>
      </c>
      <c r="AN281" s="118">
        <v>23</v>
      </c>
      <c r="AO281" s="113" t="s">
        <v>12</v>
      </c>
      <c r="AP281" s="33"/>
      <c r="AQ281" s="33"/>
      <c r="AR281" s="33"/>
      <c r="AS281" s="33"/>
      <c r="AT281" s="33"/>
      <c r="AU281" s="33"/>
      <c r="AV281" s="33"/>
      <c r="AW281" s="33"/>
      <c r="AX281" s="33"/>
      <c r="AY281" s="33"/>
      <c r="AZ281" s="33"/>
      <c r="BA281" s="33"/>
      <c r="BB281" s="33"/>
      <c r="BC281" s="33"/>
      <c r="BD281" s="33"/>
      <c r="BE281" s="33"/>
      <c r="BF281" s="33"/>
      <c r="BG281" s="33"/>
      <c r="BH281" s="33"/>
      <c r="BI281" s="33"/>
      <c r="BJ281" s="33"/>
      <c r="BK281" s="33"/>
      <c r="BL281" s="33"/>
      <c r="BM281" s="33"/>
      <c r="BN281" s="33"/>
      <c r="BO281" s="33"/>
      <c r="BP281" s="33"/>
      <c r="BQ281" s="33"/>
      <c r="BR281" s="33"/>
      <c r="BS281" s="33"/>
      <c r="BT281" s="33"/>
      <c r="BU281" s="33"/>
      <c r="BV281" s="33"/>
      <c r="BW281" s="33"/>
      <c r="BX281" s="33"/>
      <c r="BY281" s="33"/>
      <c r="BZ281" s="33"/>
      <c r="CA281" s="33"/>
      <c r="CB281" s="33"/>
      <c r="CC281" s="33"/>
      <c r="CD281" s="33"/>
      <c r="CE281" s="33"/>
      <c r="CF281" s="33"/>
      <c r="CG281" s="33"/>
      <c r="CH281" s="33"/>
      <c r="CI281" s="33"/>
      <c r="CJ281" s="33"/>
      <c r="CK281" s="33"/>
      <c r="CL281" s="33"/>
      <c r="CM281" s="33"/>
      <c r="CN281" s="33"/>
      <c r="CO281" s="33"/>
      <c r="CP281" s="33"/>
      <c r="CQ281" s="33"/>
      <c r="CR281" s="33"/>
      <c r="CS281" s="33"/>
      <c r="CT281" s="33"/>
      <c r="CU281" s="33"/>
      <c r="CV281" s="33"/>
      <c r="CW281" s="33"/>
      <c r="CX281" s="33"/>
      <c r="CY281" s="33"/>
      <c r="CZ281" s="33"/>
      <c r="DA281" s="33"/>
      <c r="DB281" s="33"/>
      <c r="DC281" s="33"/>
      <c r="DD281" s="33"/>
      <c r="DE281" s="33"/>
      <c r="DF281" s="33"/>
      <c r="DG281" s="33"/>
      <c r="DH281" s="33"/>
      <c r="DI281" s="33"/>
      <c r="DJ281" s="33"/>
      <c r="DK281" s="33"/>
      <c r="DL281" s="33"/>
      <c r="DM281" s="33"/>
      <c r="DN281" s="33"/>
      <c r="DO281" s="33"/>
      <c r="DP281" s="33"/>
      <c r="DQ281" s="33"/>
    </row>
    <row r="282" spans="1:121" ht="14.4">
      <c r="A282" s="33"/>
      <c r="B282" s="118">
        <v>24</v>
      </c>
      <c r="C282" s="113" t="s">
        <v>85</v>
      </c>
      <c r="D282" s="119" t="s">
        <v>111</v>
      </c>
      <c r="E282" s="120"/>
      <c r="F282" s="128">
        <f t="shared" si="297"/>
        <v>0</v>
      </c>
      <c r="G282" s="119">
        <v>0.125</v>
      </c>
      <c r="H282" s="120">
        <v>0.52083333333333337</v>
      </c>
      <c r="I282" s="128">
        <f t="shared" si="298"/>
        <v>0.39583333333333337</v>
      </c>
      <c r="J282" s="119" t="s">
        <v>111</v>
      </c>
      <c r="K282" s="120"/>
      <c r="L282" s="128">
        <f t="shared" si="299"/>
        <v>0</v>
      </c>
      <c r="M282" s="119">
        <v>0.16666666666666666</v>
      </c>
      <c r="N282" s="120">
        <v>0.66666666666666663</v>
      </c>
      <c r="O282" s="128">
        <f t="shared" si="308"/>
        <v>0.5</v>
      </c>
      <c r="P282" s="119" t="s">
        <v>111</v>
      </c>
      <c r="Q282" s="120"/>
      <c r="R282" s="128">
        <f t="shared" si="300"/>
        <v>0</v>
      </c>
      <c r="S282" s="119" t="s">
        <v>111</v>
      </c>
      <c r="T282" s="120"/>
      <c r="U282" s="128">
        <f t="shared" si="301"/>
        <v>0</v>
      </c>
      <c r="V282" s="119">
        <v>0.125</v>
      </c>
      <c r="W282" s="120">
        <v>0.52083333333333337</v>
      </c>
      <c r="X282" s="128">
        <f t="shared" si="302"/>
        <v>0.39583333333333337</v>
      </c>
      <c r="Y282" s="119" t="s">
        <v>111</v>
      </c>
      <c r="Z282" s="120"/>
      <c r="AA282" s="128">
        <f t="shared" si="303"/>
        <v>0</v>
      </c>
      <c r="AB282" s="119">
        <v>0.58333333333333337</v>
      </c>
      <c r="AC282" s="120">
        <v>1.0833333333333333</v>
      </c>
      <c r="AD282" s="128">
        <f>(IF(AB282="u",0.333333333,IF(AB282="W",0,IF(AB282="C",AD282,IF(AB282="op",AD282,(AC282-AB282))))))</f>
        <v>0.49999999999999989</v>
      </c>
      <c r="AE282" s="119" t="s">
        <v>111</v>
      </c>
      <c r="AF282" s="120"/>
      <c r="AG282" s="128">
        <f t="shared" si="305"/>
        <v>0</v>
      </c>
      <c r="AH282" s="119" t="s">
        <v>111</v>
      </c>
      <c r="AI282" s="120"/>
      <c r="AJ282" s="128">
        <f t="shared" si="306"/>
        <v>0</v>
      </c>
      <c r="AK282" s="119" t="s">
        <v>111</v>
      </c>
      <c r="AL282" s="120"/>
      <c r="AM282" s="128">
        <f t="shared" si="307"/>
        <v>0</v>
      </c>
      <c r="AN282" s="118">
        <v>24</v>
      </c>
      <c r="AO282" s="113" t="s">
        <v>85</v>
      </c>
      <c r="AP282" s="33"/>
      <c r="AQ282" s="33"/>
      <c r="AR282" s="33"/>
      <c r="AS282" s="33"/>
      <c r="AT282" s="33"/>
      <c r="AU282" s="33"/>
      <c r="AV282" s="33"/>
      <c r="AW282" s="33"/>
      <c r="AX282" s="33"/>
      <c r="AY282" s="33"/>
      <c r="AZ282" s="33"/>
      <c r="BA282" s="33"/>
      <c r="BB282" s="33"/>
      <c r="BC282" s="33"/>
      <c r="BD282" s="33"/>
      <c r="BE282" s="33"/>
      <c r="BF282" s="33"/>
      <c r="BG282" s="33"/>
      <c r="BH282" s="33"/>
      <c r="BI282" s="33"/>
      <c r="BJ282" s="33"/>
      <c r="BK282" s="33"/>
      <c r="BL282" s="33"/>
      <c r="BM282" s="33"/>
      <c r="BN282" s="33"/>
      <c r="BO282" s="33"/>
      <c r="BP282" s="33"/>
      <c r="BQ282" s="33"/>
      <c r="BR282" s="33"/>
      <c r="BS282" s="33"/>
      <c r="BT282" s="33"/>
      <c r="BU282" s="33"/>
      <c r="BV282" s="33"/>
      <c r="BW282" s="33"/>
      <c r="BX282" s="33"/>
      <c r="BY282" s="33"/>
      <c r="BZ282" s="33"/>
      <c r="CA282" s="33"/>
      <c r="CB282" s="33"/>
      <c r="CC282" s="33"/>
      <c r="CD282" s="33"/>
      <c r="CE282" s="33"/>
      <c r="CF282" s="33"/>
      <c r="CG282" s="33"/>
      <c r="CH282" s="33"/>
      <c r="CI282" s="33"/>
      <c r="CJ282" s="33"/>
      <c r="CK282" s="33"/>
      <c r="CL282" s="33"/>
      <c r="CM282" s="33"/>
      <c r="CN282" s="33"/>
      <c r="CO282" s="33"/>
      <c r="CP282" s="33"/>
      <c r="CQ282" s="33"/>
      <c r="CR282" s="33"/>
      <c r="CS282" s="33"/>
      <c r="CT282" s="33"/>
      <c r="CU282" s="33"/>
      <c r="CV282" s="33"/>
      <c r="CW282" s="33"/>
      <c r="CX282" s="33"/>
      <c r="CY282" s="33"/>
      <c r="CZ282" s="33"/>
      <c r="DA282" s="33"/>
      <c r="DB282" s="33"/>
      <c r="DC282" s="33"/>
      <c r="DD282" s="33"/>
      <c r="DE282" s="33"/>
      <c r="DF282" s="33"/>
      <c r="DG282" s="33"/>
      <c r="DH282" s="33"/>
      <c r="DI282" s="33"/>
      <c r="DJ282" s="33"/>
      <c r="DK282" s="33"/>
      <c r="DL282" s="33"/>
      <c r="DM282" s="33"/>
      <c r="DN282" s="33"/>
      <c r="DO282" s="33"/>
      <c r="DP282" s="33"/>
      <c r="DQ282" s="33"/>
    </row>
    <row r="283" spans="1:121" ht="14.4">
      <c r="A283" s="33"/>
      <c r="B283" s="118">
        <v>25</v>
      </c>
      <c r="C283" s="113" t="s">
        <v>4</v>
      </c>
      <c r="D283" s="119">
        <v>0.4375</v>
      </c>
      <c r="E283" s="120">
        <v>0.89583333333333337</v>
      </c>
      <c r="F283" s="128">
        <f t="shared" si="297"/>
        <v>0.45833333333333337</v>
      </c>
      <c r="G283" s="119"/>
      <c r="H283" s="120"/>
      <c r="I283" s="128">
        <f t="shared" si="298"/>
        <v>0</v>
      </c>
      <c r="J283" s="119" t="s">
        <v>111</v>
      </c>
      <c r="K283" s="120"/>
      <c r="L283" s="128">
        <f t="shared" si="299"/>
        <v>0</v>
      </c>
      <c r="M283" s="119" t="s">
        <v>111</v>
      </c>
      <c r="N283" s="120"/>
      <c r="O283" s="128">
        <f t="shared" si="308"/>
        <v>0</v>
      </c>
      <c r="P283" s="119" t="s">
        <v>111</v>
      </c>
      <c r="Q283" s="120"/>
      <c r="R283" s="128">
        <f t="shared" si="300"/>
        <v>0</v>
      </c>
      <c r="S283" s="119" t="s">
        <v>111</v>
      </c>
      <c r="T283" s="120"/>
      <c r="U283" s="128">
        <f t="shared" si="301"/>
        <v>0</v>
      </c>
      <c r="V283" s="119">
        <v>0.125</v>
      </c>
      <c r="W283" s="120">
        <v>0.52083333333333337</v>
      </c>
      <c r="X283" s="128">
        <f t="shared" si="302"/>
        <v>0.39583333333333337</v>
      </c>
      <c r="Y283" s="119" t="s">
        <v>111</v>
      </c>
      <c r="Z283" s="120"/>
      <c r="AA283" s="128">
        <f t="shared" si="303"/>
        <v>0</v>
      </c>
      <c r="AB283" s="119" t="s">
        <v>111</v>
      </c>
      <c r="AC283" s="120"/>
      <c r="AD283" s="128">
        <f t="shared" si="304"/>
        <v>0</v>
      </c>
      <c r="AE283" s="119" t="s">
        <v>111</v>
      </c>
      <c r="AF283" s="120"/>
      <c r="AG283" s="128">
        <f t="shared" si="305"/>
        <v>0</v>
      </c>
      <c r="AH283" s="119" t="s">
        <v>111</v>
      </c>
      <c r="AI283" s="120"/>
      <c r="AJ283" s="128">
        <f t="shared" si="306"/>
        <v>0</v>
      </c>
      <c r="AK283" s="119" t="s">
        <v>111</v>
      </c>
      <c r="AL283" s="120"/>
      <c r="AM283" s="128">
        <f t="shared" si="307"/>
        <v>0</v>
      </c>
      <c r="AN283" s="118">
        <v>25</v>
      </c>
      <c r="AO283" s="113" t="s">
        <v>4</v>
      </c>
      <c r="AP283" s="33"/>
      <c r="AQ283" s="33"/>
      <c r="AR283" s="33"/>
      <c r="AS283" s="33"/>
      <c r="AT283" s="33"/>
      <c r="AU283" s="33"/>
      <c r="AV283" s="33"/>
      <c r="AW283" s="33"/>
      <c r="AX283" s="33"/>
      <c r="AY283" s="33"/>
      <c r="AZ283" s="33"/>
      <c r="BA283" s="33"/>
      <c r="BB283" s="33"/>
      <c r="BC283" s="33"/>
      <c r="BD283" s="33"/>
      <c r="BE283" s="33"/>
      <c r="BF283" s="33"/>
      <c r="BG283" s="33"/>
      <c r="BH283" s="33"/>
      <c r="BI283" s="33"/>
      <c r="BJ283" s="33"/>
      <c r="BK283" s="33"/>
      <c r="BL283" s="33"/>
      <c r="BM283" s="33"/>
      <c r="BN283" s="33"/>
      <c r="BO283" s="33"/>
      <c r="BP283" s="33"/>
      <c r="BQ283" s="33"/>
      <c r="BR283" s="33"/>
      <c r="BS283" s="33"/>
      <c r="BT283" s="33"/>
      <c r="BU283" s="33"/>
      <c r="BV283" s="33"/>
      <c r="BW283" s="33"/>
      <c r="BX283" s="33"/>
      <c r="BY283" s="33"/>
      <c r="BZ283" s="33"/>
      <c r="CA283" s="33"/>
      <c r="CB283" s="33"/>
      <c r="CC283" s="33"/>
      <c r="CD283" s="33"/>
      <c r="CE283" s="33"/>
      <c r="CF283" s="33"/>
      <c r="CG283" s="33"/>
      <c r="CH283" s="33"/>
      <c r="CI283" s="33"/>
      <c r="CJ283" s="33"/>
      <c r="CK283" s="33"/>
      <c r="CL283" s="33"/>
      <c r="CM283" s="33"/>
      <c r="CN283" s="33"/>
      <c r="CO283" s="33"/>
      <c r="CP283" s="33"/>
      <c r="CQ283" s="33"/>
      <c r="CR283" s="33"/>
      <c r="CS283" s="33"/>
      <c r="CT283" s="33"/>
      <c r="CU283" s="33"/>
      <c r="CV283" s="33"/>
      <c r="CW283" s="33"/>
      <c r="CX283" s="33"/>
      <c r="CY283" s="33"/>
      <c r="CZ283" s="33"/>
      <c r="DA283" s="33"/>
      <c r="DB283" s="33"/>
      <c r="DC283" s="33"/>
      <c r="DD283" s="33"/>
      <c r="DE283" s="33"/>
      <c r="DF283" s="33"/>
      <c r="DG283" s="33"/>
      <c r="DH283" s="33"/>
      <c r="DI283" s="33"/>
      <c r="DJ283" s="33"/>
      <c r="DK283" s="33"/>
      <c r="DL283" s="33"/>
      <c r="DM283" s="33"/>
      <c r="DN283" s="33"/>
      <c r="DO283" s="33"/>
      <c r="DP283" s="33"/>
      <c r="DQ283" s="33"/>
    </row>
    <row r="284" spans="1:121" ht="14.4">
      <c r="A284" s="33"/>
      <c r="B284" s="86">
        <v>26</v>
      </c>
      <c r="C284" s="87" t="s">
        <v>5</v>
      </c>
      <c r="D284" s="88" t="s">
        <v>111</v>
      </c>
      <c r="E284" s="89"/>
      <c r="F284" s="92">
        <f t="shared" si="297"/>
        <v>0</v>
      </c>
      <c r="G284" s="88"/>
      <c r="H284" s="89"/>
      <c r="I284" s="92">
        <f t="shared" si="298"/>
        <v>0</v>
      </c>
      <c r="J284" s="88" t="s">
        <v>111</v>
      </c>
      <c r="K284" s="89"/>
      <c r="L284" s="92">
        <f t="shared" si="299"/>
        <v>0</v>
      </c>
      <c r="M284" s="88"/>
      <c r="N284" s="89"/>
      <c r="O284" s="92">
        <f t="shared" si="308"/>
        <v>0</v>
      </c>
      <c r="P284" s="88"/>
      <c r="Q284" s="89"/>
      <c r="R284" s="92">
        <f t="shared" si="300"/>
        <v>0</v>
      </c>
      <c r="S284" s="88" t="s">
        <v>111</v>
      </c>
      <c r="T284" s="89"/>
      <c r="U284" s="92">
        <f t="shared" si="301"/>
        <v>0</v>
      </c>
      <c r="V284" s="88" t="s">
        <v>111</v>
      </c>
      <c r="W284" s="89"/>
      <c r="X284" s="92">
        <f t="shared" si="302"/>
        <v>0</v>
      </c>
      <c r="Y284" s="88" t="s">
        <v>111</v>
      </c>
      <c r="Z284" s="89"/>
      <c r="AA284" s="92">
        <f t="shared" si="303"/>
        <v>0</v>
      </c>
      <c r="AB284" s="88">
        <v>0.33333333333333331</v>
      </c>
      <c r="AC284" s="89">
        <v>0.83333333333333337</v>
      </c>
      <c r="AD284" s="92">
        <f t="shared" si="304"/>
        <v>0.5</v>
      </c>
      <c r="AE284" s="88"/>
      <c r="AF284" s="89"/>
      <c r="AG284" s="92">
        <f t="shared" si="305"/>
        <v>0</v>
      </c>
      <c r="AH284" s="88"/>
      <c r="AI284" s="89"/>
      <c r="AJ284" s="92">
        <f t="shared" si="306"/>
        <v>0</v>
      </c>
      <c r="AK284" s="88">
        <v>0.75</v>
      </c>
      <c r="AL284" s="89">
        <v>1.25</v>
      </c>
      <c r="AM284" s="92">
        <f t="shared" si="307"/>
        <v>0.5</v>
      </c>
      <c r="AN284" s="86">
        <v>26</v>
      </c>
      <c r="AO284" s="87" t="s">
        <v>5</v>
      </c>
      <c r="AP284" s="33"/>
      <c r="AQ284" s="33"/>
      <c r="AR284" s="33"/>
      <c r="AS284" s="33"/>
      <c r="AT284" s="33"/>
      <c r="AU284" s="33"/>
      <c r="AV284" s="33"/>
      <c r="AW284" s="33"/>
      <c r="AX284" s="33"/>
      <c r="AY284" s="33"/>
      <c r="AZ284" s="33"/>
      <c r="BA284" s="33"/>
      <c r="BB284" s="33"/>
      <c r="BC284" s="33"/>
      <c r="BD284" s="33"/>
      <c r="BE284" s="33"/>
      <c r="BF284" s="33"/>
      <c r="BG284" s="33"/>
      <c r="BH284" s="33"/>
      <c r="BI284" s="33"/>
      <c r="BJ284" s="33"/>
      <c r="BK284" s="33"/>
      <c r="BL284" s="33"/>
      <c r="BM284" s="33"/>
      <c r="BN284" s="33"/>
      <c r="BO284" s="33"/>
      <c r="BP284" s="33"/>
      <c r="BQ284" s="33"/>
      <c r="BR284" s="33"/>
      <c r="BS284" s="33"/>
      <c r="BT284" s="33"/>
      <c r="BU284" s="33"/>
      <c r="BV284" s="33"/>
      <c r="BW284" s="33"/>
      <c r="BX284" s="33"/>
      <c r="BY284" s="33"/>
      <c r="BZ284" s="33"/>
      <c r="CA284" s="33"/>
      <c r="CB284" s="33"/>
      <c r="CC284" s="33"/>
      <c r="CD284" s="33"/>
      <c r="CE284" s="33"/>
      <c r="CF284" s="33"/>
      <c r="CG284" s="33"/>
      <c r="CH284" s="33"/>
      <c r="CI284" s="33"/>
      <c r="CJ284" s="33"/>
      <c r="CK284" s="33"/>
      <c r="CL284" s="33"/>
      <c r="CM284" s="33"/>
      <c r="CN284" s="33"/>
      <c r="CO284" s="33"/>
      <c r="CP284" s="33"/>
      <c r="CQ284" s="33"/>
      <c r="CR284" s="33"/>
      <c r="CS284" s="33"/>
      <c r="CT284" s="33"/>
      <c r="CU284" s="33"/>
      <c r="CV284" s="33"/>
      <c r="CW284" s="33"/>
      <c r="CX284" s="33"/>
      <c r="CY284" s="33"/>
      <c r="CZ284" s="33"/>
      <c r="DA284" s="33"/>
      <c r="DB284" s="33"/>
      <c r="DC284" s="33"/>
      <c r="DD284" s="33"/>
      <c r="DE284" s="33"/>
      <c r="DF284" s="33"/>
      <c r="DG284" s="33"/>
      <c r="DH284" s="33"/>
      <c r="DI284" s="33"/>
      <c r="DJ284" s="33"/>
      <c r="DK284" s="33"/>
      <c r="DL284" s="33"/>
      <c r="DM284" s="33"/>
      <c r="DN284" s="33"/>
      <c r="DO284" s="33"/>
      <c r="DP284" s="33"/>
      <c r="DQ284" s="33"/>
    </row>
    <row r="285" spans="1:121" s="40" customFormat="1" ht="14.4">
      <c r="A285" s="33"/>
      <c r="B285" s="86">
        <v>27</v>
      </c>
      <c r="C285" s="87" t="s">
        <v>6</v>
      </c>
      <c r="D285" s="88" t="s">
        <v>111</v>
      </c>
      <c r="E285" s="89"/>
      <c r="F285" s="92">
        <f t="shared" si="297"/>
        <v>0</v>
      </c>
      <c r="G285" s="88"/>
      <c r="H285" s="89"/>
      <c r="I285" s="92">
        <f t="shared" si="298"/>
        <v>0</v>
      </c>
      <c r="J285" s="88">
        <v>0.41666666666666669</v>
      </c>
      <c r="K285" s="89">
        <v>0.875</v>
      </c>
      <c r="L285" s="92">
        <f t="shared" si="299"/>
        <v>0.45833333333333331</v>
      </c>
      <c r="M285" s="88">
        <v>0.16666666666666666</v>
      </c>
      <c r="N285" s="89">
        <v>0.66666666666666663</v>
      </c>
      <c r="O285" s="92">
        <f t="shared" si="308"/>
        <v>0.5</v>
      </c>
      <c r="P285" s="88">
        <v>0.125</v>
      </c>
      <c r="Q285" s="89">
        <v>0.52083333333333337</v>
      </c>
      <c r="R285" s="92">
        <f t="shared" si="300"/>
        <v>0.39583333333333337</v>
      </c>
      <c r="S285" s="88">
        <v>0.125</v>
      </c>
      <c r="T285" s="89">
        <v>0.52083333333333337</v>
      </c>
      <c r="U285" s="92">
        <f t="shared" si="301"/>
        <v>0.39583333333333337</v>
      </c>
      <c r="V285" s="88" t="s">
        <v>111</v>
      </c>
      <c r="W285" s="89"/>
      <c r="X285" s="92">
        <f t="shared" si="302"/>
        <v>0</v>
      </c>
      <c r="Y285" s="88">
        <v>0.41666666666666669</v>
      </c>
      <c r="Z285" s="89">
        <v>0.875</v>
      </c>
      <c r="AA285" s="92">
        <f t="shared" si="303"/>
        <v>0.45833333333333331</v>
      </c>
      <c r="AB285" s="88">
        <v>0.41666666666666669</v>
      </c>
      <c r="AC285" s="89">
        <v>0.875</v>
      </c>
      <c r="AD285" s="92">
        <f t="shared" si="304"/>
        <v>0.45833333333333331</v>
      </c>
      <c r="AE285" s="88">
        <v>0.125</v>
      </c>
      <c r="AF285" s="89">
        <v>0.52083333333333337</v>
      </c>
      <c r="AG285" s="92">
        <f t="shared" si="305"/>
        <v>0.39583333333333337</v>
      </c>
      <c r="AH285" s="88">
        <v>0.125</v>
      </c>
      <c r="AI285" s="89">
        <v>0.52083333333333337</v>
      </c>
      <c r="AJ285" s="92">
        <f t="shared" si="306"/>
        <v>0.39583333333333337</v>
      </c>
      <c r="AK285" s="88"/>
      <c r="AL285" s="89"/>
      <c r="AM285" s="92">
        <f t="shared" si="307"/>
        <v>0</v>
      </c>
      <c r="AN285" s="86">
        <v>27</v>
      </c>
      <c r="AO285" s="87" t="s">
        <v>6</v>
      </c>
      <c r="AP285" s="33"/>
      <c r="AQ285" s="33"/>
      <c r="AR285" s="33"/>
      <c r="AS285" s="33"/>
      <c r="AT285" s="33"/>
      <c r="AU285" s="33"/>
      <c r="AV285" s="33"/>
      <c r="AW285" s="33"/>
      <c r="AX285" s="33"/>
      <c r="AY285" s="33"/>
      <c r="AZ285" s="33"/>
      <c r="BA285" s="33"/>
      <c r="BB285" s="33"/>
      <c r="BC285" s="33"/>
      <c r="BD285" s="33"/>
      <c r="BE285" s="33"/>
      <c r="BF285" s="33"/>
      <c r="BG285" s="33"/>
      <c r="BH285" s="33"/>
      <c r="BI285" s="33"/>
      <c r="BJ285" s="33"/>
      <c r="BK285" s="33"/>
      <c r="BL285" s="33"/>
      <c r="BM285" s="33"/>
      <c r="BN285" s="33"/>
      <c r="BO285" s="33"/>
      <c r="BP285" s="33"/>
      <c r="BQ285" s="33"/>
      <c r="BR285" s="33"/>
      <c r="BS285" s="33"/>
      <c r="BT285" s="33"/>
      <c r="BU285" s="33"/>
      <c r="BV285" s="33"/>
      <c r="BW285" s="33"/>
      <c r="BX285" s="33"/>
      <c r="BY285" s="33"/>
      <c r="BZ285" s="33"/>
      <c r="CA285" s="33"/>
      <c r="CB285" s="33"/>
      <c r="CC285" s="33"/>
      <c r="CD285" s="33"/>
      <c r="CE285" s="33"/>
      <c r="CF285" s="33"/>
      <c r="CG285" s="33"/>
      <c r="CH285" s="33"/>
      <c r="CI285" s="33"/>
      <c r="CJ285" s="33"/>
      <c r="CK285" s="33"/>
      <c r="CL285" s="33"/>
      <c r="CM285" s="33"/>
      <c r="CN285" s="33"/>
      <c r="CO285" s="33"/>
      <c r="CP285" s="33"/>
      <c r="CQ285" s="33"/>
      <c r="CR285" s="33"/>
      <c r="CS285" s="33"/>
      <c r="CT285" s="33"/>
      <c r="CU285" s="33"/>
      <c r="CV285" s="33"/>
      <c r="CW285" s="33"/>
      <c r="CX285" s="33"/>
      <c r="CY285" s="33"/>
      <c r="CZ285" s="33"/>
      <c r="DA285" s="33"/>
      <c r="DB285" s="33"/>
      <c r="DC285" s="33"/>
      <c r="DD285" s="33"/>
      <c r="DE285" s="33"/>
      <c r="DF285" s="33"/>
      <c r="DG285" s="33"/>
      <c r="DH285" s="33"/>
      <c r="DI285" s="33"/>
      <c r="DJ285" s="33"/>
      <c r="DK285" s="33"/>
      <c r="DL285" s="33"/>
      <c r="DM285" s="33"/>
      <c r="DN285" s="33"/>
      <c r="DO285" s="33"/>
      <c r="DP285" s="33"/>
      <c r="DQ285" s="33"/>
    </row>
    <row r="286" spans="1:121" s="40" customFormat="1" ht="14.4">
      <c r="A286" s="33"/>
      <c r="B286" s="118">
        <v>28</v>
      </c>
      <c r="C286" s="113" t="s">
        <v>7</v>
      </c>
      <c r="D286" s="119" t="s">
        <v>111</v>
      </c>
      <c r="E286" s="120"/>
      <c r="F286" s="128">
        <f t="shared" si="297"/>
        <v>0</v>
      </c>
      <c r="G286" s="119">
        <v>0.125</v>
      </c>
      <c r="H286" s="120">
        <v>0.52083333333333337</v>
      </c>
      <c r="I286" s="128">
        <f t="shared" si="298"/>
        <v>0.39583333333333337</v>
      </c>
      <c r="J286" s="119" t="s">
        <v>111</v>
      </c>
      <c r="K286" s="120"/>
      <c r="L286" s="128">
        <f t="shared" si="299"/>
        <v>0</v>
      </c>
      <c r="M286" s="119" t="s">
        <v>111</v>
      </c>
      <c r="N286" s="120"/>
      <c r="O286" s="128">
        <f t="shared" si="308"/>
        <v>0</v>
      </c>
      <c r="P286" s="119" t="s">
        <v>111</v>
      </c>
      <c r="Q286" s="120"/>
      <c r="R286" s="128">
        <f t="shared" si="300"/>
        <v>0</v>
      </c>
      <c r="S286" s="119">
        <v>0.125</v>
      </c>
      <c r="T286" s="120">
        <v>0.52083333333333337</v>
      </c>
      <c r="U286" s="128">
        <f t="shared" si="301"/>
        <v>0.39583333333333337</v>
      </c>
      <c r="V286" s="119" t="s">
        <v>111</v>
      </c>
      <c r="W286" s="120"/>
      <c r="X286" s="128">
        <f t="shared" si="302"/>
        <v>0</v>
      </c>
      <c r="Y286" s="119" t="s">
        <v>111</v>
      </c>
      <c r="Z286" s="120"/>
      <c r="AA286" s="128">
        <f t="shared" si="303"/>
        <v>0</v>
      </c>
      <c r="AB286" s="119" t="s">
        <v>111</v>
      </c>
      <c r="AC286" s="120"/>
      <c r="AD286" s="128">
        <f t="shared" si="304"/>
        <v>0</v>
      </c>
      <c r="AE286" s="119" t="s">
        <v>111</v>
      </c>
      <c r="AF286" s="120"/>
      <c r="AG286" s="128">
        <f t="shared" si="305"/>
        <v>0</v>
      </c>
      <c r="AH286" s="119" t="s">
        <v>111</v>
      </c>
      <c r="AI286" s="120"/>
      <c r="AJ286" s="128">
        <f t="shared" si="306"/>
        <v>0</v>
      </c>
      <c r="AK286" s="119" t="s">
        <v>111</v>
      </c>
      <c r="AL286" s="120"/>
      <c r="AM286" s="128">
        <f t="shared" si="307"/>
        <v>0</v>
      </c>
      <c r="AN286" s="118">
        <v>28</v>
      </c>
      <c r="AO286" s="113" t="s">
        <v>7</v>
      </c>
      <c r="AP286" s="33"/>
      <c r="AQ286" s="33"/>
      <c r="AR286" s="33"/>
      <c r="AS286" s="33"/>
      <c r="AT286" s="33"/>
      <c r="AU286" s="33"/>
      <c r="AV286" s="33"/>
      <c r="AW286" s="33"/>
      <c r="AX286" s="33"/>
      <c r="AY286" s="33"/>
      <c r="AZ286" s="33"/>
      <c r="BA286" s="33"/>
      <c r="BB286" s="33"/>
      <c r="BC286" s="33"/>
      <c r="BD286" s="33"/>
      <c r="BE286" s="33"/>
      <c r="BF286" s="33"/>
      <c r="BG286" s="33"/>
      <c r="BH286" s="33"/>
      <c r="BI286" s="33"/>
      <c r="BJ286" s="33"/>
      <c r="BK286" s="33"/>
      <c r="BL286" s="33"/>
      <c r="BM286" s="33"/>
      <c r="BN286" s="33"/>
      <c r="BO286" s="33"/>
      <c r="BP286" s="33"/>
      <c r="BQ286" s="33"/>
      <c r="BR286" s="33"/>
      <c r="BS286" s="33"/>
      <c r="BT286" s="33"/>
      <c r="BU286" s="33"/>
      <c r="BV286" s="33"/>
      <c r="BW286" s="33"/>
      <c r="BX286" s="33"/>
      <c r="BY286" s="33"/>
      <c r="BZ286" s="33"/>
      <c r="CA286" s="33"/>
      <c r="CB286" s="33"/>
      <c r="CC286" s="33"/>
      <c r="CD286" s="33"/>
      <c r="CE286" s="33"/>
      <c r="CF286" s="33"/>
      <c r="CG286" s="33"/>
      <c r="CH286" s="33"/>
      <c r="CI286" s="33"/>
      <c r="CJ286" s="33"/>
      <c r="CK286" s="33"/>
      <c r="CL286" s="33"/>
      <c r="CM286" s="33"/>
      <c r="CN286" s="33"/>
      <c r="CO286" s="33"/>
      <c r="CP286" s="33"/>
      <c r="CQ286" s="33"/>
      <c r="CR286" s="33"/>
      <c r="CS286" s="33"/>
      <c r="CT286" s="33"/>
      <c r="CU286" s="33"/>
      <c r="CV286" s="33"/>
      <c r="CW286" s="33"/>
      <c r="CX286" s="33"/>
      <c r="CY286" s="33"/>
      <c r="CZ286" s="33"/>
      <c r="DA286" s="33"/>
      <c r="DB286" s="33"/>
      <c r="DC286" s="33"/>
      <c r="DD286" s="33"/>
      <c r="DE286" s="33"/>
      <c r="DF286" s="33"/>
      <c r="DG286" s="33"/>
      <c r="DH286" s="33"/>
      <c r="DI286" s="33"/>
      <c r="DJ286" s="33"/>
      <c r="DK286" s="33"/>
      <c r="DL286" s="33"/>
      <c r="DM286" s="33"/>
      <c r="DN286" s="33"/>
      <c r="DO286" s="33"/>
      <c r="DP286" s="33"/>
      <c r="DQ286" s="33"/>
    </row>
    <row r="287" spans="1:121" ht="14.4">
      <c r="A287" s="33"/>
      <c r="B287" s="118">
        <v>29</v>
      </c>
      <c r="C287" s="113" t="s">
        <v>8</v>
      </c>
      <c r="D287" s="119" t="s">
        <v>111</v>
      </c>
      <c r="E287" s="120"/>
      <c r="F287" s="128">
        <f t="shared" si="297"/>
        <v>0</v>
      </c>
      <c r="G287" s="119">
        <v>0.125</v>
      </c>
      <c r="H287" s="120">
        <v>0.52083333333333337</v>
      </c>
      <c r="I287" s="128">
        <f t="shared" si="298"/>
        <v>0.39583333333333337</v>
      </c>
      <c r="J287" s="119" t="s">
        <v>111</v>
      </c>
      <c r="K287" s="120"/>
      <c r="L287" s="128">
        <f t="shared" si="299"/>
        <v>0</v>
      </c>
      <c r="M287" s="119" t="s">
        <v>111</v>
      </c>
      <c r="N287" s="120"/>
      <c r="O287" s="128">
        <f t="shared" si="308"/>
        <v>0</v>
      </c>
      <c r="P287" s="119" t="s">
        <v>111</v>
      </c>
      <c r="Q287" s="120"/>
      <c r="R287" s="128">
        <f t="shared" si="300"/>
        <v>0</v>
      </c>
      <c r="S287" s="119" t="s">
        <v>111</v>
      </c>
      <c r="T287" s="120"/>
      <c r="U287" s="128">
        <f t="shared" si="301"/>
        <v>0</v>
      </c>
      <c r="V287" s="119" t="s">
        <v>111</v>
      </c>
      <c r="W287" s="120"/>
      <c r="X287" s="128">
        <f t="shared" si="302"/>
        <v>0</v>
      </c>
      <c r="Y287" s="119" t="s">
        <v>111</v>
      </c>
      <c r="Z287" s="120"/>
      <c r="AA287" s="128">
        <f t="shared" si="303"/>
        <v>0</v>
      </c>
      <c r="AB287" s="119" t="s">
        <v>111</v>
      </c>
      <c r="AC287" s="120"/>
      <c r="AD287" s="128">
        <f t="shared" si="304"/>
        <v>0</v>
      </c>
      <c r="AE287" s="119" t="s">
        <v>111</v>
      </c>
      <c r="AF287" s="120"/>
      <c r="AG287" s="128">
        <f t="shared" si="305"/>
        <v>0</v>
      </c>
      <c r="AH287" s="119" t="s">
        <v>111</v>
      </c>
      <c r="AI287" s="120"/>
      <c r="AJ287" s="128">
        <f t="shared" si="306"/>
        <v>0</v>
      </c>
      <c r="AK287" s="119" t="s">
        <v>111</v>
      </c>
      <c r="AL287" s="120"/>
      <c r="AM287" s="128">
        <f t="shared" si="307"/>
        <v>0</v>
      </c>
      <c r="AN287" s="118">
        <v>29</v>
      </c>
      <c r="AO287" s="113" t="s">
        <v>8</v>
      </c>
      <c r="AP287" s="33"/>
      <c r="AQ287" s="33"/>
      <c r="AR287" s="33"/>
      <c r="AS287" s="33"/>
      <c r="AT287" s="33"/>
      <c r="AU287" s="33"/>
      <c r="AV287" s="33"/>
      <c r="AW287" s="33"/>
      <c r="AX287" s="33"/>
      <c r="AY287" s="33"/>
      <c r="AZ287" s="33"/>
      <c r="BA287" s="33"/>
      <c r="BB287" s="33"/>
      <c r="BC287" s="33"/>
      <c r="BD287" s="33"/>
      <c r="BE287" s="33"/>
      <c r="BF287" s="33"/>
      <c r="BG287" s="33"/>
      <c r="BH287" s="33"/>
      <c r="BI287" s="33"/>
      <c r="BJ287" s="33"/>
      <c r="BK287" s="33"/>
      <c r="BL287" s="33"/>
      <c r="BM287" s="33"/>
      <c r="BN287" s="33"/>
      <c r="BO287" s="33"/>
      <c r="BP287" s="33"/>
      <c r="BQ287" s="33"/>
      <c r="BR287" s="33"/>
      <c r="BS287" s="33"/>
      <c r="BT287" s="33"/>
      <c r="BU287" s="33"/>
      <c r="BV287" s="33"/>
      <c r="BW287" s="33"/>
      <c r="BX287" s="33"/>
      <c r="BY287" s="33"/>
      <c r="BZ287" s="33"/>
      <c r="CA287" s="33"/>
      <c r="CB287" s="33"/>
      <c r="CC287" s="33"/>
      <c r="CD287" s="33"/>
      <c r="CE287" s="33"/>
      <c r="CF287" s="33"/>
      <c r="CG287" s="33"/>
      <c r="CH287" s="33"/>
      <c r="CI287" s="33"/>
      <c r="CJ287" s="33"/>
      <c r="CK287" s="33"/>
      <c r="CL287" s="33"/>
      <c r="CM287" s="33"/>
      <c r="CN287" s="33"/>
      <c r="CO287" s="33"/>
      <c r="CP287" s="33"/>
      <c r="CQ287" s="33"/>
      <c r="CR287" s="33"/>
      <c r="CS287" s="33"/>
      <c r="CT287" s="33"/>
      <c r="CU287" s="33"/>
      <c r="CV287" s="33"/>
      <c r="CW287" s="33"/>
      <c r="CX287" s="33"/>
      <c r="CY287" s="33"/>
      <c r="CZ287" s="33"/>
      <c r="DA287" s="33"/>
      <c r="DB287" s="33"/>
      <c r="DC287" s="33"/>
      <c r="DD287" s="33"/>
      <c r="DE287" s="33"/>
      <c r="DF287" s="33"/>
      <c r="DG287" s="33"/>
      <c r="DH287" s="33"/>
      <c r="DI287" s="33"/>
      <c r="DJ287" s="33"/>
      <c r="DK287" s="33"/>
      <c r="DL287" s="33"/>
      <c r="DM287" s="33"/>
      <c r="DN287" s="33"/>
      <c r="DO287" s="33"/>
      <c r="DP287" s="33"/>
      <c r="DQ287" s="33"/>
    </row>
    <row r="288" spans="1:121" ht="14.4">
      <c r="A288" s="33"/>
      <c r="B288" s="118">
        <v>30</v>
      </c>
      <c r="C288" s="113" t="s">
        <v>12</v>
      </c>
      <c r="D288" s="119" t="s">
        <v>111</v>
      </c>
      <c r="E288" s="120"/>
      <c r="F288" s="128">
        <f t="shared" si="297"/>
        <v>0</v>
      </c>
      <c r="G288" s="119">
        <v>0.125</v>
      </c>
      <c r="H288" s="120">
        <v>0.52083333333333337</v>
      </c>
      <c r="I288" s="128">
        <f t="shared" si="298"/>
        <v>0.39583333333333337</v>
      </c>
      <c r="J288" s="119" t="s">
        <v>111</v>
      </c>
      <c r="K288" s="120"/>
      <c r="L288" s="128">
        <f t="shared" si="299"/>
        <v>0</v>
      </c>
      <c r="M288" s="119" t="s">
        <v>111</v>
      </c>
      <c r="N288" s="120"/>
      <c r="O288" s="128">
        <f t="shared" si="308"/>
        <v>0</v>
      </c>
      <c r="P288" s="119" t="s">
        <v>111</v>
      </c>
      <c r="Q288" s="120"/>
      <c r="R288" s="128">
        <f t="shared" si="300"/>
        <v>0</v>
      </c>
      <c r="S288" s="119" t="s">
        <v>111</v>
      </c>
      <c r="T288" s="120"/>
      <c r="U288" s="128">
        <f t="shared" si="301"/>
        <v>0</v>
      </c>
      <c r="V288" s="119">
        <v>0.125</v>
      </c>
      <c r="W288" s="120">
        <v>0.52083333333333337</v>
      </c>
      <c r="X288" s="128">
        <f t="shared" si="302"/>
        <v>0.39583333333333337</v>
      </c>
      <c r="Y288" s="119" t="s">
        <v>111</v>
      </c>
      <c r="Z288" s="120"/>
      <c r="AA288" s="128">
        <f t="shared" si="303"/>
        <v>0</v>
      </c>
      <c r="AB288" s="119" t="s">
        <v>111</v>
      </c>
      <c r="AC288" s="120"/>
      <c r="AD288" s="128">
        <f t="shared" si="304"/>
        <v>0</v>
      </c>
      <c r="AE288" s="119" t="s">
        <v>111</v>
      </c>
      <c r="AF288" s="120"/>
      <c r="AG288" s="128">
        <f t="shared" si="305"/>
        <v>0</v>
      </c>
      <c r="AH288" s="119" t="s">
        <v>111</v>
      </c>
      <c r="AI288" s="120"/>
      <c r="AJ288" s="128">
        <f t="shared" si="306"/>
        <v>0</v>
      </c>
      <c r="AK288" s="119" t="s">
        <v>111</v>
      </c>
      <c r="AL288" s="120"/>
      <c r="AM288" s="128">
        <f t="shared" si="307"/>
        <v>0</v>
      </c>
      <c r="AN288" s="118">
        <v>30</v>
      </c>
      <c r="AO288" s="113" t="s">
        <v>12</v>
      </c>
      <c r="AQ288" s="33"/>
      <c r="AR288" s="33"/>
      <c r="AS288" s="33"/>
      <c r="AT288" s="33"/>
      <c r="AU288" s="33"/>
      <c r="AV288" s="33"/>
      <c r="AW288" s="33"/>
      <c r="AX288" s="33"/>
      <c r="AY288" s="33"/>
      <c r="AZ288" s="33"/>
      <c r="BA288" s="33"/>
      <c r="BB288" s="33"/>
      <c r="BC288" s="33"/>
      <c r="BD288" s="33"/>
      <c r="BE288" s="33"/>
      <c r="BF288" s="33"/>
      <c r="BG288" s="33"/>
      <c r="BH288" s="33"/>
      <c r="BI288" s="33"/>
      <c r="BJ288" s="33"/>
      <c r="BK288" s="33"/>
      <c r="BL288" s="33"/>
      <c r="BM288" s="33"/>
      <c r="BN288" s="33"/>
      <c r="BO288" s="33"/>
      <c r="BP288" s="33"/>
      <c r="BQ288" s="33"/>
      <c r="BR288" s="33"/>
      <c r="BS288" s="33"/>
      <c r="BT288" s="33"/>
      <c r="BU288" s="33"/>
      <c r="BV288" s="33"/>
      <c r="BW288" s="33"/>
      <c r="BX288" s="33"/>
      <c r="BY288" s="33"/>
      <c r="BZ288" s="33"/>
      <c r="CA288" s="33"/>
      <c r="CB288" s="33"/>
      <c r="CC288" s="33"/>
      <c r="CD288" s="33"/>
      <c r="CE288" s="33"/>
      <c r="CF288" s="33"/>
      <c r="CG288" s="33"/>
      <c r="CH288" s="33"/>
      <c r="CI288" s="33"/>
      <c r="CJ288" s="33"/>
      <c r="CK288" s="33"/>
      <c r="CL288" s="33"/>
      <c r="CM288" s="33"/>
      <c r="CN288" s="33"/>
      <c r="CO288" s="33"/>
      <c r="CP288" s="33"/>
      <c r="CQ288" s="33"/>
      <c r="CR288" s="33"/>
      <c r="CS288" s="33"/>
      <c r="CT288" s="33"/>
      <c r="CU288" s="33"/>
      <c r="CV288" s="33"/>
      <c r="CW288" s="33"/>
      <c r="CX288" s="33"/>
      <c r="CY288" s="33"/>
      <c r="CZ288" s="33"/>
      <c r="DA288" s="33"/>
      <c r="DB288" s="33"/>
      <c r="DC288" s="33"/>
      <c r="DD288" s="33"/>
      <c r="DE288" s="33"/>
      <c r="DF288" s="33"/>
      <c r="DG288" s="33"/>
      <c r="DH288" s="33"/>
      <c r="DI288" s="33"/>
      <c r="DJ288" s="33"/>
      <c r="DK288" s="33"/>
      <c r="DL288" s="33"/>
      <c r="DM288" s="33"/>
      <c r="DN288" s="33"/>
      <c r="DO288" s="33"/>
      <c r="DP288" s="33"/>
      <c r="DQ288" s="33"/>
    </row>
    <row r="289" spans="2:121" ht="14.4">
      <c r="B289" s="118">
        <v>31</v>
      </c>
      <c r="C289" s="113" t="s">
        <v>85</v>
      </c>
      <c r="D289" s="119">
        <v>0.16666666666666666</v>
      </c>
      <c r="E289" s="120">
        <v>0.66666666666666663</v>
      </c>
      <c r="F289" s="128">
        <f t="shared" si="297"/>
        <v>0.5</v>
      </c>
      <c r="G289" s="119" t="s">
        <v>111</v>
      </c>
      <c r="H289" s="120"/>
      <c r="I289" s="128">
        <f t="shared" si="298"/>
        <v>0</v>
      </c>
      <c r="J289" s="119" t="s">
        <v>111</v>
      </c>
      <c r="K289" s="120"/>
      <c r="L289" s="128">
        <f t="shared" si="299"/>
        <v>0</v>
      </c>
      <c r="M289" s="119" t="s">
        <v>111</v>
      </c>
      <c r="N289" s="120"/>
      <c r="O289" s="128">
        <f t="shared" si="308"/>
        <v>0</v>
      </c>
      <c r="P289" s="119">
        <v>0.16666666666666666</v>
      </c>
      <c r="Q289" s="120">
        <v>0.66666666666666663</v>
      </c>
      <c r="R289" s="128">
        <f t="shared" si="300"/>
        <v>0.5</v>
      </c>
      <c r="S289" s="124">
        <v>0.4375</v>
      </c>
      <c r="T289" s="120">
        <v>0.9375</v>
      </c>
      <c r="U289" s="128">
        <f t="shared" si="301"/>
        <v>0.5</v>
      </c>
      <c r="V289" s="119" t="s">
        <v>111</v>
      </c>
      <c r="W289" s="120"/>
      <c r="X289" s="128">
        <f t="shared" si="302"/>
        <v>0</v>
      </c>
      <c r="Y289" s="119" t="s">
        <v>111</v>
      </c>
      <c r="Z289" s="120"/>
      <c r="AA289" s="128">
        <f t="shared" si="303"/>
        <v>0</v>
      </c>
      <c r="AB289" s="119" t="s">
        <v>111</v>
      </c>
      <c r="AC289" s="120"/>
      <c r="AD289" s="128">
        <f t="shared" si="304"/>
        <v>0</v>
      </c>
      <c r="AE289" s="119" t="s">
        <v>111</v>
      </c>
      <c r="AF289" s="120"/>
      <c r="AG289" s="128">
        <f t="shared" si="305"/>
        <v>0</v>
      </c>
      <c r="AH289" s="119" t="s">
        <v>111</v>
      </c>
      <c r="AI289" s="120"/>
      <c r="AJ289" s="128">
        <f t="shared" si="306"/>
        <v>0</v>
      </c>
      <c r="AK289" s="119" t="s">
        <v>111</v>
      </c>
      <c r="AL289" s="120"/>
      <c r="AM289" s="128">
        <f t="shared" si="307"/>
        <v>0</v>
      </c>
      <c r="AN289" s="118">
        <v>31</v>
      </c>
      <c r="AO289" s="113" t="s">
        <v>85</v>
      </c>
      <c r="AQ289" s="33"/>
      <c r="AR289" s="33"/>
      <c r="AS289" s="33"/>
      <c r="AT289" s="33"/>
      <c r="AU289" s="33"/>
      <c r="AV289" s="33"/>
      <c r="AW289" s="33"/>
      <c r="AX289" s="33"/>
      <c r="AY289" s="33"/>
      <c r="AZ289" s="33"/>
      <c r="BA289" s="33"/>
      <c r="BB289" s="33"/>
      <c r="BC289" s="33"/>
      <c r="BD289" s="33"/>
      <c r="BE289" s="33"/>
      <c r="BF289" s="33"/>
      <c r="BG289" s="33"/>
      <c r="BH289" s="33"/>
      <c r="BI289" s="33"/>
      <c r="BJ289" s="33"/>
      <c r="BK289" s="33"/>
      <c r="BL289" s="33"/>
      <c r="BM289" s="33"/>
      <c r="BN289" s="33"/>
      <c r="BO289" s="33"/>
      <c r="BP289" s="33"/>
      <c r="BQ289" s="33"/>
      <c r="BR289" s="33"/>
      <c r="BS289" s="33"/>
      <c r="BT289" s="33"/>
      <c r="BU289" s="33"/>
      <c r="BV289" s="33"/>
      <c r="BW289" s="33"/>
      <c r="BX289" s="33"/>
      <c r="BY289" s="33"/>
      <c r="BZ289" s="33"/>
      <c r="CA289" s="33"/>
      <c r="CB289" s="33"/>
      <c r="CC289" s="33"/>
      <c r="CD289" s="33"/>
      <c r="CE289" s="33"/>
      <c r="CF289" s="33"/>
      <c r="CG289" s="33"/>
      <c r="CH289" s="33"/>
      <c r="CI289" s="33"/>
      <c r="CJ289" s="33"/>
      <c r="CK289" s="33"/>
      <c r="CL289" s="33"/>
      <c r="CM289" s="33"/>
      <c r="CN289" s="33"/>
      <c r="CO289" s="33"/>
      <c r="CP289" s="33"/>
      <c r="CQ289" s="33"/>
      <c r="CR289" s="33"/>
      <c r="CS289" s="33"/>
      <c r="CT289" s="33"/>
      <c r="CU289" s="33"/>
      <c r="CV289" s="33"/>
      <c r="CW289" s="33"/>
      <c r="CX289" s="33"/>
      <c r="CY289" s="33"/>
      <c r="CZ289" s="33"/>
      <c r="DA289" s="33"/>
      <c r="DB289" s="33"/>
      <c r="DC289" s="33"/>
      <c r="DD289" s="33"/>
      <c r="DE289" s="33"/>
      <c r="DF289" s="33"/>
      <c r="DG289" s="33"/>
      <c r="DH289" s="33"/>
      <c r="DI289" s="33"/>
      <c r="DJ289" s="33"/>
      <c r="DK289" s="33"/>
      <c r="DL289" s="33"/>
      <c r="DM289" s="33"/>
      <c r="DN289" s="33"/>
      <c r="DO289" s="33"/>
      <c r="DP289" s="33"/>
      <c r="DQ289" s="33"/>
    </row>
    <row r="290" spans="2:121" ht="15" customHeight="1" thickBot="1">
      <c r="B290" s="85"/>
      <c r="C290" s="39"/>
      <c r="D290" s="77"/>
      <c r="E290" s="78"/>
      <c r="F290" s="50"/>
      <c r="G290" s="77"/>
      <c r="H290" s="78"/>
      <c r="I290" s="50"/>
      <c r="J290" s="77"/>
      <c r="K290" s="78"/>
      <c r="L290" s="50"/>
      <c r="M290" s="77"/>
      <c r="N290" s="78"/>
      <c r="O290" s="50"/>
      <c r="P290" s="77"/>
      <c r="Q290" s="78"/>
      <c r="R290" s="50"/>
      <c r="S290" s="82"/>
      <c r="T290" s="83"/>
      <c r="U290" s="50"/>
      <c r="V290" s="77"/>
      <c r="W290" s="78"/>
      <c r="X290" s="50"/>
      <c r="Y290" s="77"/>
      <c r="Z290" s="78"/>
      <c r="AA290" s="50"/>
      <c r="AB290" s="77"/>
      <c r="AC290" s="78"/>
      <c r="AD290" s="50"/>
      <c r="AE290" s="77"/>
      <c r="AF290" s="78"/>
      <c r="AG290" s="50"/>
      <c r="AH290" s="77"/>
      <c r="AI290" s="78"/>
      <c r="AJ290" s="50"/>
      <c r="AK290" s="77"/>
      <c r="AL290" s="78"/>
      <c r="AM290" s="50"/>
      <c r="AN290" s="85"/>
      <c r="AO290" s="39"/>
      <c r="AQ290" s="33"/>
      <c r="AR290" s="33"/>
      <c r="AS290" s="33"/>
      <c r="AT290" s="33"/>
      <c r="AU290" s="33"/>
      <c r="AV290" s="33"/>
      <c r="AW290" s="33"/>
      <c r="AX290" s="33"/>
      <c r="AY290" s="33"/>
      <c r="AZ290" s="33"/>
      <c r="BA290" s="33"/>
      <c r="BB290" s="33"/>
      <c r="BC290" s="33"/>
      <c r="BD290" s="33"/>
      <c r="BE290" s="33"/>
      <c r="BF290" s="33"/>
      <c r="BG290" s="33"/>
      <c r="BH290" s="33"/>
      <c r="BI290" s="33"/>
      <c r="BJ290" s="33"/>
      <c r="BK290" s="33"/>
      <c r="BL290" s="33"/>
      <c r="BM290" s="33"/>
      <c r="BN290" s="33"/>
      <c r="BO290" s="33"/>
      <c r="BP290" s="33"/>
      <c r="BQ290" s="33"/>
      <c r="BR290" s="33"/>
      <c r="BS290" s="33"/>
      <c r="BT290" s="33"/>
      <c r="BU290" s="33"/>
      <c r="BV290" s="33"/>
      <c r="BW290" s="33"/>
      <c r="BX290" s="33"/>
      <c r="BY290" s="33"/>
      <c r="BZ290" s="33"/>
      <c r="CA290" s="33"/>
      <c r="CB290" s="33"/>
      <c r="CC290" s="33"/>
      <c r="CD290" s="33"/>
      <c r="CE290" s="33"/>
      <c r="CF290" s="33"/>
      <c r="CG290" s="33"/>
      <c r="CH290" s="33"/>
      <c r="CI290" s="33"/>
      <c r="CJ290" s="33"/>
      <c r="CK290" s="33"/>
      <c r="CL290" s="33"/>
      <c r="CM290" s="33"/>
      <c r="CN290" s="33"/>
      <c r="CO290" s="33"/>
      <c r="CP290" s="33"/>
      <c r="CQ290" s="33"/>
      <c r="CR290" s="33"/>
      <c r="CS290" s="33"/>
      <c r="CT290" s="33"/>
      <c r="CU290" s="33"/>
      <c r="CV290" s="33"/>
      <c r="CW290" s="33"/>
      <c r="CX290" s="33"/>
      <c r="CY290" s="33"/>
      <c r="CZ290" s="33"/>
      <c r="DA290" s="33"/>
      <c r="DB290" s="33"/>
      <c r="DC290" s="33"/>
      <c r="DD290" s="33"/>
      <c r="DE290" s="33"/>
      <c r="DF290" s="33"/>
      <c r="DG290" s="33"/>
      <c r="DH290" s="33"/>
      <c r="DI290" s="33"/>
      <c r="DJ290" s="33"/>
      <c r="DK290" s="33"/>
      <c r="DL290" s="33"/>
      <c r="DM290" s="33"/>
      <c r="DN290" s="33"/>
      <c r="DO290" s="33"/>
      <c r="DP290" s="33"/>
      <c r="DQ290" s="33"/>
    </row>
    <row r="291" spans="2:121" ht="15" customHeight="1" thickBot="1">
      <c r="B291" s="174"/>
      <c r="C291" s="174"/>
      <c r="D291" s="234" t="s">
        <v>106</v>
      </c>
      <c r="E291" s="235"/>
      <c r="F291" s="236"/>
      <c r="G291" s="218" t="s">
        <v>48</v>
      </c>
      <c r="H291" s="219"/>
      <c r="I291" s="220"/>
      <c r="J291" s="315" t="s">
        <v>123</v>
      </c>
      <c r="K291" s="316"/>
      <c r="L291" s="317"/>
      <c r="M291" s="218" t="s">
        <v>86</v>
      </c>
      <c r="N291" s="219"/>
      <c r="O291" s="220"/>
      <c r="P291" s="297" t="s">
        <v>136</v>
      </c>
      <c r="Q291" s="298"/>
      <c r="R291" s="299"/>
      <c r="S291" s="218" t="s">
        <v>112</v>
      </c>
      <c r="T291" s="219"/>
      <c r="U291" s="220"/>
      <c r="V291" s="218" t="s">
        <v>65</v>
      </c>
      <c r="W291" s="219"/>
      <c r="X291" s="220"/>
      <c r="Y291" s="218" t="s">
        <v>91</v>
      </c>
      <c r="Z291" s="219"/>
      <c r="AA291" s="220"/>
      <c r="AB291" s="218" t="s">
        <v>75</v>
      </c>
      <c r="AC291" s="219"/>
      <c r="AD291" s="220"/>
      <c r="AE291" s="218" t="s">
        <v>78</v>
      </c>
      <c r="AF291" s="219"/>
      <c r="AG291" s="220"/>
      <c r="AH291" s="218" t="s">
        <v>77</v>
      </c>
      <c r="AI291" s="219"/>
      <c r="AJ291" s="220"/>
      <c r="AK291" s="218" t="s">
        <v>87</v>
      </c>
      <c r="AL291" s="219"/>
      <c r="AM291" s="220"/>
      <c r="AN291" s="168" t="s">
        <v>0</v>
      </c>
      <c r="AO291" s="168" t="s">
        <v>1</v>
      </c>
      <c r="AQ291" s="33"/>
      <c r="AR291" s="33"/>
      <c r="AS291" s="33"/>
      <c r="AT291" s="33"/>
      <c r="AU291" s="33"/>
      <c r="AV291" s="33"/>
      <c r="AW291" s="33"/>
      <c r="AX291" s="33"/>
      <c r="AY291" s="33"/>
      <c r="AZ291" s="33"/>
      <c r="BA291" s="33"/>
      <c r="BB291" s="33"/>
      <c r="BC291" s="33"/>
      <c r="BD291" s="33"/>
      <c r="BE291" s="33"/>
      <c r="BF291" s="33"/>
      <c r="BG291" s="33"/>
      <c r="BH291" s="33"/>
      <c r="BI291" s="33"/>
      <c r="BJ291" s="33"/>
      <c r="BK291" s="33"/>
      <c r="BL291" s="33"/>
      <c r="BM291" s="33"/>
      <c r="BN291" s="33"/>
      <c r="BO291" s="33"/>
      <c r="BP291" s="33"/>
      <c r="BQ291" s="33"/>
      <c r="BR291" s="33"/>
      <c r="BS291" s="33"/>
      <c r="BT291" s="33"/>
      <c r="BU291" s="33"/>
      <c r="BV291" s="33"/>
      <c r="BW291" s="33"/>
      <c r="BX291" s="33"/>
      <c r="BY291" s="33"/>
      <c r="BZ291" s="33"/>
      <c r="CA291" s="33"/>
      <c r="CB291" s="33"/>
      <c r="CC291" s="33"/>
      <c r="CD291" s="33"/>
      <c r="CE291" s="33"/>
      <c r="CF291" s="33"/>
      <c r="CG291" s="33"/>
      <c r="CH291" s="33"/>
      <c r="CI291" s="33"/>
      <c r="CJ291" s="33"/>
      <c r="CK291" s="33"/>
      <c r="CL291" s="33"/>
      <c r="CM291" s="33"/>
      <c r="CN291" s="33"/>
      <c r="CO291" s="33"/>
      <c r="CP291" s="33"/>
      <c r="CQ291" s="33"/>
      <c r="CR291" s="33"/>
      <c r="CS291" s="33"/>
      <c r="CT291" s="33"/>
      <c r="CU291" s="33"/>
      <c r="CV291" s="33"/>
      <c r="CW291" s="33"/>
      <c r="CX291" s="33"/>
      <c r="CY291" s="33"/>
      <c r="CZ291" s="33"/>
      <c r="DA291" s="33"/>
      <c r="DB291" s="33"/>
      <c r="DC291" s="33"/>
      <c r="DD291" s="33"/>
      <c r="DE291" s="33"/>
      <c r="DF291" s="33"/>
      <c r="DG291" s="33"/>
      <c r="DH291" s="33"/>
      <c r="DI291" s="33"/>
      <c r="DJ291" s="33"/>
      <c r="DK291" s="33"/>
      <c r="DL291" s="33"/>
      <c r="DM291" s="33"/>
      <c r="DN291" s="33"/>
      <c r="DO291" s="33"/>
      <c r="DP291" s="33"/>
      <c r="DQ291" s="33"/>
    </row>
    <row r="292" spans="2:121" ht="15" customHeight="1" thickBot="1">
      <c r="B292" s="172"/>
      <c r="C292" s="172"/>
      <c r="D292" s="237"/>
      <c r="E292" s="238"/>
      <c r="F292" s="239"/>
      <c r="G292" s="221"/>
      <c r="H292" s="222"/>
      <c r="I292" s="223"/>
      <c r="J292" s="318"/>
      <c r="K292" s="319"/>
      <c r="L292" s="320"/>
      <c r="M292" s="221"/>
      <c r="N292" s="222"/>
      <c r="O292" s="223"/>
      <c r="P292" s="300"/>
      <c r="Q292" s="301"/>
      <c r="R292" s="302"/>
      <c r="S292" s="221"/>
      <c r="T292" s="222"/>
      <c r="U292" s="223"/>
      <c r="V292" s="221"/>
      <c r="W292" s="222"/>
      <c r="X292" s="223"/>
      <c r="Y292" s="221"/>
      <c r="Z292" s="222"/>
      <c r="AA292" s="223"/>
      <c r="AB292" s="221"/>
      <c r="AC292" s="222"/>
      <c r="AD292" s="223"/>
      <c r="AE292" s="221"/>
      <c r="AF292" s="222"/>
      <c r="AG292" s="223"/>
      <c r="AH292" s="221"/>
      <c r="AI292" s="222"/>
      <c r="AJ292" s="223"/>
      <c r="AK292" s="221"/>
      <c r="AL292" s="222"/>
      <c r="AM292" s="223"/>
      <c r="AN292" s="168"/>
      <c r="AO292" s="168"/>
      <c r="AQ292" s="33"/>
      <c r="AR292" s="33"/>
      <c r="AS292" s="33"/>
      <c r="AT292" s="33"/>
      <c r="AU292" s="33"/>
      <c r="AV292" s="33"/>
      <c r="AW292" s="33"/>
      <c r="AX292" s="33"/>
      <c r="AY292" s="33"/>
      <c r="AZ292" s="33"/>
      <c r="BA292" s="33"/>
      <c r="BB292" s="33"/>
      <c r="BC292" s="33"/>
      <c r="BD292" s="33"/>
      <c r="BE292" s="33"/>
      <c r="BF292" s="33"/>
      <c r="BG292" s="33"/>
      <c r="BH292" s="33"/>
      <c r="BI292" s="33"/>
      <c r="BJ292" s="33"/>
      <c r="BK292" s="33"/>
      <c r="BL292" s="33"/>
      <c r="BM292" s="33"/>
      <c r="BN292" s="33"/>
      <c r="BO292" s="33"/>
      <c r="BP292" s="33"/>
      <c r="BQ292" s="33"/>
      <c r="BR292" s="33"/>
      <c r="BS292" s="33"/>
      <c r="BT292" s="33"/>
      <c r="BU292" s="33"/>
      <c r="BV292" s="33"/>
      <c r="BW292" s="33"/>
      <c r="BX292" s="33"/>
      <c r="BY292" s="33"/>
      <c r="BZ292" s="33"/>
      <c r="CA292" s="33"/>
      <c r="CB292" s="33"/>
      <c r="CC292" s="33"/>
      <c r="CD292" s="33"/>
      <c r="CE292" s="33"/>
      <c r="CF292" s="33"/>
      <c r="CG292" s="33"/>
      <c r="CH292" s="33"/>
      <c r="CI292" s="33"/>
      <c r="CJ292" s="33"/>
      <c r="CK292" s="33"/>
      <c r="CL292" s="33"/>
      <c r="CM292" s="33"/>
      <c r="CN292" s="33"/>
      <c r="CO292" s="33"/>
      <c r="CP292" s="33"/>
      <c r="CQ292" s="33"/>
      <c r="CR292" s="33"/>
      <c r="CS292" s="33"/>
      <c r="CT292" s="33"/>
      <c r="CU292" s="33"/>
      <c r="CV292" s="33"/>
      <c r="CW292" s="33"/>
      <c r="CX292" s="33"/>
      <c r="CY292" s="33"/>
      <c r="CZ292" s="33"/>
      <c r="DA292" s="33"/>
      <c r="DB292" s="33"/>
      <c r="DC292" s="33"/>
      <c r="DD292" s="33"/>
      <c r="DE292" s="33"/>
      <c r="DF292" s="33"/>
      <c r="DG292" s="33"/>
      <c r="DH292" s="33"/>
      <c r="DI292" s="33"/>
      <c r="DJ292" s="33"/>
      <c r="DK292" s="33"/>
      <c r="DL292" s="33"/>
      <c r="DM292" s="33"/>
      <c r="DN292" s="33"/>
      <c r="DO292" s="33"/>
      <c r="DP292" s="33"/>
      <c r="DQ292" s="33"/>
    </row>
    <row r="293" spans="2:121" ht="15" customHeight="1" thickBot="1">
      <c r="B293" s="172"/>
      <c r="C293" s="172"/>
      <c r="D293" s="169"/>
      <c r="E293" s="170"/>
      <c r="F293" s="171"/>
      <c r="G293" s="169"/>
      <c r="H293" s="170"/>
      <c r="I293" s="171"/>
      <c r="J293" s="169"/>
      <c r="K293" s="170"/>
      <c r="L293" s="171"/>
      <c r="M293" s="169"/>
      <c r="N293" s="170"/>
      <c r="O293" s="171"/>
      <c r="P293" s="169"/>
      <c r="Q293" s="170"/>
      <c r="R293" s="171"/>
      <c r="S293" s="169"/>
      <c r="T293" s="170"/>
      <c r="U293" s="171"/>
      <c r="V293" s="169"/>
      <c r="W293" s="170"/>
      <c r="X293" s="171"/>
      <c r="Y293" s="169"/>
      <c r="Z293" s="170"/>
      <c r="AA293" s="171"/>
      <c r="AB293" s="169"/>
      <c r="AC293" s="170"/>
      <c r="AD293" s="171"/>
      <c r="AE293" s="169"/>
      <c r="AF293" s="170"/>
      <c r="AG293" s="171"/>
      <c r="AH293" s="169"/>
      <c r="AI293" s="170"/>
      <c r="AJ293" s="171"/>
      <c r="AK293" s="169"/>
      <c r="AL293" s="170"/>
      <c r="AM293" s="171"/>
      <c r="AN293" s="168"/>
      <c r="AO293" s="168"/>
      <c r="AQ293" s="33"/>
      <c r="AR293" s="33"/>
      <c r="AS293" s="33"/>
      <c r="AT293" s="33"/>
      <c r="AU293" s="33"/>
      <c r="AV293" s="33"/>
      <c r="AW293" s="33"/>
      <c r="AX293" s="33"/>
      <c r="AY293" s="33"/>
      <c r="AZ293" s="33"/>
      <c r="BA293" s="33"/>
      <c r="BB293" s="33"/>
      <c r="BC293" s="33"/>
      <c r="BD293" s="33"/>
      <c r="BE293" s="33"/>
      <c r="BF293" s="33"/>
      <c r="BG293" s="33"/>
      <c r="BH293" s="33"/>
      <c r="BI293" s="33"/>
      <c r="BJ293" s="33"/>
      <c r="BK293" s="33"/>
      <c r="BL293" s="33"/>
      <c r="BM293" s="33"/>
      <c r="BN293" s="33"/>
      <c r="BO293" s="33"/>
      <c r="BP293" s="33"/>
      <c r="BQ293" s="33"/>
      <c r="BR293" s="33"/>
      <c r="BS293" s="33"/>
      <c r="BT293" s="33"/>
      <c r="BU293" s="33"/>
      <c r="BV293" s="33"/>
      <c r="BW293" s="33"/>
      <c r="BX293" s="33"/>
      <c r="BY293" s="33"/>
      <c r="BZ293" s="33"/>
      <c r="CA293" s="33"/>
      <c r="CB293" s="33"/>
      <c r="CC293" s="33"/>
      <c r="CD293" s="33"/>
      <c r="CE293" s="33"/>
      <c r="CF293" s="33"/>
      <c r="CG293" s="33"/>
      <c r="CH293" s="33"/>
      <c r="CI293" s="33"/>
      <c r="CJ293" s="33"/>
      <c r="CK293" s="33"/>
      <c r="CL293" s="33"/>
      <c r="CM293" s="33"/>
      <c r="CN293" s="33"/>
      <c r="CO293" s="33"/>
      <c r="CP293" s="33"/>
      <c r="CQ293" s="33"/>
      <c r="CR293" s="33"/>
      <c r="CS293" s="33"/>
      <c r="CT293" s="33"/>
      <c r="CU293" s="33"/>
      <c r="CV293" s="33"/>
      <c r="CW293" s="33"/>
      <c r="CX293" s="33"/>
      <c r="CY293" s="33"/>
      <c r="CZ293" s="33"/>
      <c r="DA293" s="33"/>
      <c r="DB293" s="33"/>
      <c r="DC293" s="33"/>
      <c r="DD293" s="33"/>
      <c r="DE293" s="33"/>
      <c r="DF293" s="33"/>
      <c r="DG293" s="33"/>
      <c r="DH293" s="33"/>
      <c r="DI293" s="33"/>
      <c r="DJ293" s="33"/>
      <c r="DK293" s="33"/>
      <c r="DL293" s="33"/>
      <c r="DM293" s="33"/>
      <c r="DN293" s="33"/>
      <c r="DO293" s="33"/>
      <c r="DP293" s="33"/>
      <c r="DQ293" s="33"/>
    </row>
    <row r="294" spans="2:121" ht="15" customHeight="1" thickBot="1">
      <c r="B294" s="173"/>
      <c r="C294" s="173"/>
      <c r="D294" s="9"/>
      <c r="E294" s="6"/>
      <c r="F294" s="7"/>
      <c r="G294" s="9"/>
      <c r="H294" s="6"/>
      <c r="I294" s="7"/>
      <c r="J294" s="9"/>
      <c r="K294" s="6"/>
      <c r="L294" s="7"/>
      <c r="M294" s="9"/>
      <c r="N294" s="6"/>
      <c r="O294" s="7"/>
      <c r="P294" s="9"/>
      <c r="Q294" s="6"/>
      <c r="R294" s="7"/>
      <c r="S294" s="5"/>
      <c r="T294" s="6"/>
      <c r="U294" s="7"/>
      <c r="V294" s="9"/>
      <c r="W294" s="6"/>
      <c r="X294" s="7"/>
      <c r="Y294" s="9"/>
      <c r="Z294" s="6"/>
      <c r="AA294" s="7"/>
      <c r="AB294" s="5"/>
      <c r="AC294" s="6"/>
      <c r="AD294" s="7"/>
      <c r="AE294" s="9"/>
      <c r="AF294" s="6"/>
      <c r="AG294" s="7"/>
      <c r="AH294" s="9"/>
      <c r="AI294" s="6"/>
      <c r="AJ294" s="7"/>
      <c r="AK294" s="9"/>
      <c r="AL294" s="6"/>
      <c r="AM294" s="7"/>
      <c r="AN294" s="168"/>
      <c r="AO294" s="168"/>
      <c r="AQ294" s="33"/>
      <c r="AR294" s="33"/>
      <c r="AS294" s="33"/>
      <c r="AT294" s="33"/>
      <c r="AU294" s="33"/>
      <c r="AV294" s="33"/>
      <c r="AW294" s="33"/>
      <c r="AX294" s="33"/>
      <c r="AY294" s="33"/>
      <c r="AZ294" s="33"/>
      <c r="BA294" s="33"/>
      <c r="BB294" s="33"/>
      <c r="BC294" s="33"/>
      <c r="BD294" s="33"/>
      <c r="BE294" s="33"/>
      <c r="BF294" s="33"/>
      <c r="BG294" s="33"/>
      <c r="BH294" s="33"/>
      <c r="BI294" s="33"/>
      <c r="BJ294" s="33"/>
      <c r="BK294" s="33"/>
      <c r="BL294" s="33"/>
      <c r="BM294" s="33"/>
      <c r="BN294" s="33"/>
      <c r="BO294" s="33"/>
      <c r="BP294" s="33"/>
      <c r="BQ294" s="33"/>
      <c r="BR294" s="33"/>
      <c r="BS294" s="33"/>
      <c r="BT294" s="33"/>
      <c r="BU294" s="33"/>
      <c r="BV294" s="33"/>
      <c r="BW294" s="33"/>
      <c r="BX294" s="33"/>
      <c r="BY294" s="33"/>
      <c r="BZ294" s="33"/>
      <c r="CA294" s="33"/>
      <c r="CB294" s="33"/>
      <c r="CC294" s="33"/>
      <c r="CD294" s="33"/>
      <c r="CE294" s="33"/>
      <c r="CF294" s="33"/>
      <c r="CG294" s="33"/>
      <c r="CH294" s="33"/>
      <c r="CI294" s="33"/>
      <c r="CJ294" s="33"/>
      <c r="CK294" s="33"/>
      <c r="CL294" s="33"/>
      <c r="CM294" s="33"/>
      <c r="CN294" s="33"/>
      <c r="CO294" s="33"/>
      <c r="CP294" s="33"/>
      <c r="CQ294" s="33"/>
      <c r="CR294" s="33"/>
      <c r="CS294" s="33"/>
      <c r="CT294" s="33"/>
      <c r="CU294" s="33"/>
      <c r="CV294" s="33"/>
      <c r="CW294" s="33"/>
      <c r="CX294" s="33"/>
      <c r="CY294" s="33"/>
      <c r="CZ294" s="33"/>
      <c r="DA294" s="33"/>
      <c r="DB294" s="33"/>
      <c r="DC294" s="33"/>
      <c r="DD294" s="33"/>
      <c r="DE294" s="33"/>
      <c r="DF294" s="33"/>
      <c r="DG294" s="33"/>
      <c r="DH294" s="33"/>
      <c r="DI294" s="33"/>
      <c r="DJ294" s="33"/>
      <c r="DK294" s="33"/>
      <c r="DL294" s="33"/>
      <c r="DM294" s="33"/>
      <c r="DN294" s="33"/>
      <c r="DO294" s="33"/>
      <c r="DP294" s="33"/>
      <c r="DQ294" s="33"/>
    </row>
    <row r="295" spans="2:121" ht="15" customHeight="1" thickBot="1">
      <c r="AQ295" s="33"/>
      <c r="AR295" s="33"/>
      <c r="AS295" s="33"/>
      <c r="AT295" s="33"/>
      <c r="AU295" s="33"/>
      <c r="AV295" s="33"/>
      <c r="AW295" s="33"/>
      <c r="AX295" s="33"/>
      <c r="AY295" s="33"/>
      <c r="AZ295" s="33"/>
      <c r="BA295" s="33"/>
      <c r="BB295" s="33"/>
      <c r="BC295" s="33"/>
      <c r="BD295" s="33"/>
      <c r="BE295" s="33"/>
      <c r="BF295" s="33"/>
      <c r="BG295" s="33"/>
      <c r="BH295" s="33"/>
      <c r="BI295" s="33"/>
      <c r="BJ295" s="33"/>
      <c r="BK295" s="33"/>
      <c r="BL295" s="33"/>
      <c r="BM295" s="33"/>
      <c r="BN295" s="33"/>
      <c r="BO295" s="33"/>
      <c r="BP295" s="33"/>
      <c r="BQ295" s="33"/>
      <c r="BR295" s="33"/>
      <c r="BS295" s="33"/>
      <c r="BT295" s="33"/>
      <c r="BU295" s="33"/>
      <c r="BV295" s="33"/>
      <c r="BW295" s="33"/>
      <c r="BX295" s="33"/>
      <c r="BY295" s="33"/>
      <c r="BZ295" s="33"/>
      <c r="CA295" s="33"/>
      <c r="CB295" s="33"/>
      <c r="CC295" s="33"/>
      <c r="CD295" s="33"/>
      <c r="CE295" s="33"/>
      <c r="CF295" s="33"/>
      <c r="CG295" s="33"/>
      <c r="CH295" s="33"/>
      <c r="CI295" s="33"/>
      <c r="CJ295" s="33"/>
      <c r="CK295" s="33"/>
      <c r="CL295" s="33"/>
      <c r="CM295" s="33"/>
      <c r="CN295" s="33"/>
      <c r="CO295" s="33"/>
      <c r="CP295" s="33"/>
      <c r="CQ295" s="33"/>
      <c r="CR295" s="33"/>
      <c r="CS295" s="33"/>
      <c r="CT295" s="33"/>
      <c r="CU295" s="33"/>
      <c r="CV295" s="33"/>
      <c r="CW295" s="33"/>
      <c r="CX295" s="33"/>
      <c r="CY295" s="33"/>
      <c r="CZ295" s="33"/>
      <c r="DA295" s="33"/>
      <c r="DB295" s="33"/>
      <c r="DC295" s="33"/>
      <c r="DD295" s="33"/>
      <c r="DE295" s="33"/>
      <c r="DF295" s="33"/>
      <c r="DG295" s="33"/>
      <c r="DH295" s="33"/>
      <c r="DI295" s="33"/>
      <c r="DJ295" s="33"/>
      <c r="DK295" s="33"/>
      <c r="DL295" s="33"/>
      <c r="DM295" s="33"/>
      <c r="DN295" s="33"/>
      <c r="DO295" s="33"/>
      <c r="DP295" s="33"/>
      <c r="DQ295" s="33"/>
    </row>
    <row r="296" spans="2:121" ht="15" customHeight="1" thickBot="1">
      <c r="B296" s="168" t="s">
        <v>0</v>
      </c>
      <c r="C296" s="168" t="s">
        <v>1</v>
      </c>
      <c r="D296" s="218" t="s">
        <v>73</v>
      </c>
      <c r="E296" s="219"/>
      <c r="F296" s="220"/>
      <c r="G296" s="218" t="s">
        <v>71</v>
      </c>
      <c r="H296" s="219"/>
      <c r="I296" s="220"/>
      <c r="J296" s="218" t="s">
        <v>110</v>
      </c>
      <c r="K296" s="219"/>
      <c r="L296" s="220"/>
      <c r="M296" s="218" t="s">
        <v>69</v>
      </c>
      <c r="N296" s="219"/>
      <c r="O296" s="220"/>
      <c r="P296" s="187" t="s">
        <v>115</v>
      </c>
      <c r="Q296" s="188"/>
      <c r="R296" s="189"/>
      <c r="S296" s="218" t="s">
        <v>88</v>
      </c>
      <c r="T296" s="219"/>
      <c r="U296" s="220"/>
      <c r="V296" s="187" t="s">
        <v>108</v>
      </c>
      <c r="W296" s="188"/>
      <c r="X296" s="189"/>
      <c r="Y296" s="218" t="s">
        <v>94</v>
      </c>
      <c r="Z296" s="219"/>
      <c r="AA296" s="220"/>
      <c r="AB296" s="218" t="s">
        <v>79</v>
      </c>
      <c r="AC296" s="219"/>
      <c r="AD296" s="220"/>
      <c r="AE296" s="218" t="s">
        <v>80</v>
      </c>
      <c r="AF296" s="219"/>
      <c r="AG296" s="220"/>
      <c r="AH296" s="218" t="s">
        <v>127</v>
      </c>
      <c r="AI296" s="219"/>
      <c r="AJ296" s="220"/>
      <c r="AK296" s="218" t="s">
        <v>81</v>
      </c>
      <c r="AL296" s="219"/>
      <c r="AM296" s="220"/>
      <c r="AN296" s="168" t="s">
        <v>0</v>
      </c>
      <c r="AO296" s="168" t="s">
        <v>1</v>
      </c>
      <c r="AQ296" s="33"/>
      <c r="AR296" s="33"/>
      <c r="AS296" s="33"/>
      <c r="AT296" s="33"/>
      <c r="AU296" s="33"/>
      <c r="AV296" s="33"/>
      <c r="AW296" s="33"/>
      <c r="AX296" s="33"/>
      <c r="AY296" s="33"/>
      <c r="AZ296" s="33"/>
      <c r="BA296" s="33"/>
      <c r="BB296" s="33"/>
      <c r="BC296" s="33"/>
      <c r="BD296" s="33"/>
      <c r="BE296" s="33"/>
      <c r="BF296" s="33"/>
      <c r="BG296" s="33"/>
      <c r="BH296" s="33"/>
      <c r="BI296" s="33"/>
      <c r="BJ296" s="33"/>
      <c r="BK296" s="33"/>
      <c r="BL296" s="33"/>
      <c r="BM296" s="33"/>
      <c r="BN296" s="33"/>
      <c r="BO296" s="33"/>
      <c r="BP296" s="33"/>
      <c r="BQ296" s="33"/>
      <c r="BR296" s="33"/>
      <c r="BS296" s="33"/>
      <c r="BT296" s="33"/>
      <c r="BU296" s="33"/>
      <c r="BV296" s="33"/>
      <c r="BW296" s="33"/>
      <c r="BX296" s="33"/>
      <c r="BY296" s="33"/>
      <c r="BZ296" s="33"/>
      <c r="CA296" s="33"/>
      <c r="CB296" s="33"/>
      <c r="CC296" s="33"/>
      <c r="CD296" s="33"/>
      <c r="CE296" s="33"/>
      <c r="CF296" s="33"/>
      <c r="CG296" s="33"/>
      <c r="CH296" s="33"/>
      <c r="CI296" s="33"/>
      <c r="CJ296" s="33"/>
      <c r="CK296" s="33"/>
      <c r="CL296" s="33"/>
      <c r="CM296" s="33"/>
      <c r="CN296" s="33"/>
      <c r="CO296" s="33"/>
      <c r="CP296" s="33"/>
      <c r="CQ296" s="33"/>
      <c r="CR296" s="33"/>
      <c r="CS296" s="33"/>
      <c r="CT296" s="33"/>
      <c r="CU296" s="33"/>
      <c r="CV296" s="33"/>
      <c r="CW296" s="33"/>
      <c r="CX296" s="33"/>
      <c r="CY296" s="33"/>
      <c r="CZ296" s="33"/>
      <c r="DA296" s="33"/>
      <c r="DB296" s="33"/>
      <c r="DC296" s="33"/>
      <c r="DD296" s="33"/>
      <c r="DE296" s="33"/>
      <c r="DF296" s="33"/>
      <c r="DG296" s="33"/>
      <c r="DH296" s="33"/>
      <c r="DI296" s="33"/>
      <c r="DJ296" s="33"/>
      <c r="DK296" s="33"/>
      <c r="DL296" s="33"/>
      <c r="DM296" s="33"/>
      <c r="DN296" s="33"/>
      <c r="DO296" s="33"/>
      <c r="DP296" s="33"/>
      <c r="DQ296" s="33"/>
    </row>
    <row r="297" spans="2:121" ht="15" customHeight="1" thickBot="1">
      <c r="B297" s="168"/>
      <c r="C297" s="168"/>
      <c r="D297" s="221"/>
      <c r="E297" s="222"/>
      <c r="F297" s="223"/>
      <c r="G297" s="221"/>
      <c r="H297" s="222"/>
      <c r="I297" s="223"/>
      <c r="J297" s="221"/>
      <c r="K297" s="222"/>
      <c r="L297" s="223"/>
      <c r="M297" s="221"/>
      <c r="N297" s="222"/>
      <c r="O297" s="223"/>
      <c r="P297" s="190"/>
      <c r="Q297" s="191"/>
      <c r="R297" s="192"/>
      <c r="S297" s="221"/>
      <c r="T297" s="222"/>
      <c r="U297" s="223"/>
      <c r="V297" s="190"/>
      <c r="W297" s="191"/>
      <c r="X297" s="192"/>
      <c r="Y297" s="221"/>
      <c r="Z297" s="222"/>
      <c r="AA297" s="223"/>
      <c r="AB297" s="221"/>
      <c r="AC297" s="222"/>
      <c r="AD297" s="223"/>
      <c r="AE297" s="221"/>
      <c r="AF297" s="222"/>
      <c r="AG297" s="223"/>
      <c r="AH297" s="221"/>
      <c r="AI297" s="222"/>
      <c r="AJ297" s="223"/>
      <c r="AK297" s="221"/>
      <c r="AL297" s="222"/>
      <c r="AM297" s="223"/>
      <c r="AN297" s="168"/>
      <c r="AO297" s="168"/>
      <c r="AQ297" s="33"/>
      <c r="AR297" s="33"/>
      <c r="AS297" s="33"/>
      <c r="AT297" s="33"/>
      <c r="AU297" s="33"/>
      <c r="AV297" s="33"/>
      <c r="AW297" s="33"/>
      <c r="AX297" s="33"/>
      <c r="AY297" s="33"/>
      <c r="AZ297" s="33"/>
      <c r="BA297" s="33"/>
      <c r="BB297" s="33"/>
      <c r="BC297" s="33"/>
      <c r="BD297" s="33"/>
      <c r="BE297" s="33"/>
      <c r="BF297" s="33"/>
      <c r="BG297" s="33"/>
      <c r="BH297" s="33"/>
      <c r="BI297" s="33"/>
      <c r="BJ297" s="33"/>
      <c r="BK297" s="33"/>
      <c r="BL297" s="33"/>
      <c r="BM297" s="33"/>
      <c r="BN297" s="33"/>
      <c r="BO297" s="33"/>
      <c r="BP297" s="33"/>
      <c r="BQ297" s="33"/>
      <c r="BR297" s="33"/>
      <c r="BS297" s="33"/>
      <c r="BT297" s="33"/>
      <c r="BU297" s="33"/>
      <c r="BV297" s="33"/>
      <c r="BW297" s="33"/>
      <c r="BX297" s="33"/>
      <c r="BY297" s="33"/>
      <c r="BZ297" s="33"/>
      <c r="CA297" s="33"/>
      <c r="CB297" s="33"/>
      <c r="CC297" s="33"/>
      <c r="CD297" s="33"/>
      <c r="CE297" s="33"/>
      <c r="CF297" s="33"/>
      <c r="CG297" s="33"/>
      <c r="CH297" s="33"/>
      <c r="CI297" s="33"/>
      <c r="CJ297" s="33"/>
      <c r="CK297" s="33"/>
      <c r="CL297" s="33"/>
      <c r="CM297" s="33"/>
      <c r="CN297" s="33"/>
      <c r="CO297" s="33"/>
      <c r="CP297" s="33"/>
      <c r="CQ297" s="33"/>
      <c r="CR297" s="33"/>
      <c r="CS297" s="33"/>
      <c r="CT297" s="33"/>
      <c r="CU297" s="33"/>
      <c r="CV297" s="33"/>
      <c r="CW297" s="33"/>
      <c r="CX297" s="33"/>
      <c r="CY297" s="33"/>
      <c r="CZ297" s="33"/>
      <c r="DA297" s="33"/>
      <c r="DB297" s="33"/>
      <c r="DC297" s="33"/>
      <c r="DD297" s="33"/>
      <c r="DE297" s="33"/>
      <c r="DF297" s="33"/>
      <c r="DG297" s="33"/>
      <c r="DH297" s="33"/>
      <c r="DI297" s="33"/>
      <c r="DJ297" s="33"/>
      <c r="DK297" s="33"/>
      <c r="DL297" s="33"/>
      <c r="DM297" s="33"/>
      <c r="DN297" s="33"/>
      <c r="DO297" s="33"/>
      <c r="DP297" s="33"/>
      <c r="DQ297" s="33"/>
    </row>
    <row r="298" spans="2:121" ht="15" customHeight="1" thickBot="1">
      <c r="B298" s="168"/>
      <c r="C298" s="208"/>
      <c r="D298" s="169">
        <v>85</v>
      </c>
      <c r="E298" s="170"/>
      <c r="F298" s="171"/>
      <c r="G298" s="169">
        <v>86</v>
      </c>
      <c r="H298" s="170"/>
      <c r="I298" s="171"/>
      <c r="J298" s="169">
        <v>87</v>
      </c>
      <c r="K298" s="170"/>
      <c r="L298" s="171"/>
      <c r="M298" s="169">
        <v>88</v>
      </c>
      <c r="N298" s="170"/>
      <c r="O298" s="171"/>
      <c r="P298" s="169">
        <v>89</v>
      </c>
      <c r="Q298" s="170"/>
      <c r="R298" s="171"/>
      <c r="S298" s="169">
        <v>90</v>
      </c>
      <c r="T298" s="170"/>
      <c r="U298" s="171"/>
      <c r="V298" s="169">
        <v>91</v>
      </c>
      <c r="W298" s="170"/>
      <c r="X298" s="171"/>
      <c r="Y298" s="169">
        <v>92</v>
      </c>
      <c r="Z298" s="170"/>
      <c r="AA298" s="171"/>
      <c r="AB298" s="169">
        <v>93</v>
      </c>
      <c r="AC298" s="170"/>
      <c r="AD298" s="171"/>
      <c r="AE298" s="169">
        <v>94</v>
      </c>
      <c r="AF298" s="170"/>
      <c r="AG298" s="171"/>
      <c r="AH298" s="169">
        <v>95</v>
      </c>
      <c r="AI298" s="170"/>
      <c r="AJ298" s="171"/>
      <c r="AK298" s="169">
        <v>96</v>
      </c>
      <c r="AL298" s="170"/>
      <c r="AM298" s="171"/>
      <c r="AN298" s="168"/>
      <c r="AO298" s="168"/>
      <c r="AQ298" s="33"/>
      <c r="AR298" s="33"/>
      <c r="AS298" s="33"/>
      <c r="AT298" s="33"/>
      <c r="AU298" s="33"/>
      <c r="AV298" s="33"/>
      <c r="AW298" s="33"/>
      <c r="AX298" s="33"/>
      <c r="AY298" s="33"/>
      <c r="AZ298" s="33"/>
      <c r="BA298" s="33"/>
      <c r="BB298" s="33"/>
      <c r="BC298" s="33"/>
      <c r="BD298" s="33"/>
      <c r="BE298" s="33"/>
      <c r="BF298" s="33"/>
      <c r="BG298" s="33"/>
      <c r="BH298" s="33"/>
      <c r="BI298" s="33"/>
      <c r="BJ298" s="33"/>
      <c r="BK298" s="33"/>
      <c r="BL298" s="33"/>
      <c r="BM298" s="33"/>
      <c r="BN298" s="33"/>
      <c r="BO298" s="33"/>
      <c r="BP298" s="33"/>
      <c r="BQ298" s="33"/>
      <c r="BR298" s="33"/>
      <c r="BS298" s="33"/>
      <c r="BT298" s="33"/>
      <c r="BU298" s="33"/>
      <c r="BV298" s="33"/>
      <c r="BW298" s="33"/>
      <c r="BX298" s="33"/>
      <c r="BY298" s="33"/>
      <c r="BZ298" s="33"/>
      <c r="CA298" s="33"/>
      <c r="CB298" s="33"/>
      <c r="CC298" s="33"/>
      <c r="CD298" s="33"/>
      <c r="CE298" s="33"/>
      <c r="CF298" s="33"/>
      <c r="CG298" s="33"/>
      <c r="CH298" s="33"/>
      <c r="CI298" s="33"/>
      <c r="CJ298" s="33"/>
      <c r="CK298" s="33"/>
      <c r="CL298" s="33"/>
      <c r="CM298" s="33"/>
      <c r="CN298" s="33"/>
      <c r="CO298" s="33"/>
      <c r="CP298" s="33"/>
      <c r="CQ298" s="33"/>
      <c r="CR298" s="33"/>
      <c r="CS298" s="33"/>
      <c r="CT298" s="33"/>
      <c r="CU298" s="33"/>
      <c r="CV298" s="33"/>
      <c r="CW298" s="33"/>
      <c r="CX298" s="33"/>
      <c r="CY298" s="33"/>
      <c r="CZ298" s="33"/>
      <c r="DA298" s="33"/>
      <c r="DB298" s="33"/>
      <c r="DC298" s="33"/>
      <c r="DD298" s="33"/>
      <c r="DE298" s="33"/>
      <c r="DF298" s="33"/>
      <c r="DG298" s="33"/>
      <c r="DH298" s="33"/>
      <c r="DI298" s="33"/>
      <c r="DJ298" s="33"/>
      <c r="DK298" s="33"/>
      <c r="DL298" s="33"/>
      <c r="DM298" s="33"/>
      <c r="DN298" s="33"/>
      <c r="DO298" s="33"/>
      <c r="DP298" s="33"/>
      <c r="DQ298" s="33"/>
    </row>
    <row r="299" spans="2:121" ht="15" customHeight="1" thickBot="1">
      <c r="B299" s="168"/>
      <c r="C299" s="208"/>
      <c r="D299" s="2"/>
      <c r="E299" s="3"/>
      <c r="F299" s="4"/>
      <c r="G299" s="2"/>
      <c r="H299" s="3"/>
      <c r="I299" s="4"/>
      <c r="J299" s="2"/>
      <c r="K299" s="3"/>
      <c r="L299" s="4"/>
      <c r="M299" s="2"/>
      <c r="N299" s="3"/>
      <c r="O299" s="4"/>
      <c r="P299" s="2"/>
      <c r="Q299" s="3"/>
      <c r="R299" s="4"/>
      <c r="S299" s="2"/>
      <c r="T299" s="3"/>
      <c r="U299" s="4"/>
      <c r="V299" s="5"/>
      <c r="W299" s="6"/>
      <c r="X299" s="7"/>
      <c r="Y299" s="2"/>
      <c r="Z299" s="3"/>
      <c r="AA299" s="4"/>
      <c r="AB299" s="2"/>
      <c r="AC299" s="3"/>
      <c r="AD299" s="4"/>
      <c r="AE299" s="5"/>
      <c r="AF299" s="6"/>
      <c r="AG299" s="7"/>
      <c r="AH299" s="2"/>
      <c r="AI299" s="3"/>
      <c r="AJ299" s="4"/>
      <c r="AK299" s="5"/>
      <c r="AL299" s="6"/>
      <c r="AM299" s="7"/>
      <c r="AN299" s="168"/>
      <c r="AO299" s="168"/>
      <c r="AQ299" s="33"/>
      <c r="AR299" s="33"/>
      <c r="AS299" s="33"/>
      <c r="AT299" s="33"/>
      <c r="AU299" s="33"/>
      <c r="AV299" s="33"/>
      <c r="AW299" s="33"/>
      <c r="AX299" s="33"/>
      <c r="AY299" s="33"/>
      <c r="AZ299" s="33"/>
      <c r="BA299" s="33"/>
      <c r="BB299" s="33"/>
      <c r="BC299" s="33"/>
      <c r="BD299" s="33"/>
      <c r="BE299" s="33"/>
      <c r="BF299" s="33"/>
      <c r="BG299" s="33"/>
      <c r="BH299" s="33"/>
      <c r="BI299" s="33"/>
      <c r="BJ299" s="33"/>
      <c r="BK299" s="33"/>
      <c r="BL299" s="33"/>
      <c r="BM299" s="33"/>
      <c r="BN299" s="33"/>
      <c r="BO299" s="33"/>
      <c r="BP299" s="33"/>
      <c r="BQ299" s="33"/>
      <c r="BR299" s="33"/>
      <c r="BS299" s="33"/>
      <c r="BT299" s="33"/>
      <c r="BU299" s="33"/>
      <c r="BV299" s="33"/>
      <c r="BW299" s="33"/>
      <c r="BX299" s="33"/>
      <c r="BY299" s="33"/>
      <c r="BZ299" s="33"/>
      <c r="CA299" s="33"/>
      <c r="CB299" s="33"/>
      <c r="CC299" s="33"/>
      <c r="CD299" s="33"/>
      <c r="CE299" s="33"/>
      <c r="CF299" s="33"/>
      <c r="CG299" s="33"/>
      <c r="CH299" s="33"/>
      <c r="CI299" s="33"/>
      <c r="CJ299" s="33"/>
      <c r="CK299" s="33"/>
      <c r="CL299" s="33"/>
      <c r="CM299" s="33"/>
      <c r="CN299" s="33"/>
      <c r="CO299" s="33"/>
      <c r="CP299" s="33"/>
      <c r="CQ299" s="33"/>
      <c r="CR299" s="33"/>
      <c r="CS299" s="33"/>
      <c r="CT299" s="33"/>
      <c r="CU299" s="33"/>
      <c r="CV299" s="33"/>
      <c r="CW299" s="33"/>
      <c r="CX299" s="33"/>
      <c r="CY299" s="33"/>
      <c r="CZ299" s="33"/>
      <c r="DA299" s="33"/>
      <c r="DB299" s="33"/>
      <c r="DC299" s="33"/>
      <c r="DD299" s="33"/>
      <c r="DE299" s="33"/>
      <c r="DF299" s="33"/>
      <c r="DG299" s="33"/>
      <c r="DH299" s="33"/>
      <c r="DI299" s="33"/>
      <c r="DJ299" s="33"/>
      <c r="DK299" s="33"/>
      <c r="DL299" s="33"/>
      <c r="DM299" s="33"/>
      <c r="DN299" s="33"/>
      <c r="DO299" s="33"/>
      <c r="DP299" s="33"/>
      <c r="DQ299" s="33"/>
    </row>
    <row r="300" spans="2:121" ht="15" customHeight="1" thickBot="1">
      <c r="B300" s="45"/>
      <c r="C300" s="34"/>
      <c r="D300" s="324">
        <f>SUM(F301:F332)</f>
        <v>0</v>
      </c>
      <c r="E300" s="325"/>
      <c r="F300" s="326"/>
      <c r="G300" s="324">
        <f t="shared" ref="G300" si="309">SUM(I301:I332)</f>
        <v>0.875</v>
      </c>
      <c r="H300" s="325"/>
      <c r="I300" s="326"/>
      <c r="J300" s="324">
        <f t="shared" ref="J300" si="310">SUM(L301:L332)</f>
        <v>6.7499999999999991</v>
      </c>
      <c r="K300" s="325"/>
      <c r="L300" s="326"/>
      <c r="M300" s="324">
        <f t="shared" ref="M300" si="311">SUM(O301:O332)</f>
        <v>1.5</v>
      </c>
      <c r="N300" s="325"/>
      <c r="O300" s="326"/>
      <c r="P300" s="324">
        <f t="shared" ref="P300" si="312">SUM(R301:R332)</f>
        <v>1.5000000000000004</v>
      </c>
      <c r="Q300" s="325"/>
      <c r="R300" s="326"/>
      <c r="S300" s="324">
        <f t="shared" ref="S300" si="313">SUM(U301:U332)</f>
        <v>4.854166666666667</v>
      </c>
      <c r="T300" s="325"/>
      <c r="U300" s="326"/>
      <c r="V300" s="324">
        <f t="shared" ref="V300" si="314">SUM(X301:X332)</f>
        <v>1.3958333333333335</v>
      </c>
      <c r="W300" s="325"/>
      <c r="X300" s="326"/>
      <c r="Y300" s="324">
        <f>SUM(AA301:AA332)</f>
        <v>3.4583333333333335</v>
      </c>
      <c r="Z300" s="325"/>
      <c r="AA300" s="326"/>
      <c r="AB300" s="226">
        <f t="shared" ref="AB300" si="315">SUM(AD301:AD331)</f>
        <v>2.5</v>
      </c>
      <c r="AC300" s="227"/>
      <c r="AD300" s="230"/>
      <c r="AE300" s="167">
        <f t="shared" ref="AE300" si="316">SUM(AG301:AG331)</f>
        <v>1.0000000000000002</v>
      </c>
      <c r="AF300" s="165"/>
      <c r="AG300" s="166"/>
      <c r="AH300" s="167">
        <f t="shared" ref="AH300" si="317">SUM(AJ301:AJ331)</f>
        <v>0.91666666666666674</v>
      </c>
      <c r="AI300" s="165"/>
      <c r="AJ300" s="166"/>
      <c r="AK300" s="167">
        <f t="shared" ref="AK300" si="318">SUM(AM301:AM331)</f>
        <v>1.8125</v>
      </c>
      <c r="AL300" s="165"/>
      <c r="AM300" s="166"/>
      <c r="AN300" s="8"/>
      <c r="AO300" s="1"/>
      <c r="AP300" s="19">
        <f>SUM(D300:AO300)</f>
        <v>26.5625</v>
      </c>
      <c r="AQ300" s="33"/>
      <c r="AR300" s="33"/>
      <c r="AS300" s="33"/>
      <c r="AT300" s="33"/>
      <c r="AU300" s="33"/>
      <c r="AV300" s="33"/>
      <c r="AW300" s="33"/>
      <c r="AX300" s="33"/>
      <c r="AY300" s="33"/>
      <c r="AZ300" s="33"/>
      <c r="BA300" s="33"/>
      <c r="BB300" s="33"/>
      <c r="BC300" s="33"/>
      <c r="BD300" s="33"/>
      <c r="BE300" s="33"/>
      <c r="BF300" s="33"/>
      <c r="BG300" s="33"/>
      <c r="BH300" s="33"/>
      <c r="BI300" s="33"/>
      <c r="BJ300" s="33"/>
      <c r="BK300" s="33"/>
      <c r="BL300" s="33"/>
      <c r="BM300" s="33"/>
      <c r="BN300" s="33"/>
      <c r="BO300" s="33"/>
      <c r="BP300" s="33"/>
      <c r="BQ300" s="33"/>
      <c r="BR300" s="33"/>
      <c r="BS300" s="33"/>
      <c r="BT300" s="33"/>
      <c r="BU300" s="33"/>
      <c r="BV300" s="33"/>
      <c r="BW300" s="33"/>
      <c r="BX300" s="33"/>
      <c r="BY300" s="33"/>
      <c r="BZ300" s="33"/>
      <c r="CA300" s="33"/>
      <c r="CB300" s="33"/>
      <c r="CC300" s="33"/>
      <c r="CD300" s="33"/>
      <c r="CE300" s="33"/>
      <c r="CF300" s="33"/>
      <c r="CG300" s="33"/>
      <c r="CH300" s="33"/>
      <c r="CI300" s="33"/>
      <c r="CJ300" s="33"/>
      <c r="CK300" s="33"/>
      <c r="CL300" s="33"/>
      <c r="CM300" s="33"/>
      <c r="CN300" s="33"/>
      <c r="CO300" s="33"/>
      <c r="CP300" s="33"/>
      <c r="CQ300" s="33"/>
      <c r="CR300" s="33"/>
      <c r="CS300" s="33"/>
      <c r="CT300" s="33"/>
      <c r="CU300" s="33"/>
      <c r="CV300" s="33"/>
      <c r="CW300" s="33"/>
      <c r="CX300" s="33"/>
      <c r="CY300" s="33"/>
      <c r="CZ300" s="33"/>
      <c r="DA300" s="33"/>
      <c r="DB300" s="33"/>
      <c r="DC300" s="33"/>
      <c r="DD300" s="33"/>
      <c r="DE300" s="33"/>
      <c r="DF300" s="33"/>
      <c r="DG300" s="33"/>
      <c r="DH300" s="33"/>
      <c r="DI300" s="33"/>
      <c r="DJ300" s="33"/>
      <c r="DK300" s="33"/>
      <c r="DL300" s="33"/>
      <c r="DM300" s="33"/>
      <c r="DN300" s="33"/>
      <c r="DO300" s="33"/>
      <c r="DP300" s="33"/>
      <c r="DQ300" s="33"/>
    </row>
    <row r="301" spans="2:121" ht="14.4">
      <c r="B301" s="112">
        <v>1</v>
      </c>
      <c r="C301" s="113" t="s">
        <v>8</v>
      </c>
      <c r="D301" s="114" t="s">
        <v>111</v>
      </c>
      <c r="E301" s="115"/>
      <c r="F301" s="127">
        <f>(IF(D301="u",0.333333333,IF(D301="W",0,IF(D301="C",F301,IF(D301="op",F301,(E301-D301))))))</f>
        <v>0</v>
      </c>
      <c r="G301" s="114" t="s">
        <v>111</v>
      </c>
      <c r="H301" s="115"/>
      <c r="I301" s="127">
        <f>(IF(G301="u",0.333333333,IF(G301="W",0,IF(G301="C",I301,IF(G301="op",I301,(H301-G301))))))</f>
        <v>0</v>
      </c>
      <c r="J301" s="114">
        <v>0.625</v>
      </c>
      <c r="K301" s="115">
        <v>1.125</v>
      </c>
      <c r="L301" s="127">
        <f>(IF(J301="u",0.333333333,IF(J301="W",0,IF(J301="C",L301,IF(J301="op",L301,(K301-J301))))))</f>
        <v>0.5</v>
      </c>
      <c r="M301" s="114"/>
      <c r="N301" s="115"/>
      <c r="O301" s="127">
        <f>(IF(M301="u",0.333333333,IF(M301="W",0,IF(M301="C",O301,IF(M301="op",O301,(N301-M301))))))</f>
        <v>0</v>
      </c>
      <c r="P301" s="114" t="s">
        <v>111</v>
      </c>
      <c r="Q301" s="115"/>
      <c r="R301" s="127">
        <f>(IF(P301="u",0.333333333,IF(P301="W",0,IF(P301="C",R301,IF(P301="op",R301,(Q301-P301))))))</f>
        <v>0</v>
      </c>
      <c r="S301" s="114" t="s">
        <v>111</v>
      </c>
      <c r="T301" s="115"/>
      <c r="U301" s="127">
        <f>(IF(S301="u",0.333333333,IF(S301="W",0,IF(S301="C",U301,IF(S301="op",U301,(T301-S301))))))</f>
        <v>0</v>
      </c>
      <c r="V301" s="114" t="s">
        <v>111</v>
      </c>
      <c r="W301" s="115"/>
      <c r="X301" s="127">
        <f>(IF(V301="u",0.333333333,IF(V301="W",0,IF(V301="C",X301,IF(V301="op",X301,(W301-V301))))))</f>
        <v>0</v>
      </c>
      <c r="Y301" s="114" t="s">
        <v>111</v>
      </c>
      <c r="Z301" s="115"/>
      <c r="AA301" s="127">
        <f>(IF(Y301="u",0.333333333,IF(Y301="W",0,IF(Y301="C",AA301,IF(Y301="op",AA301,(Z301-Y301))))))</f>
        <v>0</v>
      </c>
      <c r="AB301" s="114" t="s">
        <v>111</v>
      </c>
      <c r="AC301" s="115"/>
      <c r="AD301" s="127">
        <f>(IF(AB301="u",0.333333333,IF(AB301="W",0,IF(AB301="C",AD301,IF(AB301="op",AD301,(AC301-AB301))))))</f>
        <v>0</v>
      </c>
      <c r="AE301" s="114" t="s">
        <v>111</v>
      </c>
      <c r="AF301" s="115"/>
      <c r="AG301" s="127">
        <f>(IF(AE301="u",0.333333333,IF(AE301="W",0,IF(AE301="C",AG301,IF(AE301="op",AG301,(AF301-AE301))))))</f>
        <v>0</v>
      </c>
      <c r="AH301" s="114" t="s">
        <v>111</v>
      </c>
      <c r="AI301" s="115"/>
      <c r="AJ301" s="127">
        <f>(IF(AH301="u",0.333333333,IF(AH301="W",0,IF(AH301="C",AJ301,IF(AH301="op",AJ301,(AI301-AH301))))))</f>
        <v>0</v>
      </c>
      <c r="AK301" s="114" t="s">
        <v>111</v>
      </c>
      <c r="AL301" s="115"/>
      <c r="AM301" s="127">
        <f>(IF(AK301="u",0.333333333,IF(AK301="W",0,IF(AK301="C",AM301,IF(AK301="op",AM301,(AL301-AK301))))))</f>
        <v>0</v>
      </c>
      <c r="AN301" s="112">
        <v>1</v>
      </c>
      <c r="AO301" s="113" t="s">
        <v>8</v>
      </c>
      <c r="AQ301" s="33"/>
      <c r="AR301" s="33"/>
      <c r="AS301" s="33"/>
      <c r="AT301" s="33"/>
      <c r="AU301" s="33"/>
      <c r="AV301" s="33"/>
      <c r="AW301" s="33"/>
      <c r="AX301" s="33"/>
      <c r="AY301" s="33"/>
      <c r="AZ301" s="33"/>
      <c r="BA301" s="33"/>
      <c r="BB301" s="33"/>
      <c r="BC301" s="33"/>
      <c r="BD301" s="33"/>
      <c r="BE301" s="33"/>
      <c r="BF301" s="33"/>
      <c r="BG301" s="33"/>
      <c r="BH301" s="33"/>
      <c r="BI301" s="33"/>
      <c r="BJ301" s="33"/>
      <c r="BK301" s="33"/>
      <c r="BL301" s="33"/>
      <c r="BM301" s="33"/>
      <c r="BN301" s="33"/>
      <c r="BO301" s="33"/>
      <c r="BP301" s="33"/>
      <c r="BQ301" s="33"/>
      <c r="BR301" s="33"/>
      <c r="BS301" s="33"/>
      <c r="BT301" s="33"/>
      <c r="BU301" s="33"/>
      <c r="BV301" s="33"/>
      <c r="BW301" s="33"/>
      <c r="BX301" s="33"/>
      <c r="BY301" s="33"/>
      <c r="BZ301" s="33"/>
      <c r="CA301" s="33"/>
      <c r="CB301" s="33"/>
      <c r="CC301" s="33"/>
      <c r="CD301" s="33"/>
      <c r="CE301" s="33"/>
      <c r="CF301" s="33"/>
      <c r="CG301" s="33"/>
      <c r="CH301" s="33"/>
      <c r="CI301" s="33"/>
      <c r="CJ301" s="33"/>
      <c r="CK301" s="33"/>
      <c r="CL301" s="33"/>
      <c r="CM301" s="33"/>
      <c r="CN301" s="33"/>
      <c r="CO301" s="33"/>
      <c r="CP301" s="33"/>
      <c r="CQ301" s="33"/>
      <c r="CR301" s="33"/>
      <c r="CS301" s="33"/>
      <c r="CT301" s="33"/>
      <c r="CU301" s="33"/>
      <c r="CV301" s="33"/>
      <c r="CW301" s="33"/>
      <c r="CX301" s="33"/>
      <c r="CY301" s="33"/>
      <c r="CZ301" s="33"/>
      <c r="DA301" s="33"/>
      <c r="DB301" s="33"/>
      <c r="DC301" s="33"/>
      <c r="DD301" s="33"/>
      <c r="DE301" s="33"/>
      <c r="DF301" s="33"/>
      <c r="DG301" s="33"/>
      <c r="DH301" s="33"/>
      <c r="DI301" s="33"/>
      <c r="DJ301" s="33"/>
      <c r="DK301" s="33"/>
      <c r="DL301" s="33"/>
      <c r="DM301" s="33"/>
      <c r="DN301" s="33"/>
      <c r="DO301" s="33"/>
      <c r="DP301" s="33"/>
      <c r="DQ301" s="33"/>
    </row>
    <row r="302" spans="2:121" ht="14.4">
      <c r="B302" s="118">
        <v>2</v>
      </c>
      <c r="C302" s="113" t="s">
        <v>12</v>
      </c>
      <c r="D302" s="119" t="s">
        <v>111</v>
      </c>
      <c r="E302" s="120"/>
      <c r="F302" s="128">
        <f>(IF(D302="u",0.333333333,IF(D302="W",0,IF(D302="C",F302,IF(D302="op",F302,(E302-D302))))))</f>
        <v>0</v>
      </c>
      <c r="G302" s="119" t="s">
        <v>111</v>
      </c>
      <c r="H302" s="120"/>
      <c r="I302" s="128">
        <f>(IF(G302="u",0.333333333,IF(G302="W",0,IF(G302="C",I302,IF(G302="op",I302,(H302-G302))))))</f>
        <v>0</v>
      </c>
      <c r="J302" s="119">
        <v>0.66666666666666663</v>
      </c>
      <c r="K302" s="120">
        <v>1.1666666666666667</v>
      </c>
      <c r="L302" s="128">
        <f>(IF(J302="u",0.333333333,IF(J302="W",0,IF(J302="C",L302,IF(J302="op",L302,(K302-J302))))))</f>
        <v>0.50000000000000011</v>
      </c>
      <c r="M302" s="119"/>
      <c r="N302" s="120"/>
      <c r="O302" s="128">
        <f>(IF(M302="u",0.333333333,IF(M302="W",0,IF(M302="C",O302,IF(M302="op",O302,(N302-M302))))))</f>
        <v>0</v>
      </c>
      <c r="P302" s="119" t="s">
        <v>111</v>
      </c>
      <c r="Q302" s="120"/>
      <c r="R302" s="128">
        <f>(IF(P302="u",0.333333333,IF(P302="W",0,IF(P302="C",R302,IF(P302="op",R302,(Q302-P302))))))</f>
        <v>0</v>
      </c>
      <c r="S302" s="119">
        <v>0.66666666666666663</v>
      </c>
      <c r="T302" s="120">
        <v>1.1666666666666667</v>
      </c>
      <c r="U302" s="128">
        <f>(IF(S302="u",0.333333333,IF(S302="W",0,IF(S302="C",U302,IF(S302="op",U302,(T302-S302))))))</f>
        <v>0.50000000000000011</v>
      </c>
      <c r="V302" s="119"/>
      <c r="W302" s="120"/>
      <c r="X302" s="128">
        <f>(IF(V302="u",0.333333333,IF(V302="W",0,IF(V302="C",X302,IF(V302="op",X302,(W302-V302))))))</f>
        <v>0</v>
      </c>
      <c r="Y302" s="119" t="s">
        <v>111</v>
      </c>
      <c r="Z302" s="120"/>
      <c r="AA302" s="128">
        <f>(IF(Y302="u",0.333333333,IF(Y302="W",0,IF(Y302="C",AA302,IF(Y302="op",AA302,(Z302-Y302))))))</f>
        <v>0</v>
      </c>
      <c r="AB302" s="119" t="s">
        <v>111</v>
      </c>
      <c r="AC302" s="120"/>
      <c r="AD302" s="128">
        <f>(IF(AB302="u",0.333333333,IF(AB302="W",0,IF(AB302="C",AD302,IF(AB302="op",AD302,(AC302-AB302))))))</f>
        <v>0</v>
      </c>
      <c r="AE302" s="119" t="s">
        <v>111</v>
      </c>
      <c r="AF302" s="120"/>
      <c r="AG302" s="128">
        <f>(IF(AE302="u",0.333333333,IF(AE302="W",0,IF(AE302="C",AG302,IF(AE302="op",AG302,(AF302-AE302))))))</f>
        <v>0</v>
      </c>
      <c r="AH302" s="119" t="s">
        <v>111</v>
      </c>
      <c r="AI302" s="120"/>
      <c r="AJ302" s="128">
        <f>(IF(AH302="u",0.333333333,IF(AH302="W",0,IF(AH302="C",AJ302,IF(AH302="op",AJ302,(AI302-AH302))))))</f>
        <v>0</v>
      </c>
      <c r="AK302" s="119" t="s">
        <v>111</v>
      </c>
      <c r="AL302" s="120"/>
      <c r="AM302" s="128">
        <f>(IF(AK302="u",0.333333333,IF(AK302="W",0,IF(AK302="C",AM302,IF(AK302="op",AM302,(AL302-AK302))))))</f>
        <v>0</v>
      </c>
      <c r="AN302" s="118">
        <v>2</v>
      </c>
      <c r="AO302" s="113" t="s">
        <v>12</v>
      </c>
      <c r="AQ302" s="33"/>
      <c r="AR302" s="33"/>
      <c r="AS302" s="33"/>
      <c r="AT302" s="33"/>
      <c r="AU302" s="33"/>
      <c r="AV302" s="33"/>
      <c r="AW302" s="33"/>
      <c r="AX302" s="33"/>
      <c r="AY302" s="33"/>
      <c r="AZ302" s="33"/>
      <c r="BA302" s="33"/>
      <c r="BB302" s="33"/>
      <c r="BC302" s="33"/>
      <c r="BD302" s="33"/>
      <c r="BE302" s="33"/>
      <c r="BF302" s="33"/>
      <c r="BG302" s="33"/>
      <c r="BH302" s="33"/>
      <c r="BI302" s="33"/>
      <c r="BJ302" s="33"/>
      <c r="BK302" s="33"/>
      <c r="BL302" s="33"/>
      <c r="BM302" s="33"/>
      <c r="BN302" s="33"/>
      <c r="BO302" s="33"/>
      <c r="BP302" s="33"/>
      <c r="BQ302" s="33"/>
      <c r="BR302" s="33"/>
      <c r="BS302" s="33"/>
      <c r="BT302" s="33"/>
      <c r="BU302" s="33"/>
      <c r="BV302" s="33"/>
      <c r="BW302" s="33"/>
      <c r="BX302" s="33"/>
      <c r="BY302" s="33"/>
      <c r="BZ302" s="33"/>
      <c r="CA302" s="33"/>
      <c r="CB302" s="33"/>
      <c r="CC302" s="33"/>
      <c r="CD302" s="33"/>
      <c r="CE302" s="33"/>
      <c r="CF302" s="33"/>
      <c r="CG302" s="33"/>
      <c r="CH302" s="33"/>
      <c r="CI302" s="33"/>
      <c r="CJ302" s="33"/>
      <c r="CK302" s="33"/>
      <c r="CL302" s="33"/>
      <c r="CM302" s="33"/>
      <c r="CN302" s="33"/>
      <c r="CO302" s="33"/>
      <c r="CP302" s="33"/>
      <c r="CQ302" s="33"/>
      <c r="CR302" s="33"/>
      <c r="CS302" s="33"/>
      <c r="CT302" s="33"/>
      <c r="CU302" s="33"/>
      <c r="CV302" s="33"/>
      <c r="CW302" s="33"/>
      <c r="CX302" s="33"/>
      <c r="CY302" s="33"/>
      <c r="CZ302" s="33"/>
      <c r="DA302" s="33"/>
      <c r="DB302" s="33"/>
      <c r="DC302" s="33"/>
      <c r="DD302" s="33"/>
      <c r="DE302" s="33"/>
      <c r="DF302" s="33"/>
      <c r="DG302" s="33"/>
      <c r="DH302" s="33"/>
      <c r="DI302" s="33"/>
      <c r="DJ302" s="33"/>
      <c r="DK302" s="33"/>
      <c r="DL302" s="33"/>
      <c r="DM302" s="33"/>
      <c r="DN302" s="33"/>
      <c r="DO302" s="33"/>
      <c r="DP302" s="33"/>
      <c r="DQ302" s="33"/>
    </row>
    <row r="303" spans="2:121" ht="14.4">
      <c r="B303" s="118">
        <v>3</v>
      </c>
      <c r="C303" s="113" t="s">
        <v>85</v>
      </c>
      <c r="D303" s="119" t="s">
        <v>111</v>
      </c>
      <c r="E303" s="120"/>
      <c r="F303" s="128">
        <f t="shared" ref="F303:F304" si="319">(IF(D303="u",0.333333333,IF(D303="W",0,IF(D303="C",F303,IF(D303="op",F303,(E303-D303))))))</f>
        <v>0</v>
      </c>
      <c r="G303" s="119" t="s">
        <v>111</v>
      </c>
      <c r="H303" s="120"/>
      <c r="I303" s="128">
        <f t="shared" ref="I303:I304" si="320">(IF(G303="u",0.333333333,IF(G303="W",0,IF(G303="C",I303,IF(G303="op",I303,(H303-G303))))))</f>
        <v>0</v>
      </c>
      <c r="J303" s="119">
        <v>0.66666666666666663</v>
      </c>
      <c r="K303" s="120">
        <v>1.1666666666666667</v>
      </c>
      <c r="L303" s="128">
        <f t="shared" ref="L303:L304" si="321">(IF(J303="u",0.333333333,IF(J303="W",0,IF(J303="C",L303,IF(J303="op",L303,(K303-J303))))))</f>
        <v>0.50000000000000011</v>
      </c>
      <c r="M303" s="119"/>
      <c r="N303" s="120"/>
      <c r="O303" s="128">
        <f t="shared" ref="O303:O304" si="322">(IF(M303="u",0.333333333,IF(M303="W",0,IF(M303="C",O303,IF(M303="op",O303,(N303-M303))))))</f>
        <v>0</v>
      </c>
      <c r="P303" s="119" t="s">
        <v>111</v>
      </c>
      <c r="Q303" s="120"/>
      <c r="R303" s="128">
        <f t="shared" ref="R303:R304" si="323">(IF(P303="u",0.333333333,IF(P303="W",0,IF(P303="C",R303,IF(P303="op",R303,(Q303-P303))))))</f>
        <v>0</v>
      </c>
      <c r="S303" s="119"/>
      <c r="T303" s="120"/>
      <c r="U303" s="128">
        <f t="shared" ref="U303:U304" si="324">(IF(S303="u",0.333333333,IF(S303="W",0,IF(S303="C",U303,IF(S303="op",U303,(T303-S303))))))</f>
        <v>0</v>
      </c>
      <c r="V303" s="119" t="s">
        <v>111</v>
      </c>
      <c r="W303" s="120"/>
      <c r="X303" s="128">
        <f t="shared" ref="X303:X304" si="325">(IF(V303="u",0.333333333,IF(V303="W",0,IF(V303="C",X303,IF(V303="op",X303,(W303-V303))))))</f>
        <v>0</v>
      </c>
      <c r="Y303" s="119">
        <v>0.45833333333333331</v>
      </c>
      <c r="Z303" s="120">
        <v>1.0416666666666667</v>
      </c>
      <c r="AA303" s="128">
        <f t="shared" ref="AA303:AA304" si="326">(IF(Y303="u",0.333333333,IF(Y303="W",0,IF(Y303="C",AA303,IF(Y303="op",AA303,(Z303-Y303))))))</f>
        <v>0.58333333333333348</v>
      </c>
      <c r="AB303" s="119"/>
      <c r="AC303" s="120"/>
      <c r="AD303" s="128">
        <f t="shared" ref="AD303:AD304" si="327">(IF(AB303="u",0.333333333,IF(AB303="W",0,IF(AB303="C",AD303,IF(AB303="op",AD303,(AC303-AB303))))))</f>
        <v>0</v>
      </c>
      <c r="AE303" s="119" t="s">
        <v>111</v>
      </c>
      <c r="AF303" s="120"/>
      <c r="AG303" s="128">
        <f t="shared" ref="AG303:AG304" si="328">(IF(AE303="u",0.333333333,IF(AE303="W",0,IF(AE303="C",AG303,IF(AE303="op",AG303,(AF303-AE303))))))</f>
        <v>0</v>
      </c>
      <c r="AH303" s="119" t="s">
        <v>111</v>
      </c>
      <c r="AI303" s="120"/>
      <c r="AJ303" s="128">
        <f t="shared" ref="AJ303:AJ304" si="329">(IF(AH303="u",0.333333333,IF(AH303="W",0,IF(AH303="C",AJ303,IF(AH303="op",AJ303,(AI303-AH303))))))</f>
        <v>0</v>
      </c>
      <c r="AK303" s="119" t="s">
        <v>111</v>
      </c>
      <c r="AL303" s="120"/>
      <c r="AM303" s="128">
        <f t="shared" ref="AM303:AM304" si="330">(IF(AK303="u",0.333333333,IF(AK303="W",0,IF(AK303="C",AM303,IF(AK303="op",AM303,(AL303-AK303))))))</f>
        <v>0</v>
      </c>
      <c r="AN303" s="118">
        <v>3</v>
      </c>
      <c r="AO303" s="113" t="s">
        <v>85</v>
      </c>
      <c r="AQ303" s="33"/>
      <c r="AR303" s="33"/>
      <c r="AS303" s="33"/>
      <c r="AT303" s="33"/>
      <c r="AU303" s="33"/>
      <c r="AV303" s="33"/>
      <c r="AW303" s="33"/>
      <c r="AX303" s="33"/>
      <c r="AY303" s="33"/>
      <c r="AZ303" s="33"/>
      <c r="BA303" s="33"/>
      <c r="BB303" s="33"/>
      <c r="BC303" s="33"/>
      <c r="BD303" s="33"/>
      <c r="BE303" s="33"/>
      <c r="BF303" s="33"/>
      <c r="BG303" s="33"/>
      <c r="BH303" s="33"/>
      <c r="BI303" s="33"/>
      <c r="BJ303" s="33"/>
      <c r="BK303" s="33"/>
      <c r="BL303" s="33"/>
      <c r="BM303" s="33"/>
      <c r="BN303" s="33"/>
      <c r="BO303" s="33"/>
      <c r="BP303" s="33"/>
      <c r="BQ303" s="33"/>
      <c r="BR303" s="33"/>
      <c r="BS303" s="33"/>
      <c r="BT303" s="33"/>
      <c r="BU303" s="33"/>
      <c r="BV303" s="33"/>
      <c r="BW303" s="33"/>
      <c r="BX303" s="33"/>
      <c r="BY303" s="33"/>
      <c r="BZ303" s="33"/>
      <c r="CA303" s="33"/>
      <c r="CB303" s="33"/>
      <c r="CC303" s="33"/>
      <c r="CD303" s="33"/>
      <c r="CE303" s="33"/>
      <c r="CF303" s="33"/>
      <c r="CG303" s="33"/>
      <c r="CH303" s="33"/>
      <c r="CI303" s="33"/>
      <c r="CJ303" s="33"/>
      <c r="CK303" s="33"/>
      <c r="CL303" s="33"/>
      <c r="CM303" s="33"/>
      <c r="CN303" s="33"/>
      <c r="CO303" s="33"/>
      <c r="CP303" s="33"/>
      <c r="CQ303" s="33"/>
      <c r="CR303" s="33"/>
      <c r="CS303" s="33"/>
      <c r="CT303" s="33"/>
      <c r="CU303" s="33"/>
      <c r="CV303" s="33"/>
      <c r="CW303" s="33"/>
      <c r="CX303" s="33"/>
      <c r="CY303" s="33"/>
      <c r="CZ303" s="33"/>
      <c r="DA303" s="33"/>
      <c r="DB303" s="33"/>
      <c r="DC303" s="33"/>
      <c r="DD303" s="33"/>
      <c r="DE303" s="33"/>
      <c r="DF303" s="33"/>
      <c r="DG303" s="33"/>
      <c r="DH303" s="33"/>
      <c r="DI303" s="33"/>
      <c r="DJ303" s="33"/>
      <c r="DK303" s="33"/>
      <c r="DL303" s="33"/>
      <c r="DM303" s="33"/>
      <c r="DN303" s="33"/>
      <c r="DO303" s="33"/>
      <c r="DP303" s="33"/>
      <c r="DQ303" s="33"/>
    </row>
    <row r="304" spans="2:121" ht="14.4">
      <c r="B304" s="118">
        <v>4</v>
      </c>
      <c r="C304" s="113" t="s">
        <v>4</v>
      </c>
      <c r="D304" s="119" t="s">
        <v>111</v>
      </c>
      <c r="E304" s="120"/>
      <c r="F304" s="128">
        <f t="shared" si="319"/>
        <v>0</v>
      </c>
      <c r="G304" s="119" t="s">
        <v>111</v>
      </c>
      <c r="H304" s="120"/>
      <c r="I304" s="128">
        <f t="shared" si="320"/>
        <v>0</v>
      </c>
      <c r="J304" s="119"/>
      <c r="K304" s="120"/>
      <c r="L304" s="128">
        <f t="shared" si="321"/>
        <v>0</v>
      </c>
      <c r="M304" s="119"/>
      <c r="N304" s="120"/>
      <c r="O304" s="128">
        <f t="shared" si="322"/>
        <v>0</v>
      </c>
      <c r="P304" s="119" t="s">
        <v>111</v>
      </c>
      <c r="Q304" s="120"/>
      <c r="R304" s="128">
        <f t="shared" si="323"/>
        <v>0</v>
      </c>
      <c r="S304" s="119"/>
      <c r="T304" s="120"/>
      <c r="U304" s="128">
        <f t="shared" si="324"/>
        <v>0</v>
      </c>
      <c r="V304" s="119" t="s">
        <v>111</v>
      </c>
      <c r="W304" s="120"/>
      <c r="X304" s="128">
        <f t="shared" si="325"/>
        <v>0</v>
      </c>
      <c r="Y304" s="119" t="s">
        <v>111</v>
      </c>
      <c r="Z304" s="120"/>
      <c r="AA304" s="128">
        <f t="shared" si="326"/>
        <v>0</v>
      </c>
      <c r="AB304" s="119">
        <v>0.625</v>
      </c>
      <c r="AC304" s="120">
        <v>1.125</v>
      </c>
      <c r="AD304" s="128">
        <f t="shared" si="327"/>
        <v>0.5</v>
      </c>
      <c r="AE304" s="119">
        <v>0.66666666666666663</v>
      </c>
      <c r="AF304" s="120">
        <v>1.1666666666666667</v>
      </c>
      <c r="AG304" s="128">
        <f t="shared" si="328"/>
        <v>0.50000000000000011</v>
      </c>
      <c r="AH304" s="119" t="s">
        <v>111</v>
      </c>
      <c r="AI304" s="120"/>
      <c r="AJ304" s="128">
        <f t="shared" si="329"/>
        <v>0</v>
      </c>
      <c r="AK304" s="119" t="s">
        <v>111</v>
      </c>
      <c r="AL304" s="120"/>
      <c r="AM304" s="128">
        <f t="shared" si="330"/>
        <v>0</v>
      </c>
      <c r="AN304" s="118">
        <v>4</v>
      </c>
      <c r="AO304" s="113" t="s">
        <v>4</v>
      </c>
      <c r="AQ304" s="33"/>
      <c r="AR304" s="33"/>
      <c r="AS304" s="33"/>
      <c r="AT304" s="33"/>
      <c r="AU304" s="33"/>
      <c r="AV304" s="33"/>
      <c r="AW304" s="33"/>
      <c r="AX304" s="33"/>
      <c r="AY304" s="33"/>
      <c r="AZ304" s="33"/>
      <c r="BA304" s="33"/>
      <c r="BB304" s="33"/>
      <c r="BC304" s="33"/>
      <c r="BD304" s="33"/>
      <c r="BE304" s="33"/>
      <c r="BF304" s="33"/>
      <c r="BG304" s="33"/>
      <c r="BH304" s="33"/>
      <c r="BI304" s="33"/>
      <c r="BJ304" s="33"/>
      <c r="BK304" s="33"/>
      <c r="BL304" s="33"/>
      <c r="BM304" s="33"/>
      <c r="BN304" s="33"/>
      <c r="BO304" s="33"/>
      <c r="BP304" s="33"/>
      <c r="BQ304" s="33"/>
      <c r="BR304" s="33"/>
      <c r="BS304" s="33"/>
      <c r="BT304" s="33"/>
      <c r="BU304" s="33"/>
      <c r="BV304" s="33"/>
      <c r="BW304" s="33"/>
      <c r="BX304" s="33"/>
      <c r="BY304" s="33"/>
      <c r="BZ304" s="33"/>
      <c r="CA304" s="33"/>
      <c r="CB304" s="33"/>
      <c r="CC304" s="33"/>
      <c r="CD304" s="33"/>
      <c r="CE304" s="33"/>
      <c r="CF304" s="33"/>
      <c r="CG304" s="33"/>
      <c r="CH304" s="33"/>
      <c r="CI304" s="33"/>
      <c r="CJ304" s="33"/>
      <c r="CK304" s="33"/>
      <c r="CL304" s="33"/>
      <c r="CM304" s="33"/>
      <c r="CN304" s="33"/>
      <c r="CO304" s="33"/>
      <c r="CP304" s="33"/>
      <c r="CQ304" s="33"/>
      <c r="CR304" s="33"/>
      <c r="CS304" s="33"/>
      <c r="CT304" s="33"/>
      <c r="CU304" s="33"/>
      <c r="CV304" s="33"/>
      <c r="CW304" s="33"/>
      <c r="CX304" s="33"/>
      <c r="CY304" s="33"/>
      <c r="CZ304" s="33"/>
      <c r="DA304" s="33"/>
      <c r="DB304" s="33"/>
      <c r="DC304" s="33"/>
      <c r="DD304" s="33"/>
      <c r="DE304" s="33"/>
      <c r="DF304" s="33"/>
      <c r="DG304" s="33"/>
      <c r="DH304" s="33"/>
      <c r="DI304" s="33"/>
      <c r="DJ304" s="33"/>
      <c r="DK304" s="33"/>
      <c r="DL304" s="33"/>
      <c r="DM304" s="33"/>
      <c r="DN304" s="33"/>
      <c r="DO304" s="33"/>
      <c r="DP304" s="33"/>
      <c r="DQ304" s="33"/>
    </row>
    <row r="305" spans="2:121" ht="14.4">
      <c r="B305" s="86">
        <v>5</v>
      </c>
      <c r="C305" s="87" t="s">
        <v>5</v>
      </c>
      <c r="D305" s="88" t="s">
        <v>111</v>
      </c>
      <c r="E305" s="89"/>
      <c r="F305" s="92">
        <f>(IF(D305="u",0.333333333,IF(D305="W",0,IF(D305="C",F305,IF(D305="op",F305,(E305-D305))))))</f>
        <v>0</v>
      </c>
      <c r="G305" s="88" t="s">
        <v>111</v>
      </c>
      <c r="H305" s="89"/>
      <c r="I305" s="92">
        <f>(IF(G305="u",0.333333333,IF(G305="W",0,IF(G305="C",I305,IF(G305="op",I305,(H305-G305))))))</f>
        <v>0</v>
      </c>
      <c r="J305" s="88">
        <v>0.41666666666666669</v>
      </c>
      <c r="K305" s="89">
        <v>0.83333333333333337</v>
      </c>
      <c r="L305" s="92">
        <f>(IF(J305="u",0.333333333,IF(J305="W",0,IF(J305="C",L305,IF(J305="op",L305,(K305-J305))))))</f>
        <v>0.41666666666666669</v>
      </c>
      <c r="M305" s="88">
        <v>0.33333333333333331</v>
      </c>
      <c r="N305" s="89">
        <v>0.83333333333333337</v>
      </c>
      <c r="O305" s="92">
        <f>(IF(M305="u",0.333333333,IF(M305="W",0,IF(M305="C",O305,IF(M305="op",O305,(N305-M305))))))</f>
        <v>0.5</v>
      </c>
      <c r="P305" s="88"/>
      <c r="Q305" s="89"/>
      <c r="R305" s="92">
        <f>(IF(P305="u",0.333333333,IF(P305="W",0,IF(P305="C",R305,IF(P305="op",R305,(Q305-P305))))))</f>
        <v>0</v>
      </c>
      <c r="S305" s="88"/>
      <c r="T305" s="89"/>
      <c r="U305" s="92">
        <f>(IF(S305="u",0.333333333,IF(S305="W",0,IF(S305="C",U305,IF(S305="op",U305,(T305-S305))))))</f>
        <v>0</v>
      </c>
      <c r="V305" s="88" t="s">
        <v>111</v>
      </c>
      <c r="W305" s="89"/>
      <c r="X305" s="92">
        <f>(IF(V305="u",0.333333333,IF(V305="W",0,IF(V305="C",X305,IF(V305="op",X305,(W305-V305))))))</f>
        <v>0</v>
      </c>
      <c r="Y305" s="88" t="s">
        <v>111</v>
      </c>
      <c r="Z305" s="89"/>
      <c r="AA305" s="92">
        <f>(IF(Y305="u",0.333333333,IF(Y305="W",0,IF(Y305="C",AA305,IF(Y305="op",AA305,(Z305-Y305))))))</f>
        <v>0</v>
      </c>
      <c r="AB305" s="88" t="s">
        <v>111</v>
      </c>
      <c r="AC305" s="89"/>
      <c r="AD305" s="92">
        <f>(IF(AB305="u",0.333333333,IF(AB305="W",0,IF(AB305="C",AD305,IF(AB305="op",AD305,(AC305-AB305))))))</f>
        <v>0</v>
      </c>
      <c r="AE305" s="88"/>
      <c r="AF305" s="89"/>
      <c r="AG305" s="92">
        <f>(IF(AE305="u",0.333333333,IF(AE305="W",0,IF(AE305="C",AG305,IF(AE305="op",AG305,(AF305-AE305))))))</f>
        <v>0</v>
      </c>
      <c r="AH305" s="88">
        <v>0.41666666666666669</v>
      </c>
      <c r="AI305" s="89">
        <v>0.83333333333333337</v>
      </c>
      <c r="AJ305" s="92">
        <f>(IF(AH305="u",0.333333333,IF(AH305="W",0,IF(AH305="C",AJ305,IF(AH305="op",AJ305,(AI305-AH305))))))</f>
        <v>0.41666666666666669</v>
      </c>
      <c r="AK305" s="88"/>
      <c r="AL305" s="89"/>
      <c r="AM305" s="92">
        <f>(IF(AK305="u",0.333333333,IF(AK305="W",0,IF(AK305="C",AM305,IF(AK305="op",AM305,(AL305-AK305))))))</f>
        <v>0</v>
      </c>
      <c r="AN305" s="86">
        <v>5</v>
      </c>
      <c r="AO305" s="87" t="s">
        <v>5</v>
      </c>
      <c r="AQ305" s="33"/>
      <c r="AR305" s="33"/>
      <c r="AS305" s="33"/>
      <c r="AT305" s="33"/>
      <c r="AU305" s="33"/>
      <c r="AV305" s="33"/>
      <c r="AW305" s="33"/>
      <c r="AX305" s="33"/>
      <c r="AY305" s="33"/>
      <c r="AZ305" s="33"/>
      <c r="BA305" s="33"/>
      <c r="BB305" s="33"/>
      <c r="BC305" s="33"/>
      <c r="BD305" s="33"/>
      <c r="BE305" s="33"/>
      <c r="BF305" s="33"/>
      <c r="BG305" s="33"/>
      <c r="BH305" s="33"/>
      <c r="BI305" s="33"/>
      <c r="BJ305" s="33"/>
      <c r="BK305" s="33"/>
      <c r="BL305" s="33"/>
      <c r="BM305" s="33"/>
      <c r="BN305" s="33"/>
      <c r="BO305" s="33"/>
      <c r="BP305" s="33"/>
      <c r="BQ305" s="33"/>
      <c r="BR305" s="33"/>
      <c r="BS305" s="33"/>
      <c r="BT305" s="33"/>
      <c r="BU305" s="33"/>
      <c r="BV305" s="33"/>
      <c r="BW305" s="33"/>
      <c r="BX305" s="33"/>
      <c r="BY305" s="33"/>
      <c r="BZ305" s="33"/>
      <c r="CA305" s="33"/>
      <c r="CB305" s="33"/>
      <c r="CC305" s="33"/>
      <c r="CD305" s="33"/>
      <c r="CE305" s="33"/>
      <c r="CF305" s="33"/>
      <c r="CG305" s="33"/>
      <c r="CH305" s="33"/>
      <c r="CI305" s="33"/>
      <c r="CJ305" s="33"/>
      <c r="CK305" s="33"/>
      <c r="CL305" s="33"/>
      <c r="CM305" s="33"/>
      <c r="CN305" s="33"/>
      <c r="CO305" s="33"/>
      <c r="CP305" s="33"/>
      <c r="CQ305" s="33"/>
      <c r="CR305" s="33"/>
      <c r="CS305" s="33"/>
      <c r="CT305" s="33"/>
      <c r="CU305" s="33"/>
      <c r="CV305" s="33"/>
      <c r="CW305" s="33"/>
      <c r="CX305" s="33"/>
      <c r="CY305" s="33"/>
      <c r="CZ305" s="33"/>
      <c r="DA305" s="33"/>
      <c r="DB305" s="33"/>
      <c r="DC305" s="33"/>
      <c r="DD305" s="33"/>
      <c r="DE305" s="33"/>
      <c r="DF305" s="33"/>
      <c r="DG305" s="33"/>
      <c r="DH305" s="33"/>
      <c r="DI305" s="33"/>
      <c r="DJ305" s="33"/>
      <c r="DK305" s="33"/>
      <c r="DL305" s="33"/>
      <c r="DM305" s="33"/>
      <c r="DN305" s="33"/>
      <c r="DO305" s="33"/>
      <c r="DP305" s="33"/>
      <c r="DQ305" s="33"/>
    </row>
    <row r="306" spans="2:121" ht="14.4">
      <c r="B306" s="86">
        <v>6</v>
      </c>
      <c r="C306" s="87" t="s">
        <v>6</v>
      </c>
      <c r="D306" s="88" t="s">
        <v>111</v>
      </c>
      <c r="E306" s="89"/>
      <c r="F306" s="92">
        <f t="shared" ref="F306:F314" si="331">(IF(D306="u",0.333333333,IF(D306="W",0,IF(D306="C",F306,IF(D306="op",F306,(E306-D306))))))</f>
        <v>0</v>
      </c>
      <c r="G306" s="88" t="s">
        <v>111</v>
      </c>
      <c r="H306" s="89"/>
      <c r="I306" s="92">
        <f t="shared" ref="I306:I314" si="332">(IF(G306="u",0.333333333,IF(G306="W",0,IF(G306="C",I306,IF(G306="op",I306,(H306-G306))))))</f>
        <v>0</v>
      </c>
      <c r="J306" s="88">
        <v>0.625</v>
      </c>
      <c r="K306" s="89">
        <v>1.125</v>
      </c>
      <c r="L306" s="92">
        <f t="shared" ref="L306:L314" si="333">(IF(J306="u",0.333333333,IF(J306="W",0,IF(J306="C",L306,IF(J306="op",L306,(K306-J306))))))</f>
        <v>0.5</v>
      </c>
      <c r="M306" s="88">
        <v>0.33333333333333331</v>
      </c>
      <c r="N306" s="89">
        <v>0.83333333333333337</v>
      </c>
      <c r="O306" s="92">
        <f t="shared" ref="O306:O314" si="334">(IF(M306="u",0.333333333,IF(M306="W",0,IF(M306="C",O306,IF(M306="op",O306,(N306-M306))))))</f>
        <v>0.5</v>
      </c>
      <c r="P306" s="88"/>
      <c r="Q306" s="89"/>
      <c r="R306" s="92">
        <f t="shared" ref="R306:R314" si="335">(IF(P306="u",0.333333333,IF(P306="W",0,IF(P306="C",R306,IF(P306="op",R306,(Q306-P306))))))</f>
        <v>0</v>
      </c>
      <c r="S306" s="88">
        <v>0.625</v>
      </c>
      <c r="T306" s="89">
        <v>1.125</v>
      </c>
      <c r="U306" s="92">
        <f t="shared" ref="U306:U314" si="336">(IF(S306="u",0.333333333,IF(S306="W",0,IF(S306="C",U306,IF(S306="op",U306,(T306-S306))))))</f>
        <v>0.5</v>
      </c>
      <c r="V306" s="88" t="s">
        <v>111</v>
      </c>
      <c r="W306" s="89"/>
      <c r="X306" s="92">
        <f t="shared" ref="X306:X314" si="337">(IF(V306="u",0.333333333,IF(V306="W",0,IF(V306="C",X306,IF(V306="op",X306,(W306-V306))))))</f>
        <v>0</v>
      </c>
      <c r="Y306" s="88"/>
      <c r="Z306" s="89"/>
      <c r="AA306" s="92">
        <f t="shared" ref="AA306:AA314" si="338">(IF(Y306="u",0.333333333,IF(Y306="W",0,IF(Y306="C",AA306,IF(Y306="op",AA306,(Z306-Y306))))))</f>
        <v>0</v>
      </c>
      <c r="AB306" s="88" t="s">
        <v>111</v>
      </c>
      <c r="AC306" s="89"/>
      <c r="AD306" s="92">
        <f t="shared" ref="AD306:AD314" si="339">(IF(AB306="u",0.333333333,IF(AB306="W",0,IF(AB306="C",AD306,IF(AB306="op",AD306,(AC306-AB306))))))</f>
        <v>0</v>
      </c>
      <c r="AE306" s="88"/>
      <c r="AF306" s="89"/>
      <c r="AG306" s="92">
        <f t="shared" ref="AG306:AG314" si="340">(IF(AE306="u",0.333333333,IF(AE306="W",0,IF(AE306="C",AG306,IF(AE306="op",AG306,(AF306-AE306))))))</f>
        <v>0</v>
      </c>
      <c r="AH306" s="88" t="s">
        <v>111</v>
      </c>
      <c r="AI306" s="89"/>
      <c r="AJ306" s="92">
        <f t="shared" ref="AJ306:AJ314" si="341">(IF(AH306="u",0.333333333,IF(AH306="W",0,IF(AH306="C",AJ306,IF(AH306="op",AJ306,(AI306-AH306))))))</f>
        <v>0</v>
      </c>
      <c r="AK306" s="88"/>
      <c r="AL306" s="89"/>
      <c r="AM306" s="92">
        <f t="shared" ref="AM306:AM314" si="342">(IF(AK306="u",0.333333333,IF(AK306="W",0,IF(AK306="C",AM306,IF(AK306="op",AM306,(AL306-AK306))))))</f>
        <v>0</v>
      </c>
      <c r="AN306" s="86">
        <v>6</v>
      </c>
      <c r="AO306" s="87" t="s">
        <v>6</v>
      </c>
      <c r="AQ306" s="33"/>
      <c r="AR306" s="33"/>
      <c r="AS306" s="33"/>
      <c r="AT306" s="33"/>
      <c r="AU306" s="33"/>
      <c r="AV306" s="33"/>
      <c r="AW306" s="33"/>
      <c r="AX306" s="33"/>
      <c r="AY306" s="33"/>
      <c r="AZ306" s="33"/>
      <c r="BA306" s="33"/>
      <c r="BB306" s="33"/>
      <c r="BC306" s="33"/>
      <c r="BD306" s="33"/>
      <c r="BE306" s="33"/>
      <c r="BF306" s="33"/>
      <c r="BG306" s="33"/>
      <c r="BH306" s="33"/>
      <c r="BI306" s="33"/>
      <c r="BJ306" s="33"/>
      <c r="BK306" s="33"/>
      <c r="BL306" s="33"/>
      <c r="BM306" s="33"/>
      <c r="BN306" s="33"/>
      <c r="BO306" s="33"/>
      <c r="BP306" s="33"/>
      <c r="BQ306" s="33"/>
      <c r="BR306" s="33"/>
      <c r="BS306" s="33"/>
      <c r="BT306" s="33"/>
      <c r="BU306" s="33"/>
      <c r="BV306" s="33"/>
      <c r="BW306" s="33"/>
      <c r="BX306" s="33"/>
      <c r="BY306" s="33"/>
      <c r="BZ306" s="33"/>
      <c r="CA306" s="33"/>
      <c r="CB306" s="33"/>
      <c r="CC306" s="33"/>
      <c r="CD306" s="33"/>
      <c r="CE306" s="33"/>
      <c r="CF306" s="33"/>
      <c r="CG306" s="33"/>
      <c r="CH306" s="33"/>
      <c r="CI306" s="33"/>
      <c r="CJ306" s="33"/>
      <c r="CK306" s="33"/>
      <c r="CL306" s="33"/>
      <c r="CM306" s="33"/>
      <c r="CN306" s="33"/>
      <c r="CO306" s="33"/>
      <c r="CP306" s="33"/>
      <c r="CQ306" s="33"/>
      <c r="CR306" s="33"/>
      <c r="CS306" s="33"/>
      <c r="CT306" s="33"/>
      <c r="CU306" s="33"/>
      <c r="CV306" s="33"/>
      <c r="CW306" s="33"/>
      <c r="CX306" s="33"/>
      <c r="CY306" s="33"/>
      <c r="CZ306" s="33"/>
      <c r="DA306" s="33"/>
      <c r="DB306" s="33"/>
      <c r="DC306" s="33"/>
      <c r="DD306" s="33"/>
      <c r="DE306" s="33"/>
      <c r="DF306" s="33"/>
      <c r="DG306" s="33"/>
      <c r="DH306" s="33"/>
      <c r="DI306" s="33"/>
      <c r="DJ306" s="33"/>
      <c r="DK306" s="33"/>
      <c r="DL306" s="33"/>
      <c r="DM306" s="33"/>
      <c r="DN306" s="33"/>
      <c r="DO306" s="33"/>
      <c r="DP306" s="33"/>
      <c r="DQ306" s="33"/>
    </row>
    <row r="307" spans="2:121" ht="14.4">
      <c r="B307" s="118">
        <v>7</v>
      </c>
      <c r="C307" s="113" t="s">
        <v>7</v>
      </c>
      <c r="D307" s="119" t="s">
        <v>111</v>
      </c>
      <c r="E307" s="120"/>
      <c r="F307" s="128">
        <f t="shared" si="331"/>
        <v>0</v>
      </c>
      <c r="G307" s="119" t="s">
        <v>111</v>
      </c>
      <c r="H307" s="120"/>
      <c r="I307" s="128">
        <f t="shared" si="332"/>
        <v>0</v>
      </c>
      <c r="J307" s="119" t="s">
        <v>111</v>
      </c>
      <c r="K307" s="120"/>
      <c r="L307" s="128">
        <f>(IF(J307="u",0.333333333,IF(J307="W",0,IF(J307="C",L307,IF(J307="op",L307,(K307-J307))))))</f>
        <v>0</v>
      </c>
      <c r="M307" s="119"/>
      <c r="N307" s="120"/>
      <c r="O307" s="128">
        <f t="shared" si="334"/>
        <v>0</v>
      </c>
      <c r="P307" s="119" t="s">
        <v>111</v>
      </c>
      <c r="Q307" s="120"/>
      <c r="R307" s="128">
        <f t="shared" si="335"/>
        <v>0</v>
      </c>
      <c r="S307" s="119">
        <v>0.66666666666666663</v>
      </c>
      <c r="T307" s="120">
        <v>1.1666666666666667</v>
      </c>
      <c r="U307" s="128">
        <f t="shared" si="336"/>
        <v>0.50000000000000011</v>
      </c>
      <c r="V307" s="119" t="s">
        <v>111</v>
      </c>
      <c r="W307" s="120"/>
      <c r="X307" s="128">
        <f t="shared" si="337"/>
        <v>0</v>
      </c>
      <c r="Y307" s="119" t="s">
        <v>111</v>
      </c>
      <c r="Z307" s="120"/>
      <c r="AA307" s="128">
        <f t="shared" si="338"/>
        <v>0</v>
      </c>
      <c r="AB307" s="119" t="s">
        <v>111</v>
      </c>
      <c r="AC307" s="120"/>
      <c r="AD307" s="128">
        <f t="shared" si="339"/>
        <v>0</v>
      </c>
      <c r="AE307" s="119" t="s">
        <v>111</v>
      </c>
      <c r="AF307" s="120"/>
      <c r="AG307" s="128">
        <f t="shared" si="340"/>
        <v>0</v>
      </c>
      <c r="AH307" s="119" t="s">
        <v>111</v>
      </c>
      <c r="AI307" s="120"/>
      <c r="AJ307" s="128">
        <f t="shared" si="341"/>
        <v>0</v>
      </c>
      <c r="AK307" s="119" t="s">
        <v>111</v>
      </c>
      <c r="AL307" s="120"/>
      <c r="AM307" s="128">
        <f t="shared" si="342"/>
        <v>0</v>
      </c>
      <c r="AN307" s="118">
        <v>7</v>
      </c>
      <c r="AO307" s="113" t="s">
        <v>7</v>
      </c>
      <c r="AQ307" s="33"/>
      <c r="AR307" s="33"/>
      <c r="AS307" s="33"/>
      <c r="AT307" s="33"/>
      <c r="AU307" s="33"/>
      <c r="AV307" s="33"/>
      <c r="AW307" s="33"/>
      <c r="AX307" s="33"/>
      <c r="AY307" s="33"/>
      <c r="AZ307" s="33"/>
      <c r="BA307" s="33"/>
      <c r="BB307" s="33"/>
      <c r="BC307" s="33"/>
      <c r="BD307" s="33"/>
      <c r="BE307" s="33"/>
      <c r="BF307" s="33"/>
      <c r="BG307" s="33"/>
      <c r="BH307" s="33"/>
      <c r="BI307" s="33"/>
      <c r="BJ307" s="33"/>
      <c r="BK307" s="33"/>
      <c r="BL307" s="33"/>
      <c r="BM307" s="33"/>
      <c r="BN307" s="33"/>
      <c r="BO307" s="33"/>
      <c r="BP307" s="33"/>
      <c r="BQ307" s="33"/>
      <c r="BR307" s="33"/>
      <c r="BS307" s="33"/>
      <c r="BT307" s="33"/>
      <c r="BU307" s="33"/>
      <c r="BV307" s="33"/>
      <c r="BW307" s="33"/>
      <c r="BX307" s="33"/>
      <c r="BY307" s="33"/>
      <c r="BZ307" s="33"/>
      <c r="CA307" s="33"/>
      <c r="CB307" s="33"/>
      <c r="CC307" s="33"/>
      <c r="CD307" s="33"/>
      <c r="CE307" s="33"/>
      <c r="CF307" s="33"/>
      <c r="CG307" s="33"/>
      <c r="CH307" s="33"/>
      <c r="CI307" s="33"/>
      <c r="CJ307" s="33"/>
      <c r="CK307" s="33"/>
      <c r="CL307" s="33"/>
      <c r="CM307" s="33"/>
      <c r="CN307" s="33"/>
      <c r="CO307" s="33"/>
      <c r="CP307" s="33"/>
      <c r="CQ307" s="33"/>
      <c r="CR307" s="33"/>
      <c r="CS307" s="33"/>
      <c r="CT307" s="33"/>
      <c r="CU307" s="33"/>
      <c r="CV307" s="33"/>
      <c r="CW307" s="33"/>
      <c r="CX307" s="33"/>
      <c r="CY307" s="33"/>
      <c r="CZ307" s="33"/>
      <c r="DA307" s="33"/>
      <c r="DB307" s="33"/>
      <c r="DC307" s="33"/>
      <c r="DD307" s="33"/>
      <c r="DE307" s="33"/>
      <c r="DF307" s="33"/>
      <c r="DG307" s="33"/>
      <c r="DH307" s="33"/>
      <c r="DI307" s="33"/>
      <c r="DJ307" s="33"/>
      <c r="DK307" s="33"/>
      <c r="DL307" s="33"/>
      <c r="DM307" s="33"/>
      <c r="DN307" s="33"/>
      <c r="DO307" s="33"/>
      <c r="DP307" s="33"/>
      <c r="DQ307" s="33"/>
    </row>
    <row r="308" spans="2:121" ht="14.4">
      <c r="B308" s="118">
        <v>8</v>
      </c>
      <c r="C308" s="113" t="s">
        <v>8</v>
      </c>
      <c r="D308" s="119" t="s">
        <v>111</v>
      </c>
      <c r="E308" s="120"/>
      <c r="F308" s="128">
        <f t="shared" si="331"/>
        <v>0</v>
      </c>
      <c r="G308" s="119" t="s">
        <v>111</v>
      </c>
      <c r="H308" s="120"/>
      <c r="I308" s="128">
        <f t="shared" si="332"/>
        <v>0</v>
      </c>
      <c r="J308" s="119" t="s">
        <v>111</v>
      </c>
      <c r="K308" s="120"/>
      <c r="L308" s="128">
        <f>(IF(J308="u",0.333333333,IF(J308="W",0,IF(J308="C",L308,IF(J308="op",L308,(K308-J308))))))</f>
        <v>0</v>
      </c>
      <c r="M308" s="119"/>
      <c r="N308" s="120"/>
      <c r="O308" s="128">
        <f t="shared" si="334"/>
        <v>0</v>
      </c>
      <c r="P308" s="119" t="s">
        <v>111</v>
      </c>
      <c r="Q308" s="120"/>
      <c r="R308" s="128">
        <f t="shared" si="335"/>
        <v>0</v>
      </c>
      <c r="S308" s="119"/>
      <c r="T308" s="120"/>
      <c r="U308" s="128">
        <f t="shared" si="336"/>
        <v>0</v>
      </c>
      <c r="V308" s="119" t="s">
        <v>111</v>
      </c>
      <c r="W308" s="120"/>
      <c r="X308" s="128">
        <f t="shared" si="337"/>
        <v>0</v>
      </c>
      <c r="Y308" s="119" t="s">
        <v>111</v>
      </c>
      <c r="Z308" s="120"/>
      <c r="AA308" s="128">
        <f t="shared" si="338"/>
        <v>0</v>
      </c>
      <c r="AB308" s="119" t="s">
        <v>111</v>
      </c>
      <c r="AC308" s="120"/>
      <c r="AD308" s="128">
        <f t="shared" si="339"/>
        <v>0</v>
      </c>
      <c r="AE308" s="119" t="s">
        <v>111</v>
      </c>
      <c r="AF308" s="120"/>
      <c r="AG308" s="128">
        <f t="shared" si="340"/>
        <v>0</v>
      </c>
      <c r="AH308" s="119" t="s">
        <v>111</v>
      </c>
      <c r="AI308" s="120"/>
      <c r="AJ308" s="128">
        <f t="shared" si="341"/>
        <v>0</v>
      </c>
      <c r="AK308" s="119" t="s">
        <v>111</v>
      </c>
      <c r="AL308" s="120"/>
      <c r="AM308" s="128">
        <f t="shared" si="342"/>
        <v>0</v>
      </c>
      <c r="AN308" s="118">
        <v>8</v>
      </c>
      <c r="AO308" s="113" t="s">
        <v>8</v>
      </c>
      <c r="AQ308" s="33"/>
      <c r="AR308" s="33"/>
      <c r="AS308" s="33"/>
      <c r="AT308" s="33"/>
      <c r="AU308" s="33"/>
      <c r="AV308" s="33"/>
      <c r="AW308" s="33"/>
      <c r="AX308" s="33"/>
      <c r="AY308" s="33"/>
      <c r="AZ308" s="33"/>
      <c r="BA308" s="33"/>
      <c r="BB308" s="33"/>
      <c r="BC308" s="33"/>
      <c r="BD308" s="33"/>
      <c r="BE308" s="33"/>
      <c r="BF308" s="33"/>
      <c r="BG308" s="33"/>
      <c r="BH308" s="33"/>
      <c r="BI308" s="33"/>
      <c r="BJ308" s="33"/>
      <c r="BK308" s="33"/>
      <c r="BL308" s="33"/>
      <c r="BM308" s="33"/>
      <c r="BN308" s="33"/>
      <c r="BO308" s="33"/>
      <c r="BP308" s="33"/>
      <c r="BQ308" s="33"/>
      <c r="BR308" s="33"/>
      <c r="BS308" s="33"/>
      <c r="BT308" s="33"/>
      <c r="BU308" s="33"/>
      <c r="BV308" s="33"/>
      <c r="BW308" s="33"/>
      <c r="BX308" s="33"/>
      <c r="BY308" s="33"/>
      <c r="BZ308" s="33"/>
      <c r="CA308" s="33"/>
      <c r="CB308" s="33"/>
      <c r="CC308" s="33"/>
      <c r="CD308" s="33"/>
      <c r="CE308" s="33"/>
      <c r="CF308" s="33"/>
      <c r="CG308" s="33"/>
      <c r="CH308" s="33"/>
      <c r="CI308" s="33"/>
      <c r="CJ308" s="33"/>
      <c r="CK308" s="33"/>
      <c r="CL308" s="33"/>
      <c r="CM308" s="33"/>
      <c r="CN308" s="33"/>
      <c r="CO308" s="33"/>
      <c r="CP308" s="33"/>
      <c r="CQ308" s="33"/>
      <c r="CR308" s="33"/>
      <c r="CS308" s="33"/>
      <c r="CT308" s="33"/>
      <c r="CU308" s="33"/>
      <c r="CV308" s="33"/>
      <c r="CW308" s="33"/>
      <c r="CX308" s="33"/>
      <c r="CY308" s="33"/>
      <c r="CZ308" s="33"/>
      <c r="DA308" s="33"/>
      <c r="DB308" s="33"/>
      <c r="DC308" s="33"/>
      <c r="DD308" s="33"/>
      <c r="DE308" s="33"/>
      <c r="DF308" s="33"/>
      <c r="DG308" s="33"/>
      <c r="DH308" s="33"/>
      <c r="DI308" s="33"/>
      <c r="DJ308" s="33"/>
      <c r="DK308" s="33"/>
      <c r="DL308" s="33"/>
      <c r="DM308" s="33"/>
      <c r="DN308" s="33"/>
      <c r="DO308" s="33"/>
      <c r="DP308" s="33"/>
      <c r="DQ308" s="33"/>
    </row>
    <row r="309" spans="2:121" ht="14.4">
      <c r="B309" s="118">
        <v>9</v>
      </c>
      <c r="C309" s="113" t="s">
        <v>12</v>
      </c>
      <c r="D309" s="119" t="s">
        <v>111</v>
      </c>
      <c r="E309" s="120"/>
      <c r="F309" s="128">
        <f t="shared" si="331"/>
        <v>0</v>
      </c>
      <c r="G309" s="119" t="s">
        <v>111</v>
      </c>
      <c r="H309" s="120"/>
      <c r="I309" s="128">
        <f t="shared" si="332"/>
        <v>0</v>
      </c>
      <c r="J309" s="119" t="s">
        <v>111</v>
      </c>
      <c r="K309" s="120"/>
      <c r="L309" s="128">
        <f t="shared" si="333"/>
        <v>0</v>
      </c>
      <c r="M309" s="119"/>
      <c r="N309" s="120"/>
      <c r="O309" s="128">
        <f t="shared" si="334"/>
        <v>0</v>
      </c>
      <c r="P309" s="119" t="s">
        <v>111</v>
      </c>
      <c r="Q309" s="120"/>
      <c r="R309" s="128">
        <f t="shared" si="335"/>
        <v>0</v>
      </c>
      <c r="S309" s="119"/>
      <c r="T309" s="120"/>
      <c r="U309" s="128">
        <f t="shared" si="336"/>
        <v>0</v>
      </c>
      <c r="V309" s="119">
        <v>0.16666666666666666</v>
      </c>
      <c r="W309" s="120">
        <v>0.66666666666666663</v>
      </c>
      <c r="X309" s="128">
        <f t="shared" si="337"/>
        <v>0.5</v>
      </c>
      <c r="Y309" s="119" t="s">
        <v>111</v>
      </c>
      <c r="Z309" s="120"/>
      <c r="AA309" s="128">
        <f t="shared" si="338"/>
        <v>0</v>
      </c>
      <c r="AB309" s="119" t="s">
        <v>111</v>
      </c>
      <c r="AC309" s="120"/>
      <c r="AD309" s="128">
        <f t="shared" si="339"/>
        <v>0</v>
      </c>
      <c r="AE309" s="119" t="s">
        <v>111</v>
      </c>
      <c r="AF309" s="120"/>
      <c r="AG309" s="128">
        <f t="shared" si="340"/>
        <v>0</v>
      </c>
      <c r="AH309" s="119" t="s">
        <v>111</v>
      </c>
      <c r="AI309" s="120"/>
      <c r="AJ309" s="128">
        <f t="shared" si="341"/>
        <v>0</v>
      </c>
      <c r="AK309" s="119" t="s">
        <v>111</v>
      </c>
      <c r="AL309" s="120"/>
      <c r="AM309" s="128">
        <f t="shared" si="342"/>
        <v>0</v>
      </c>
      <c r="AN309" s="118">
        <v>9</v>
      </c>
      <c r="AO309" s="113" t="s">
        <v>12</v>
      </c>
      <c r="AQ309" s="33"/>
      <c r="AR309" s="33"/>
      <c r="AS309" s="33"/>
      <c r="AT309" s="33"/>
      <c r="AU309" s="33"/>
      <c r="AV309" s="33"/>
      <c r="AW309" s="33"/>
      <c r="AX309" s="33"/>
      <c r="AY309" s="33"/>
      <c r="AZ309" s="33"/>
      <c r="BA309" s="33"/>
      <c r="BB309" s="33"/>
      <c r="BC309" s="33"/>
      <c r="BD309" s="33"/>
      <c r="BE309" s="33"/>
      <c r="BF309" s="33"/>
      <c r="BG309" s="33"/>
      <c r="BH309" s="33"/>
      <c r="BI309" s="33"/>
      <c r="BJ309" s="33"/>
      <c r="BK309" s="33"/>
      <c r="BL309" s="33"/>
      <c r="BM309" s="33"/>
      <c r="BN309" s="33"/>
      <c r="BO309" s="33"/>
      <c r="BP309" s="33"/>
      <c r="BQ309" s="33"/>
      <c r="BR309" s="33"/>
      <c r="BS309" s="33"/>
      <c r="BT309" s="33"/>
      <c r="BU309" s="33"/>
      <c r="BV309" s="33"/>
      <c r="BW309" s="33"/>
      <c r="BX309" s="33"/>
      <c r="BY309" s="33"/>
      <c r="BZ309" s="33"/>
      <c r="CA309" s="33"/>
      <c r="CB309" s="33"/>
      <c r="CC309" s="33"/>
      <c r="CD309" s="33"/>
      <c r="CE309" s="33"/>
      <c r="CF309" s="33"/>
      <c r="CG309" s="33"/>
      <c r="CH309" s="33"/>
      <c r="CI309" s="33"/>
      <c r="CJ309" s="33"/>
      <c r="CK309" s="33"/>
      <c r="CL309" s="33"/>
      <c r="CM309" s="33"/>
      <c r="CN309" s="33"/>
      <c r="CO309" s="33"/>
      <c r="CP309" s="33"/>
      <c r="CQ309" s="33"/>
      <c r="CR309" s="33"/>
      <c r="CS309" s="33"/>
      <c r="CT309" s="33"/>
      <c r="CU309" s="33"/>
      <c r="CV309" s="33"/>
      <c r="CW309" s="33"/>
      <c r="CX309" s="33"/>
      <c r="CY309" s="33"/>
      <c r="CZ309" s="33"/>
      <c r="DA309" s="33"/>
      <c r="DB309" s="33"/>
      <c r="DC309" s="33"/>
      <c r="DD309" s="33"/>
      <c r="DE309" s="33"/>
      <c r="DF309" s="33"/>
      <c r="DG309" s="33"/>
      <c r="DH309" s="33"/>
      <c r="DI309" s="33"/>
      <c r="DJ309" s="33"/>
      <c r="DK309" s="33"/>
      <c r="DL309" s="33"/>
      <c r="DM309" s="33"/>
      <c r="DN309" s="33"/>
      <c r="DO309" s="33"/>
      <c r="DP309" s="33"/>
      <c r="DQ309" s="33"/>
    </row>
    <row r="310" spans="2:121" ht="14.4">
      <c r="B310" s="118">
        <v>10</v>
      </c>
      <c r="C310" s="113" t="s">
        <v>85</v>
      </c>
      <c r="D310" s="119" t="s">
        <v>111</v>
      </c>
      <c r="E310" s="120"/>
      <c r="F310" s="128">
        <f t="shared" si="331"/>
        <v>0</v>
      </c>
      <c r="G310" s="119" t="s">
        <v>111</v>
      </c>
      <c r="H310" s="120"/>
      <c r="I310" s="128">
        <f t="shared" si="332"/>
        <v>0</v>
      </c>
      <c r="J310" s="119" t="s">
        <v>111</v>
      </c>
      <c r="K310" s="120"/>
      <c r="L310" s="128">
        <f t="shared" si="333"/>
        <v>0</v>
      </c>
      <c r="M310" s="119"/>
      <c r="N310" s="120"/>
      <c r="O310" s="128">
        <f t="shared" si="334"/>
        <v>0</v>
      </c>
      <c r="P310" s="119" t="s">
        <v>111</v>
      </c>
      <c r="Q310" s="120"/>
      <c r="R310" s="128">
        <f t="shared" si="335"/>
        <v>0</v>
      </c>
      <c r="S310" s="119"/>
      <c r="T310" s="120"/>
      <c r="U310" s="128">
        <f t="shared" si="336"/>
        <v>0</v>
      </c>
      <c r="V310" s="119" t="s">
        <v>111</v>
      </c>
      <c r="W310" s="120"/>
      <c r="X310" s="128">
        <f t="shared" si="337"/>
        <v>0</v>
      </c>
      <c r="Y310" s="119" t="s">
        <v>111</v>
      </c>
      <c r="Z310" s="120"/>
      <c r="AA310" s="128">
        <f t="shared" si="338"/>
        <v>0</v>
      </c>
      <c r="AB310" s="119">
        <v>0.625</v>
      </c>
      <c r="AC310" s="120">
        <v>1.125</v>
      </c>
      <c r="AD310" s="128">
        <f t="shared" si="339"/>
        <v>0.5</v>
      </c>
      <c r="AE310" s="119" t="s">
        <v>111</v>
      </c>
      <c r="AF310" s="120"/>
      <c r="AG310" s="128">
        <f t="shared" si="340"/>
        <v>0</v>
      </c>
      <c r="AH310" s="119" t="s">
        <v>111</v>
      </c>
      <c r="AI310" s="120"/>
      <c r="AJ310" s="128">
        <f t="shared" si="341"/>
        <v>0</v>
      </c>
      <c r="AK310" s="119" t="s">
        <v>111</v>
      </c>
      <c r="AL310" s="120"/>
      <c r="AM310" s="128">
        <f t="shared" si="342"/>
        <v>0</v>
      </c>
      <c r="AN310" s="118">
        <v>10</v>
      </c>
      <c r="AO310" s="113" t="s">
        <v>85</v>
      </c>
      <c r="AQ310" s="33"/>
      <c r="AR310" s="33"/>
      <c r="AS310" s="33"/>
      <c r="AT310" s="33"/>
      <c r="AU310" s="33"/>
      <c r="AV310" s="33"/>
      <c r="AW310" s="33"/>
      <c r="AX310" s="33"/>
      <c r="AY310" s="33"/>
      <c r="AZ310" s="33"/>
      <c r="BA310" s="33"/>
      <c r="BB310" s="33"/>
      <c r="BC310" s="33"/>
      <c r="BD310" s="33"/>
      <c r="BE310" s="33"/>
      <c r="BF310" s="33"/>
      <c r="BG310" s="33"/>
      <c r="BH310" s="33"/>
      <c r="BI310" s="33"/>
      <c r="BJ310" s="33"/>
      <c r="BK310" s="33"/>
      <c r="BL310" s="33"/>
      <c r="BM310" s="33"/>
      <c r="BN310" s="33"/>
      <c r="BO310" s="33"/>
      <c r="BP310" s="33"/>
      <c r="BQ310" s="33"/>
      <c r="BR310" s="33"/>
      <c r="BS310" s="33"/>
      <c r="BT310" s="33"/>
      <c r="BU310" s="33"/>
      <c r="BV310" s="33"/>
      <c r="BW310" s="33"/>
      <c r="BX310" s="33"/>
      <c r="BY310" s="33"/>
      <c r="BZ310" s="33"/>
      <c r="CA310" s="33"/>
      <c r="CB310" s="33"/>
      <c r="CC310" s="33"/>
      <c r="CD310" s="33"/>
      <c r="CE310" s="33"/>
      <c r="CF310" s="33"/>
      <c r="CG310" s="33"/>
      <c r="CH310" s="33"/>
      <c r="CI310" s="33"/>
      <c r="CJ310" s="33"/>
      <c r="CK310" s="33"/>
      <c r="CL310" s="33"/>
      <c r="CM310" s="33"/>
      <c r="CN310" s="33"/>
      <c r="CO310" s="33"/>
      <c r="CP310" s="33"/>
      <c r="CQ310" s="33"/>
      <c r="CR310" s="33"/>
      <c r="CS310" s="33"/>
      <c r="CT310" s="33"/>
      <c r="CU310" s="33"/>
      <c r="CV310" s="33"/>
      <c r="CW310" s="33"/>
      <c r="CX310" s="33"/>
      <c r="CY310" s="33"/>
      <c r="CZ310" s="33"/>
      <c r="DA310" s="33"/>
      <c r="DB310" s="33"/>
      <c r="DC310" s="33"/>
      <c r="DD310" s="33"/>
      <c r="DE310" s="33"/>
      <c r="DF310" s="33"/>
      <c r="DG310" s="33"/>
      <c r="DH310" s="33"/>
      <c r="DI310" s="33"/>
      <c r="DJ310" s="33"/>
      <c r="DK310" s="33"/>
      <c r="DL310" s="33"/>
      <c r="DM310" s="33"/>
      <c r="DN310" s="33"/>
      <c r="DO310" s="33"/>
      <c r="DP310" s="33"/>
      <c r="DQ310" s="33"/>
    </row>
    <row r="311" spans="2:121" ht="14.4">
      <c r="B311" s="118">
        <v>11</v>
      </c>
      <c r="C311" s="113" t="s">
        <v>4</v>
      </c>
      <c r="D311" s="119" t="s">
        <v>111</v>
      </c>
      <c r="E311" s="120"/>
      <c r="F311" s="128">
        <f t="shared" si="331"/>
        <v>0</v>
      </c>
      <c r="G311" s="119" t="s">
        <v>111</v>
      </c>
      <c r="H311" s="120"/>
      <c r="I311" s="128">
        <f t="shared" si="332"/>
        <v>0</v>
      </c>
      <c r="J311" s="119" t="s">
        <v>111</v>
      </c>
      <c r="K311" s="120"/>
      <c r="L311" s="128">
        <f t="shared" si="333"/>
        <v>0</v>
      </c>
      <c r="M311" s="119"/>
      <c r="N311" s="120"/>
      <c r="O311" s="128">
        <f t="shared" si="334"/>
        <v>0</v>
      </c>
      <c r="P311" s="119" t="s">
        <v>111</v>
      </c>
      <c r="Q311" s="120"/>
      <c r="R311" s="128">
        <f t="shared" si="335"/>
        <v>0</v>
      </c>
      <c r="S311" s="119">
        <v>0.66666666666666663</v>
      </c>
      <c r="T311" s="120">
        <v>1.1666666666666667</v>
      </c>
      <c r="U311" s="128">
        <f t="shared" si="336"/>
        <v>0.50000000000000011</v>
      </c>
      <c r="V311" s="119" t="s">
        <v>111</v>
      </c>
      <c r="W311" s="120"/>
      <c r="X311" s="128">
        <f t="shared" si="337"/>
        <v>0</v>
      </c>
      <c r="Y311" s="119" t="s">
        <v>111</v>
      </c>
      <c r="Z311" s="120"/>
      <c r="AA311" s="128">
        <f t="shared" si="338"/>
        <v>0</v>
      </c>
      <c r="AB311" s="119" t="s">
        <v>111</v>
      </c>
      <c r="AC311" s="120"/>
      <c r="AD311" s="128">
        <f t="shared" ref="AD311" si="343">(IF(AB311="u",0.333333333,IF(AB311="W",0,IF(AB311="C",AD311,IF(AB311="op",AD311,(AC311-AB311))))))</f>
        <v>0</v>
      </c>
      <c r="AE311" s="119"/>
      <c r="AF311" s="120"/>
      <c r="AG311" s="128">
        <f t="shared" si="340"/>
        <v>0</v>
      </c>
      <c r="AH311" s="119" t="s">
        <v>111</v>
      </c>
      <c r="AI311" s="120"/>
      <c r="AJ311" s="128">
        <f t="shared" si="341"/>
        <v>0</v>
      </c>
      <c r="AK311" s="119" t="s">
        <v>111</v>
      </c>
      <c r="AL311" s="120"/>
      <c r="AM311" s="128">
        <f t="shared" si="342"/>
        <v>0</v>
      </c>
      <c r="AN311" s="118">
        <v>11</v>
      </c>
      <c r="AO311" s="113" t="s">
        <v>4</v>
      </c>
      <c r="AQ311" s="33"/>
      <c r="AR311" s="33"/>
      <c r="AS311" s="33"/>
      <c r="AT311" s="33"/>
      <c r="AU311" s="33"/>
      <c r="AV311" s="33"/>
      <c r="AW311" s="33"/>
      <c r="AX311" s="33"/>
      <c r="AY311" s="33"/>
      <c r="AZ311" s="33"/>
      <c r="BA311" s="33"/>
      <c r="BB311" s="33"/>
      <c r="BC311" s="33"/>
      <c r="BD311" s="33"/>
      <c r="BE311" s="33"/>
      <c r="BF311" s="33"/>
      <c r="BG311" s="33"/>
      <c r="BH311" s="33"/>
      <c r="BI311" s="33"/>
      <c r="BJ311" s="33"/>
      <c r="BK311" s="33"/>
      <c r="BL311" s="33"/>
      <c r="BM311" s="33"/>
      <c r="BN311" s="33"/>
      <c r="BO311" s="33"/>
      <c r="BP311" s="33"/>
      <c r="BQ311" s="33"/>
      <c r="BR311" s="33"/>
      <c r="BS311" s="33"/>
      <c r="BT311" s="33"/>
      <c r="BU311" s="33"/>
      <c r="BV311" s="33"/>
      <c r="BW311" s="33"/>
      <c r="BX311" s="33"/>
      <c r="BY311" s="33"/>
      <c r="BZ311" s="33"/>
      <c r="CA311" s="33"/>
      <c r="CB311" s="33"/>
      <c r="CC311" s="33"/>
      <c r="CD311" s="33"/>
      <c r="CE311" s="33"/>
      <c r="CF311" s="33"/>
      <c r="CG311" s="33"/>
      <c r="CH311" s="33"/>
      <c r="CI311" s="33"/>
      <c r="CJ311" s="33"/>
      <c r="CK311" s="33"/>
      <c r="CL311" s="33"/>
      <c r="CM311" s="33"/>
      <c r="CN311" s="33"/>
      <c r="CO311" s="33"/>
      <c r="CP311" s="33"/>
      <c r="CQ311" s="33"/>
      <c r="CR311" s="33"/>
      <c r="CS311" s="33"/>
      <c r="CT311" s="33"/>
      <c r="CU311" s="33"/>
      <c r="CV311" s="33"/>
      <c r="CW311" s="33"/>
      <c r="CX311" s="33"/>
      <c r="CY311" s="33"/>
      <c r="CZ311" s="33"/>
      <c r="DA311" s="33"/>
      <c r="DB311" s="33"/>
      <c r="DC311" s="33"/>
      <c r="DD311" s="33"/>
      <c r="DE311" s="33"/>
      <c r="DF311" s="33"/>
      <c r="DG311" s="33"/>
      <c r="DH311" s="33"/>
      <c r="DI311" s="33"/>
      <c r="DJ311" s="33"/>
      <c r="DK311" s="33"/>
      <c r="DL311" s="33"/>
      <c r="DM311" s="33"/>
      <c r="DN311" s="33"/>
      <c r="DO311" s="33"/>
      <c r="DP311" s="33"/>
      <c r="DQ311" s="33"/>
    </row>
    <row r="312" spans="2:121" ht="14.4">
      <c r="B312" s="86">
        <v>12</v>
      </c>
      <c r="C312" s="87" t="s">
        <v>5</v>
      </c>
      <c r="D312" s="88" t="s">
        <v>111</v>
      </c>
      <c r="E312" s="89"/>
      <c r="F312" s="92">
        <f t="shared" si="331"/>
        <v>0</v>
      </c>
      <c r="G312" s="88"/>
      <c r="H312" s="89"/>
      <c r="I312" s="92">
        <f t="shared" si="332"/>
        <v>0</v>
      </c>
      <c r="J312" s="88"/>
      <c r="K312" s="89"/>
      <c r="L312" s="92">
        <f t="shared" si="333"/>
        <v>0</v>
      </c>
      <c r="M312" s="88"/>
      <c r="N312" s="89"/>
      <c r="O312" s="92">
        <f t="shared" si="334"/>
        <v>0</v>
      </c>
      <c r="P312" s="88"/>
      <c r="Q312" s="89"/>
      <c r="R312" s="92">
        <f t="shared" si="335"/>
        <v>0</v>
      </c>
      <c r="S312" s="88" t="s">
        <v>111</v>
      </c>
      <c r="T312" s="89"/>
      <c r="U312" s="92">
        <f t="shared" si="336"/>
        <v>0</v>
      </c>
      <c r="V312" s="88" t="s">
        <v>111</v>
      </c>
      <c r="W312" s="89"/>
      <c r="X312" s="92">
        <f t="shared" si="337"/>
        <v>0</v>
      </c>
      <c r="Y312" s="88">
        <v>0.16666666666666666</v>
      </c>
      <c r="Z312" s="89">
        <v>0.66666666666666663</v>
      </c>
      <c r="AA312" s="92">
        <f t="shared" si="338"/>
        <v>0.5</v>
      </c>
      <c r="AB312" s="88">
        <v>0.625</v>
      </c>
      <c r="AC312" s="89">
        <v>1.125</v>
      </c>
      <c r="AD312" s="92">
        <f t="shared" si="339"/>
        <v>0.5</v>
      </c>
      <c r="AE312" s="88"/>
      <c r="AF312" s="89"/>
      <c r="AG312" s="92">
        <f t="shared" si="340"/>
        <v>0</v>
      </c>
      <c r="AH312" s="88"/>
      <c r="AI312" s="89"/>
      <c r="AJ312" s="92">
        <f t="shared" si="341"/>
        <v>0</v>
      </c>
      <c r="AK312" s="88">
        <v>0.29166666666666669</v>
      </c>
      <c r="AL312" s="89">
        <v>0.79166666666666663</v>
      </c>
      <c r="AM312" s="92">
        <f t="shared" si="342"/>
        <v>0.49999999999999994</v>
      </c>
      <c r="AN312" s="86">
        <v>12</v>
      </c>
      <c r="AO312" s="87" t="s">
        <v>5</v>
      </c>
      <c r="AQ312" s="33"/>
      <c r="AR312" s="33"/>
      <c r="AS312" s="33"/>
      <c r="AT312" s="33"/>
      <c r="AU312" s="33"/>
      <c r="AV312" s="33"/>
      <c r="AW312" s="33"/>
      <c r="AX312" s="33"/>
      <c r="AY312" s="33"/>
      <c r="AZ312" s="33"/>
      <c r="BA312" s="33"/>
      <c r="BB312" s="33"/>
      <c r="BC312" s="33"/>
      <c r="BD312" s="33"/>
      <c r="BE312" s="33"/>
      <c r="BF312" s="33"/>
      <c r="BG312" s="33"/>
      <c r="BH312" s="33"/>
      <c r="BI312" s="33"/>
      <c r="BJ312" s="33"/>
      <c r="BK312" s="33"/>
      <c r="BL312" s="33"/>
      <c r="BM312" s="33"/>
      <c r="BN312" s="33"/>
      <c r="BO312" s="33"/>
      <c r="BP312" s="33"/>
      <c r="BQ312" s="33"/>
      <c r="BR312" s="33"/>
      <c r="BS312" s="33"/>
      <c r="BT312" s="33"/>
      <c r="BU312" s="33"/>
      <c r="BV312" s="33"/>
      <c r="BW312" s="33"/>
      <c r="BX312" s="33"/>
      <c r="BY312" s="33"/>
      <c r="BZ312" s="33"/>
      <c r="CA312" s="33"/>
      <c r="CB312" s="33"/>
      <c r="CC312" s="33"/>
      <c r="CD312" s="33"/>
      <c r="CE312" s="33"/>
      <c r="CF312" s="33"/>
      <c r="CG312" s="33"/>
      <c r="CH312" s="33"/>
      <c r="CI312" s="33"/>
      <c r="CJ312" s="33"/>
      <c r="CK312" s="33"/>
      <c r="CL312" s="33"/>
      <c r="CM312" s="33"/>
      <c r="CN312" s="33"/>
      <c r="CO312" s="33"/>
      <c r="CP312" s="33"/>
      <c r="CQ312" s="33"/>
      <c r="CR312" s="33"/>
      <c r="CS312" s="33"/>
      <c r="CT312" s="33"/>
      <c r="CU312" s="33"/>
      <c r="CV312" s="33"/>
      <c r="CW312" s="33"/>
      <c r="CX312" s="33"/>
      <c r="CY312" s="33"/>
      <c r="CZ312" s="33"/>
      <c r="DA312" s="33"/>
      <c r="DB312" s="33"/>
      <c r="DC312" s="33"/>
      <c r="DD312" s="33"/>
      <c r="DE312" s="33"/>
      <c r="DF312" s="33"/>
      <c r="DG312" s="33"/>
      <c r="DH312" s="33"/>
      <c r="DI312" s="33"/>
      <c r="DJ312" s="33"/>
      <c r="DK312" s="33"/>
      <c r="DL312" s="33"/>
      <c r="DM312" s="33"/>
      <c r="DN312" s="33"/>
      <c r="DO312" s="33"/>
      <c r="DP312" s="33"/>
      <c r="DQ312" s="33"/>
    </row>
    <row r="313" spans="2:121" ht="14.4">
      <c r="B313" s="86">
        <v>13</v>
      </c>
      <c r="C313" s="87" t="s">
        <v>6</v>
      </c>
      <c r="D313" s="88" t="s">
        <v>111</v>
      </c>
      <c r="E313" s="89"/>
      <c r="F313" s="92">
        <f t="shared" si="331"/>
        <v>0</v>
      </c>
      <c r="G313" s="88"/>
      <c r="H313" s="89"/>
      <c r="I313" s="92">
        <f t="shared" si="332"/>
        <v>0</v>
      </c>
      <c r="J313" s="88"/>
      <c r="K313" s="89"/>
      <c r="L313" s="92">
        <f t="shared" si="333"/>
        <v>0</v>
      </c>
      <c r="M313" s="88">
        <v>0.29166666666666669</v>
      </c>
      <c r="N313" s="89">
        <v>0.79166666666666663</v>
      </c>
      <c r="O313" s="92">
        <f t="shared" si="334"/>
        <v>0.49999999999999994</v>
      </c>
      <c r="P313" s="88"/>
      <c r="Q313" s="89"/>
      <c r="R313" s="92">
        <f t="shared" si="335"/>
        <v>0</v>
      </c>
      <c r="S313" s="88" t="s">
        <v>111</v>
      </c>
      <c r="T313" s="89"/>
      <c r="U313" s="92">
        <f t="shared" si="336"/>
        <v>0</v>
      </c>
      <c r="V313" s="88" t="s">
        <v>111</v>
      </c>
      <c r="W313" s="89"/>
      <c r="X313" s="92">
        <f t="shared" si="337"/>
        <v>0</v>
      </c>
      <c r="Y313" s="88">
        <v>0.5</v>
      </c>
      <c r="Z313" s="89">
        <v>0.91666666666666663</v>
      </c>
      <c r="AA313" s="92">
        <f t="shared" si="338"/>
        <v>0.41666666666666663</v>
      </c>
      <c r="AB313" s="88" t="s">
        <v>111</v>
      </c>
      <c r="AC313" s="89"/>
      <c r="AD313" s="92">
        <f t="shared" ref="AD313" si="344">(IF(AB313="u",0.333333333,IF(AB313="W",0,IF(AB313="C",AD313,IF(AB313="op",AD313,(AC313-AB313))))))</f>
        <v>0</v>
      </c>
      <c r="AE313" s="88"/>
      <c r="AF313" s="89"/>
      <c r="AG313" s="92">
        <f t="shared" si="340"/>
        <v>0</v>
      </c>
      <c r="AH313" s="88" t="s">
        <v>111</v>
      </c>
      <c r="AI313" s="89"/>
      <c r="AJ313" s="92">
        <f t="shared" si="341"/>
        <v>0</v>
      </c>
      <c r="AK313" s="88"/>
      <c r="AL313" s="89"/>
      <c r="AM313" s="92">
        <f t="shared" si="342"/>
        <v>0</v>
      </c>
      <c r="AN313" s="86">
        <v>13</v>
      </c>
      <c r="AO313" s="87" t="s">
        <v>6</v>
      </c>
      <c r="AQ313" s="33"/>
      <c r="AR313" s="33"/>
      <c r="AS313" s="33"/>
      <c r="AT313" s="33"/>
      <c r="AU313" s="33"/>
      <c r="AV313" s="33"/>
      <c r="AW313" s="33"/>
      <c r="AX313" s="33"/>
      <c r="AY313" s="33"/>
      <c r="AZ313" s="33"/>
      <c r="BA313" s="33"/>
      <c r="BB313" s="33"/>
      <c r="BC313" s="33"/>
      <c r="BD313" s="33"/>
      <c r="BE313" s="33"/>
      <c r="BF313" s="33"/>
      <c r="BG313" s="33"/>
      <c r="BH313" s="33"/>
      <c r="BI313" s="33"/>
      <c r="BJ313" s="33"/>
      <c r="BK313" s="33"/>
      <c r="BL313" s="33"/>
      <c r="BM313" s="33"/>
      <c r="BN313" s="33"/>
      <c r="BO313" s="33"/>
      <c r="BP313" s="33"/>
      <c r="BQ313" s="33"/>
      <c r="BR313" s="33"/>
      <c r="BS313" s="33"/>
      <c r="BT313" s="33"/>
      <c r="BU313" s="33"/>
      <c r="BV313" s="33"/>
      <c r="BW313" s="33"/>
      <c r="BX313" s="33"/>
      <c r="BY313" s="33"/>
      <c r="BZ313" s="33"/>
      <c r="CA313" s="33"/>
      <c r="CB313" s="33"/>
      <c r="CC313" s="33"/>
      <c r="CD313" s="33"/>
      <c r="CE313" s="33"/>
      <c r="CF313" s="33"/>
      <c r="CG313" s="33"/>
      <c r="CH313" s="33"/>
      <c r="CI313" s="33"/>
      <c r="CJ313" s="33"/>
      <c r="CK313" s="33"/>
      <c r="CL313" s="33"/>
      <c r="CM313" s="33"/>
      <c r="CN313" s="33"/>
      <c r="CO313" s="33"/>
      <c r="CP313" s="33"/>
      <c r="CQ313" s="33"/>
      <c r="CR313" s="33"/>
      <c r="CS313" s="33"/>
      <c r="CT313" s="33"/>
      <c r="CU313" s="33"/>
      <c r="CV313" s="33"/>
      <c r="CW313" s="33"/>
      <c r="CX313" s="33"/>
      <c r="CY313" s="33"/>
      <c r="CZ313" s="33"/>
      <c r="DA313" s="33"/>
      <c r="DB313" s="33"/>
      <c r="DC313" s="33"/>
      <c r="DD313" s="33"/>
      <c r="DE313" s="33"/>
      <c r="DF313" s="33"/>
      <c r="DG313" s="33"/>
      <c r="DH313" s="33"/>
      <c r="DI313" s="33"/>
      <c r="DJ313" s="33"/>
      <c r="DK313" s="33"/>
      <c r="DL313" s="33"/>
      <c r="DM313" s="33"/>
      <c r="DN313" s="33"/>
      <c r="DO313" s="33"/>
      <c r="DP313" s="33"/>
      <c r="DQ313" s="33"/>
    </row>
    <row r="314" spans="2:121" ht="15.75" customHeight="1">
      <c r="B314" s="118">
        <v>14</v>
      </c>
      <c r="C314" s="113" t="s">
        <v>7</v>
      </c>
      <c r="D314" s="119" t="s">
        <v>111</v>
      </c>
      <c r="E314" s="120"/>
      <c r="F314" s="128">
        <f t="shared" si="331"/>
        <v>0</v>
      </c>
      <c r="G314" s="119" t="s">
        <v>111</v>
      </c>
      <c r="H314" s="120"/>
      <c r="I314" s="128">
        <f t="shared" si="332"/>
        <v>0</v>
      </c>
      <c r="J314" s="119" t="s">
        <v>111</v>
      </c>
      <c r="K314" s="120"/>
      <c r="L314" s="128">
        <f t="shared" si="333"/>
        <v>0</v>
      </c>
      <c r="M314" s="119"/>
      <c r="N314" s="120"/>
      <c r="O314" s="128">
        <f t="shared" si="334"/>
        <v>0</v>
      </c>
      <c r="P314" s="119" t="s">
        <v>111</v>
      </c>
      <c r="Q314" s="120"/>
      <c r="R314" s="128">
        <f t="shared" si="335"/>
        <v>0</v>
      </c>
      <c r="S314" s="119">
        <v>0.16666666666666666</v>
      </c>
      <c r="T314" s="120">
        <v>0.66666666666666663</v>
      </c>
      <c r="U314" s="128">
        <f t="shared" si="336"/>
        <v>0.5</v>
      </c>
      <c r="V314" s="119" t="s">
        <v>111</v>
      </c>
      <c r="W314" s="120"/>
      <c r="X314" s="128">
        <f t="shared" si="337"/>
        <v>0</v>
      </c>
      <c r="Y314" s="119">
        <v>0.5</v>
      </c>
      <c r="Z314" s="120">
        <v>0.95833333333333337</v>
      </c>
      <c r="AA314" s="128">
        <f t="shared" si="338"/>
        <v>0.45833333333333337</v>
      </c>
      <c r="AB314" s="119" t="s">
        <v>111</v>
      </c>
      <c r="AC314" s="120"/>
      <c r="AD314" s="128">
        <f t="shared" si="339"/>
        <v>0</v>
      </c>
      <c r="AE314" s="119" t="s">
        <v>111</v>
      </c>
      <c r="AF314" s="120"/>
      <c r="AG314" s="128">
        <f t="shared" si="340"/>
        <v>0</v>
      </c>
      <c r="AH314" s="119" t="s">
        <v>111</v>
      </c>
      <c r="AI314" s="120"/>
      <c r="AJ314" s="128">
        <f t="shared" si="341"/>
        <v>0</v>
      </c>
      <c r="AK314" s="119" t="s">
        <v>111</v>
      </c>
      <c r="AL314" s="120"/>
      <c r="AM314" s="128">
        <f t="shared" si="342"/>
        <v>0</v>
      </c>
      <c r="AN314" s="118">
        <v>14</v>
      </c>
      <c r="AO314" s="113" t="s">
        <v>7</v>
      </c>
      <c r="AQ314" s="33"/>
      <c r="AR314" s="33"/>
      <c r="AS314" s="33"/>
      <c r="AT314" s="33"/>
      <c r="AU314" s="33"/>
      <c r="AV314" s="33"/>
      <c r="AW314" s="33"/>
      <c r="AX314" s="33"/>
      <c r="AY314" s="33"/>
      <c r="AZ314" s="33"/>
      <c r="BA314" s="33"/>
      <c r="BB314" s="33"/>
      <c r="BC314" s="33"/>
      <c r="BD314" s="33"/>
      <c r="BE314" s="33"/>
      <c r="BF314" s="33"/>
      <c r="BG314" s="33"/>
      <c r="BH314" s="33"/>
      <c r="BI314" s="33"/>
      <c r="BJ314" s="33"/>
      <c r="BK314" s="33"/>
      <c r="BL314" s="33"/>
      <c r="BM314" s="33"/>
      <c r="BN314" s="33"/>
      <c r="BO314" s="33"/>
      <c r="BP314" s="33"/>
      <c r="BQ314" s="33"/>
      <c r="BR314" s="33"/>
      <c r="BS314" s="33"/>
      <c r="BT314" s="33"/>
      <c r="BU314" s="33"/>
      <c r="BV314" s="33"/>
      <c r="BW314" s="33"/>
      <c r="BX314" s="33"/>
      <c r="BY314" s="33"/>
      <c r="BZ314" s="33"/>
      <c r="CA314" s="33"/>
      <c r="CB314" s="33"/>
      <c r="CC314" s="33"/>
      <c r="CD314" s="33"/>
      <c r="CE314" s="33"/>
      <c r="CF314" s="33"/>
      <c r="CG314" s="33"/>
      <c r="CH314" s="33"/>
      <c r="CI314" s="33"/>
      <c r="CJ314" s="33"/>
      <c r="CK314" s="33"/>
      <c r="CL314" s="33"/>
      <c r="CM314" s="33"/>
      <c r="CN314" s="33"/>
      <c r="CO314" s="33"/>
      <c r="CP314" s="33"/>
      <c r="CQ314" s="33"/>
      <c r="CR314" s="33"/>
      <c r="CS314" s="33"/>
      <c r="CT314" s="33"/>
      <c r="CU314" s="33"/>
      <c r="CV314" s="33"/>
      <c r="CW314" s="33"/>
      <c r="CX314" s="33"/>
      <c r="CY314" s="33"/>
      <c r="CZ314" s="33"/>
      <c r="DA314" s="33"/>
      <c r="DB314" s="33"/>
      <c r="DC314" s="33"/>
      <c r="DD314" s="33"/>
      <c r="DE314" s="33"/>
      <c r="DF314" s="33"/>
      <c r="DG314" s="33"/>
      <c r="DH314" s="33"/>
      <c r="DI314" s="33"/>
      <c r="DJ314" s="33"/>
      <c r="DK314" s="33"/>
      <c r="DL314" s="33"/>
      <c r="DM314" s="33"/>
      <c r="DN314" s="33"/>
      <c r="DO314" s="33"/>
      <c r="DP314" s="33"/>
      <c r="DQ314" s="33"/>
    </row>
    <row r="315" spans="2:121" ht="14.4">
      <c r="B315" s="118">
        <v>15</v>
      </c>
      <c r="C315" s="113" t="s">
        <v>8</v>
      </c>
      <c r="D315" s="119" t="s">
        <v>111</v>
      </c>
      <c r="E315" s="120"/>
      <c r="F315" s="128">
        <f>(IF(D315="u",0.333333333,IF(D315="W",0,IF(D315="C",F315,IF(D315="op",F315,(E315-D315))))))</f>
        <v>0</v>
      </c>
      <c r="G315" s="119" t="s">
        <v>111</v>
      </c>
      <c r="H315" s="120"/>
      <c r="I315" s="128">
        <f>(IF(G315="u",0.333333333,IF(G315="W",0,IF(G315="C",I315,IF(G315="op",I315,(H315-G315))))))</f>
        <v>0</v>
      </c>
      <c r="J315" s="119" t="s">
        <v>111</v>
      </c>
      <c r="K315" s="120"/>
      <c r="L315" s="128">
        <f>(IF(J315="u",0.333333333,IF(J315="W",0,IF(J315="C",L315,IF(J315="op",L315,(K315-J315))))))</f>
        <v>0</v>
      </c>
      <c r="M315" s="119"/>
      <c r="N315" s="120"/>
      <c r="O315" s="128">
        <f>(IF(M315="u",0.333333333,IF(M315="W",0,IF(M315="C",O315,IF(M315="op",O315,(N315-M315))))))</f>
        <v>0</v>
      </c>
      <c r="P315" s="119" t="s">
        <v>111</v>
      </c>
      <c r="Q315" s="120"/>
      <c r="R315" s="128">
        <f>(IF(P315="u",0.333333333,IF(P315="W",0,IF(P315="C",R315,IF(P315="op",R315,(Q315-P315))))))</f>
        <v>0</v>
      </c>
      <c r="S315" s="119">
        <v>0.125</v>
      </c>
      <c r="T315" s="120">
        <v>0.58333333333333337</v>
      </c>
      <c r="U315" s="128">
        <f>(IF(S315="u",0.333333333,IF(S315="W",0,IF(S315="C",U315,IF(S315="op",U315,(T315-S315))))))</f>
        <v>0.45833333333333337</v>
      </c>
      <c r="V315" s="119" t="s">
        <v>111</v>
      </c>
      <c r="W315" s="120"/>
      <c r="X315" s="128">
        <f>(IF(V315="u",0.333333333,IF(V315="W",0,IF(V315="C",X315,IF(V315="op",X315,(W315-V315))))))</f>
        <v>0</v>
      </c>
      <c r="Y315" s="119" t="s">
        <v>111</v>
      </c>
      <c r="Z315" s="120"/>
      <c r="AA315" s="128">
        <f>(IF(Y315="u",0.333333333,IF(Y315="W",0,IF(Y315="C",AA315,IF(Y315="op",AA315,(Z315-Y315))))))</f>
        <v>0</v>
      </c>
      <c r="AB315" s="119" t="s">
        <v>111</v>
      </c>
      <c r="AC315" s="120"/>
      <c r="AD315" s="128">
        <f>(IF(AB315="u",0.333333333,IF(AB315="W",0,IF(AB315="C",AD315,IF(AB315="op",AD315,(AC315-AB315))))))</f>
        <v>0</v>
      </c>
      <c r="AE315" s="119" t="s">
        <v>111</v>
      </c>
      <c r="AF315" s="120"/>
      <c r="AG315" s="128">
        <f>(IF(AE315="u",0.333333333,IF(AE315="W",0,IF(AE315="C",AG315,IF(AE315="op",AG315,(AF315-AE315))))))</f>
        <v>0</v>
      </c>
      <c r="AH315" s="119" t="s">
        <v>111</v>
      </c>
      <c r="AI315" s="120"/>
      <c r="AJ315" s="128">
        <f>(IF(AH315="u",0.333333333,IF(AH315="W",0,IF(AH315="C",AJ315,IF(AH315="op",AJ315,(AI315-AH315))))))</f>
        <v>0</v>
      </c>
      <c r="AK315" s="119" t="s">
        <v>111</v>
      </c>
      <c r="AL315" s="120"/>
      <c r="AM315" s="128">
        <f>(IF(AK315="u",0.333333333,IF(AK315="W",0,IF(AK315="C",AM315,IF(AK315="op",AM315,(AL315-AK315))))))</f>
        <v>0</v>
      </c>
      <c r="AN315" s="118">
        <v>15</v>
      </c>
      <c r="AO315" s="113" t="s">
        <v>8</v>
      </c>
      <c r="AQ315" s="33"/>
      <c r="AR315" s="33"/>
      <c r="AS315" s="33"/>
      <c r="AT315" s="33"/>
      <c r="AU315" s="33"/>
      <c r="AV315" s="33"/>
      <c r="AW315" s="33"/>
      <c r="AX315" s="33"/>
      <c r="AY315" s="33"/>
      <c r="AZ315" s="33"/>
      <c r="BA315" s="33"/>
      <c r="BB315" s="33"/>
      <c r="BC315" s="33"/>
      <c r="BD315" s="33"/>
      <c r="BE315" s="33"/>
      <c r="BF315" s="33"/>
      <c r="BG315" s="33"/>
      <c r="BH315" s="33"/>
      <c r="BI315" s="33"/>
      <c r="BJ315" s="33"/>
      <c r="BK315" s="33"/>
      <c r="BL315" s="33"/>
      <c r="BM315" s="33"/>
      <c r="BN315" s="33"/>
      <c r="BO315" s="33"/>
      <c r="BP315" s="33"/>
      <c r="BQ315" s="33"/>
      <c r="BR315" s="33"/>
      <c r="BS315" s="33"/>
      <c r="BT315" s="33"/>
      <c r="BU315" s="33"/>
      <c r="BV315" s="33"/>
      <c r="BW315" s="33"/>
      <c r="BX315" s="33"/>
      <c r="BY315" s="33"/>
      <c r="BZ315" s="33"/>
      <c r="CA315" s="33"/>
      <c r="CB315" s="33"/>
      <c r="CC315" s="33"/>
      <c r="CD315" s="33"/>
      <c r="CE315" s="33"/>
      <c r="CF315" s="33"/>
      <c r="CG315" s="33"/>
      <c r="CH315" s="33"/>
      <c r="CI315" s="33"/>
      <c r="CJ315" s="33"/>
      <c r="CK315" s="33"/>
      <c r="CL315" s="33"/>
      <c r="CM315" s="33"/>
      <c r="CN315" s="33"/>
      <c r="CO315" s="33"/>
      <c r="CP315" s="33"/>
      <c r="CQ315" s="33"/>
      <c r="CR315" s="33"/>
      <c r="CS315" s="33"/>
      <c r="CT315" s="33"/>
      <c r="CU315" s="33"/>
      <c r="CV315" s="33"/>
      <c r="CW315" s="33"/>
      <c r="CX315" s="33"/>
      <c r="CY315" s="33"/>
      <c r="CZ315" s="33"/>
      <c r="DA315" s="33"/>
      <c r="DB315" s="33"/>
      <c r="DC315" s="33"/>
      <c r="DD315" s="33"/>
      <c r="DE315" s="33"/>
      <c r="DF315" s="33"/>
      <c r="DG315" s="33"/>
      <c r="DH315" s="33"/>
      <c r="DI315" s="33"/>
      <c r="DJ315" s="33"/>
      <c r="DK315" s="33"/>
      <c r="DL315" s="33"/>
      <c r="DM315" s="33"/>
      <c r="DN315" s="33"/>
      <c r="DO315" s="33"/>
      <c r="DP315" s="33"/>
      <c r="DQ315" s="33"/>
    </row>
    <row r="316" spans="2:121" ht="14.4">
      <c r="B316" s="118">
        <v>16</v>
      </c>
      <c r="C316" s="113" t="s">
        <v>12</v>
      </c>
      <c r="D316" s="119" t="s">
        <v>111</v>
      </c>
      <c r="E316" s="120"/>
      <c r="F316" s="128">
        <f t="shared" ref="F316:F331" si="345">(IF(D316="u",0.333333333,IF(D316="W",0,IF(D316="C",F316,IF(D316="op",F316,(E316-D316))))))</f>
        <v>0</v>
      </c>
      <c r="G316" s="119" t="s">
        <v>111</v>
      </c>
      <c r="H316" s="120"/>
      <c r="I316" s="128">
        <f t="shared" ref="I316:I331" si="346">(IF(G316="u",0.333333333,IF(G316="W",0,IF(G316="C",I316,IF(G316="op",I316,(H316-G316))))))</f>
        <v>0</v>
      </c>
      <c r="J316" s="119" t="s">
        <v>111</v>
      </c>
      <c r="K316" s="120"/>
      <c r="L316" s="128">
        <f t="shared" ref="L316:L331" si="347">(IF(J316="u",0.333333333,IF(J316="W",0,IF(J316="C",L316,IF(J316="op",L316,(K316-J316))))))</f>
        <v>0</v>
      </c>
      <c r="M316" s="119"/>
      <c r="N316" s="120"/>
      <c r="O316" s="128">
        <f t="shared" ref="O316:O331" si="348">(IF(M316="u",0.333333333,IF(M316="W",0,IF(M316="C",O316,IF(M316="op",O316,(N316-M316))))))</f>
        <v>0</v>
      </c>
      <c r="P316" s="119" t="s">
        <v>111</v>
      </c>
      <c r="Q316" s="120"/>
      <c r="R316" s="128">
        <f t="shared" ref="R316:R331" si="349">(IF(P316="u",0.333333333,IF(P316="W",0,IF(P316="C",R316,IF(P316="op",R316,(Q316-P316))))))</f>
        <v>0</v>
      </c>
      <c r="S316" s="119" t="s">
        <v>111</v>
      </c>
      <c r="T316" s="120"/>
      <c r="U316" s="128">
        <f t="shared" ref="U316:U331" si="350">(IF(S316="u",0.333333333,IF(S316="W",0,IF(S316="C",U316,IF(S316="op",U316,(T316-S316))))))</f>
        <v>0</v>
      </c>
      <c r="V316" s="119"/>
      <c r="W316" s="120"/>
      <c r="X316" s="128">
        <f t="shared" ref="X316:X331" si="351">(IF(V316="u",0.333333333,IF(V316="W",0,IF(V316="C",X316,IF(V316="op",X316,(W316-V316))))))</f>
        <v>0</v>
      </c>
      <c r="Y316" s="119" t="s">
        <v>111</v>
      </c>
      <c r="Z316" s="120"/>
      <c r="AA316" s="128">
        <f t="shared" ref="AA316:AA331" si="352">(IF(Y316="u",0.333333333,IF(Y316="W",0,IF(Y316="C",AA316,IF(Y316="op",AA316,(Z316-Y316))))))</f>
        <v>0</v>
      </c>
      <c r="AB316" s="119" t="s">
        <v>111</v>
      </c>
      <c r="AC316" s="120"/>
      <c r="AD316" s="128">
        <f t="shared" ref="AD316:AD331" si="353">(IF(AB316="u",0.333333333,IF(AB316="W",0,IF(AB316="C",AD316,IF(AB316="op",AD316,(AC316-AB316))))))</f>
        <v>0</v>
      </c>
      <c r="AE316" s="119"/>
      <c r="AF316" s="120"/>
      <c r="AG316" s="128">
        <f t="shared" ref="AG316:AG331" si="354">(IF(AE316="u",0.333333333,IF(AE316="W",0,IF(AE316="C",AG316,IF(AE316="op",AG316,(AF316-AE316))))))</f>
        <v>0</v>
      </c>
      <c r="AH316" s="119" t="s">
        <v>111</v>
      </c>
      <c r="AI316" s="120"/>
      <c r="AJ316" s="128">
        <f t="shared" ref="AJ316:AJ331" si="355">(IF(AH316="u",0.333333333,IF(AH316="W",0,IF(AH316="C",AJ316,IF(AH316="op",AJ316,(AI316-AH316))))))</f>
        <v>0</v>
      </c>
      <c r="AK316" s="119" t="s">
        <v>111</v>
      </c>
      <c r="AL316" s="120"/>
      <c r="AM316" s="128">
        <f t="shared" ref="AM316:AM331" si="356">(IF(AK316="u",0.333333333,IF(AK316="W",0,IF(AK316="C",AM316,IF(AK316="op",AM316,(AL316-AK316))))))</f>
        <v>0</v>
      </c>
      <c r="AN316" s="118">
        <v>16</v>
      </c>
      <c r="AO316" s="113" t="s">
        <v>12</v>
      </c>
      <c r="AQ316" s="33"/>
      <c r="AR316" s="33"/>
      <c r="AS316" s="33"/>
      <c r="AT316" s="33"/>
      <c r="AU316" s="33"/>
      <c r="AV316" s="33"/>
      <c r="AW316" s="33"/>
      <c r="AX316" s="33"/>
      <c r="AY316" s="33"/>
      <c r="AZ316" s="33"/>
      <c r="BA316" s="33"/>
      <c r="BB316" s="33"/>
      <c r="BC316" s="33"/>
      <c r="BD316" s="33"/>
      <c r="BE316" s="33"/>
      <c r="BF316" s="33"/>
      <c r="BG316" s="33"/>
      <c r="BH316" s="33"/>
      <c r="BI316" s="33"/>
      <c r="BJ316" s="33"/>
      <c r="BK316" s="33"/>
      <c r="BL316" s="33"/>
      <c r="BM316" s="33"/>
      <c r="BN316" s="33"/>
      <c r="BO316" s="33"/>
      <c r="BP316" s="33"/>
      <c r="BQ316" s="33"/>
      <c r="BR316" s="33"/>
      <c r="BS316" s="33"/>
      <c r="BT316" s="33"/>
      <c r="BU316" s="33"/>
      <c r="BV316" s="33"/>
      <c r="BW316" s="33"/>
      <c r="BX316" s="33"/>
      <c r="BY316" s="33"/>
      <c r="BZ316" s="33"/>
      <c r="CA316" s="33"/>
      <c r="CB316" s="33"/>
      <c r="CC316" s="33"/>
      <c r="CD316" s="33"/>
      <c r="CE316" s="33"/>
      <c r="CF316" s="33"/>
      <c r="CG316" s="33"/>
      <c r="CH316" s="33"/>
      <c r="CI316" s="33"/>
      <c r="CJ316" s="33"/>
      <c r="CK316" s="33"/>
      <c r="CL316" s="33"/>
      <c r="CM316" s="33"/>
      <c r="CN316" s="33"/>
      <c r="CO316" s="33"/>
      <c r="CP316" s="33"/>
      <c r="CQ316" s="33"/>
      <c r="CR316" s="33"/>
      <c r="CS316" s="33"/>
      <c r="CT316" s="33"/>
      <c r="CU316" s="33"/>
      <c r="CV316" s="33"/>
      <c r="CW316" s="33"/>
      <c r="CX316" s="33"/>
      <c r="CY316" s="33"/>
      <c r="CZ316" s="33"/>
      <c r="DA316" s="33"/>
      <c r="DB316" s="33"/>
      <c r="DC316" s="33"/>
      <c r="DD316" s="33"/>
      <c r="DE316" s="33"/>
      <c r="DF316" s="33"/>
      <c r="DG316" s="33"/>
      <c r="DH316" s="33"/>
      <c r="DI316" s="33"/>
      <c r="DJ316" s="33"/>
      <c r="DK316" s="33"/>
      <c r="DL316" s="33"/>
      <c r="DM316" s="33"/>
      <c r="DN316" s="33"/>
      <c r="DO316" s="33"/>
      <c r="DP316" s="33"/>
      <c r="DQ316" s="33"/>
    </row>
    <row r="317" spans="2:121" ht="14.4">
      <c r="B317" s="118">
        <v>17</v>
      </c>
      <c r="C317" s="113" t="s">
        <v>85</v>
      </c>
      <c r="D317" s="119" t="s">
        <v>111</v>
      </c>
      <c r="E317" s="120"/>
      <c r="F317" s="128">
        <f t="shared" si="345"/>
        <v>0</v>
      </c>
      <c r="G317" s="119" t="s">
        <v>111</v>
      </c>
      <c r="H317" s="120"/>
      <c r="I317" s="128">
        <f t="shared" si="346"/>
        <v>0</v>
      </c>
      <c r="J317" s="119">
        <v>0.125</v>
      </c>
      <c r="K317" s="120">
        <v>0.58333333333333337</v>
      </c>
      <c r="L317" s="128">
        <f t="shared" si="347"/>
        <v>0.45833333333333337</v>
      </c>
      <c r="M317" s="119"/>
      <c r="N317" s="120"/>
      <c r="O317" s="128">
        <f t="shared" si="348"/>
        <v>0</v>
      </c>
      <c r="P317" s="119" t="s">
        <v>111</v>
      </c>
      <c r="Q317" s="120"/>
      <c r="R317" s="128">
        <f t="shared" si="349"/>
        <v>0</v>
      </c>
      <c r="S317" s="119" t="s">
        <v>111</v>
      </c>
      <c r="T317" s="120"/>
      <c r="U317" s="128">
        <f t="shared" si="350"/>
        <v>0</v>
      </c>
      <c r="V317" s="119" t="s">
        <v>111</v>
      </c>
      <c r="W317" s="120"/>
      <c r="X317" s="128">
        <f t="shared" si="351"/>
        <v>0</v>
      </c>
      <c r="Y317" s="119" t="s">
        <v>111</v>
      </c>
      <c r="Z317" s="120"/>
      <c r="AA317" s="128">
        <f t="shared" si="352"/>
        <v>0</v>
      </c>
      <c r="AB317" s="119">
        <v>0.625</v>
      </c>
      <c r="AC317" s="120">
        <v>1.125</v>
      </c>
      <c r="AD317" s="128">
        <f t="shared" si="353"/>
        <v>0.5</v>
      </c>
      <c r="AE317" s="119">
        <v>0.66666666666666663</v>
      </c>
      <c r="AF317" s="120">
        <v>1.1666666666666667</v>
      </c>
      <c r="AG317" s="128">
        <f t="shared" si="354"/>
        <v>0.50000000000000011</v>
      </c>
      <c r="AH317" s="119" t="s">
        <v>111</v>
      </c>
      <c r="AI317" s="120"/>
      <c r="AJ317" s="128">
        <f t="shared" si="355"/>
        <v>0</v>
      </c>
      <c r="AK317" s="119" t="s">
        <v>111</v>
      </c>
      <c r="AL317" s="120"/>
      <c r="AM317" s="128">
        <f t="shared" si="356"/>
        <v>0</v>
      </c>
      <c r="AN317" s="118">
        <v>17</v>
      </c>
      <c r="AO317" s="113" t="s">
        <v>85</v>
      </c>
      <c r="AQ317" s="33"/>
      <c r="AR317" s="33"/>
      <c r="AS317" s="33"/>
      <c r="AT317" s="33"/>
      <c r="AU317" s="33"/>
      <c r="AV317" s="33"/>
      <c r="AW317" s="33"/>
      <c r="AX317" s="33"/>
      <c r="AY317" s="33"/>
      <c r="AZ317" s="33"/>
      <c r="BA317" s="33"/>
      <c r="BB317" s="33"/>
      <c r="BC317" s="33"/>
      <c r="BD317" s="33"/>
      <c r="BE317" s="33"/>
      <c r="BF317" s="33"/>
      <c r="BG317" s="33"/>
      <c r="BH317" s="33"/>
      <c r="BI317" s="33"/>
      <c r="BJ317" s="33"/>
      <c r="BK317" s="33"/>
      <c r="BL317" s="33"/>
      <c r="BM317" s="33"/>
      <c r="BN317" s="33"/>
      <c r="BO317" s="33"/>
      <c r="BP317" s="33"/>
      <c r="BQ317" s="33"/>
      <c r="BR317" s="33"/>
      <c r="BS317" s="33"/>
      <c r="BT317" s="33"/>
      <c r="BU317" s="33"/>
      <c r="BV317" s="33"/>
      <c r="BW317" s="33"/>
      <c r="BX317" s="33"/>
      <c r="BY317" s="33"/>
      <c r="BZ317" s="33"/>
      <c r="CA317" s="33"/>
      <c r="CB317" s="33"/>
      <c r="CC317" s="33"/>
      <c r="CD317" s="33"/>
      <c r="CE317" s="33"/>
      <c r="CF317" s="33"/>
      <c r="CG317" s="33"/>
      <c r="CH317" s="33"/>
      <c r="CI317" s="33"/>
      <c r="CJ317" s="33"/>
      <c r="CK317" s="33"/>
      <c r="CL317" s="33"/>
      <c r="CM317" s="33"/>
      <c r="CN317" s="33"/>
      <c r="CO317" s="33"/>
      <c r="CP317" s="33"/>
      <c r="CQ317" s="33"/>
      <c r="CR317" s="33"/>
      <c r="CS317" s="33"/>
      <c r="CT317" s="33"/>
      <c r="CU317" s="33"/>
      <c r="CV317" s="33"/>
      <c r="CW317" s="33"/>
      <c r="CX317" s="33"/>
      <c r="CY317" s="33"/>
      <c r="CZ317" s="33"/>
      <c r="DA317" s="33"/>
      <c r="DB317" s="33"/>
      <c r="DC317" s="33"/>
      <c r="DD317" s="33"/>
      <c r="DE317" s="33"/>
      <c r="DF317" s="33"/>
      <c r="DG317" s="33"/>
      <c r="DH317" s="33"/>
      <c r="DI317" s="33"/>
      <c r="DJ317" s="33"/>
      <c r="DK317" s="33"/>
      <c r="DL317" s="33"/>
      <c r="DM317" s="33"/>
      <c r="DN317" s="33"/>
      <c r="DO317" s="33"/>
      <c r="DP317" s="33"/>
      <c r="DQ317" s="33"/>
    </row>
    <row r="318" spans="2:121" ht="14.4">
      <c r="B318" s="118">
        <v>18</v>
      </c>
      <c r="C318" s="113" t="s">
        <v>4</v>
      </c>
      <c r="D318" s="119" t="s">
        <v>111</v>
      </c>
      <c r="E318" s="120"/>
      <c r="F318" s="128">
        <f t="shared" si="345"/>
        <v>0</v>
      </c>
      <c r="G318" s="119" t="s">
        <v>111</v>
      </c>
      <c r="H318" s="120"/>
      <c r="I318" s="128">
        <f t="shared" si="346"/>
        <v>0</v>
      </c>
      <c r="J318" s="119">
        <v>0.125</v>
      </c>
      <c r="K318" s="120">
        <v>0.54166666666666663</v>
      </c>
      <c r="L318" s="128">
        <f t="shared" si="347"/>
        <v>0.41666666666666663</v>
      </c>
      <c r="M318" s="119"/>
      <c r="N318" s="120"/>
      <c r="O318" s="128">
        <f t="shared" si="348"/>
        <v>0</v>
      </c>
      <c r="P318" s="119" t="s">
        <v>111</v>
      </c>
      <c r="Q318" s="120"/>
      <c r="R318" s="128">
        <f t="shared" si="349"/>
        <v>0</v>
      </c>
      <c r="S318" s="119" t="s">
        <v>111</v>
      </c>
      <c r="T318" s="120"/>
      <c r="U318" s="128">
        <f t="shared" si="350"/>
        <v>0</v>
      </c>
      <c r="V318" s="119" t="s">
        <v>111</v>
      </c>
      <c r="W318" s="120"/>
      <c r="X318" s="128">
        <f t="shared" si="351"/>
        <v>0</v>
      </c>
      <c r="Y318" s="119" t="s">
        <v>111</v>
      </c>
      <c r="Z318" s="120"/>
      <c r="AA318" s="128">
        <f t="shared" si="352"/>
        <v>0</v>
      </c>
      <c r="AB318" s="119"/>
      <c r="AC318" s="120"/>
      <c r="AD318" s="128">
        <f t="shared" si="353"/>
        <v>0</v>
      </c>
      <c r="AE318" s="119" t="s">
        <v>111</v>
      </c>
      <c r="AF318" s="120"/>
      <c r="AG318" s="128">
        <f t="shared" si="354"/>
        <v>0</v>
      </c>
      <c r="AH318" s="119" t="s">
        <v>111</v>
      </c>
      <c r="AI318" s="120"/>
      <c r="AJ318" s="128">
        <f t="shared" si="355"/>
        <v>0</v>
      </c>
      <c r="AK318" s="119" t="s">
        <v>111</v>
      </c>
      <c r="AL318" s="120"/>
      <c r="AM318" s="128">
        <f t="shared" si="356"/>
        <v>0</v>
      </c>
      <c r="AN318" s="118">
        <v>18</v>
      </c>
      <c r="AO318" s="113" t="s">
        <v>4</v>
      </c>
      <c r="AQ318" s="33"/>
      <c r="AR318" s="33"/>
      <c r="AS318" s="33"/>
      <c r="AT318" s="33"/>
      <c r="AU318" s="33"/>
      <c r="AV318" s="33"/>
      <c r="AW318" s="33"/>
      <c r="AX318" s="33"/>
      <c r="AY318" s="33"/>
      <c r="AZ318" s="33"/>
      <c r="BA318" s="33"/>
      <c r="BB318" s="33"/>
      <c r="BC318" s="33"/>
      <c r="BD318" s="33"/>
      <c r="BE318" s="33"/>
      <c r="BF318" s="33"/>
      <c r="BG318" s="33"/>
      <c r="BH318" s="33"/>
      <c r="BI318" s="33"/>
      <c r="BJ318" s="33"/>
      <c r="BK318" s="33"/>
      <c r="BL318" s="33"/>
      <c r="BM318" s="33"/>
      <c r="BN318" s="33"/>
      <c r="BO318" s="33"/>
      <c r="BP318" s="33"/>
      <c r="BQ318" s="33"/>
      <c r="BR318" s="33"/>
      <c r="BS318" s="33"/>
      <c r="BT318" s="33"/>
      <c r="BU318" s="33"/>
      <c r="BV318" s="33"/>
      <c r="BW318" s="33"/>
      <c r="BX318" s="33"/>
      <c r="BY318" s="33"/>
      <c r="BZ318" s="33"/>
      <c r="CA318" s="33"/>
      <c r="CB318" s="33"/>
      <c r="CC318" s="33"/>
      <c r="CD318" s="33"/>
      <c r="CE318" s="33"/>
      <c r="CF318" s="33"/>
      <c r="CG318" s="33"/>
      <c r="CH318" s="33"/>
      <c r="CI318" s="33"/>
      <c r="CJ318" s="33"/>
      <c r="CK318" s="33"/>
      <c r="CL318" s="33"/>
      <c r="CM318" s="33"/>
      <c r="CN318" s="33"/>
      <c r="CO318" s="33"/>
      <c r="CP318" s="33"/>
      <c r="CQ318" s="33"/>
      <c r="CR318" s="33"/>
      <c r="CS318" s="33"/>
      <c r="CT318" s="33"/>
      <c r="CU318" s="33"/>
      <c r="CV318" s="33"/>
      <c r="CW318" s="33"/>
      <c r="CX318" s="33"/>
      <c r="CY318" s="33"/>
      <c r="CZ318" s="33"/>
      <c r="DA318" s="33"/>
      <c r="DB318" s="33"/>
      <c r="DC318" s="33"/>
      <c r="DD318" s="33"/>
      <c r="DE318" s="33"/>
      <c r="DF318" s="33"/>
      <c r="DG318" s="33"/>
      <c r="DH318" s="33"/>
      <c r="DI318" s="33"/>
      <c r="DJ318" s="33"/>
      <c r="DK318" s="33"/>
      <c r="DL318" s="33"/>
      <c r="DM318" s="33"/>
      <c r="DN318" s="33"/>
      <c r="DO318" s="33"/>
      <c r="DP318" s="33"/>
      <c r="DQ318" s="33"/>
    </row>
    <row r="319" spans="2:121" ht="14.4">
      <c r="B319" s="86">
        <v>19</v>
      </c>
      <c r="C319" s="87" t="s">
        <v>5</v>
      </c>
      <c r="D319" s="88" t="s">
        <v>111</v>
      </c>
      <c r="E319" s="89"/>
      <c r="F319" s="92">
        <f t="shared" si="345"/>
        <v>0</v>
      </c>
      <c r="G319" s="88"/>
      <c r="H319" s="89"/>
      <c r="I319" s="92">
        <f t="shared" si="346"/>
        <v>0</v>
      </c>
      <c r="J319" s="88"/>
      <c r="K319" s="89"/>
      <c r="L319" s="92">
        <f t="shared" si="347"/>
        <v>0</v>
      </c>
      <c r="M319" s="88"/>
      <c r="N319" s="89"/>
      <c r="O319" s="92">
        <f t="shared" si="348"/>
        <v>0</v>
      </c>
      <c r="P319" s="88">
        <v>0.66666666666666663</v>
      </c>
      <c r="Q319" s="89">
        <v>1.1666666666666667</v>
      </c>
      <c r="R319" s="92">
        <f t="shared" si="349"/>
        <v>0.50000000000000011</v>
      </c>
      <c r="S319" s="88" t="s">
        <v>111</v>
      </c>
      <c r="T319" s="89"/>
      <c r="U319" s="92">
        <f t="shared" si="350"/>
        <v>0</v>
      </c>
      <c r="V319" s="88" t="s">
        <v>111</v>
      </c>
      <c r="W319" s="89"/>
      <c r="X319" s="92">
        <f t="shared" si="351"/>
        <v>0</v>
      </c>
      <c r="Y319" s="88">
        <v>0.66666666666666663</v>
      </c>
      <c r="Z319" s="89">
        <v>1.1666666666666667</v>
      </c>
      <c r="AA319" s="92">
        <f t="shared" si="352"/>
        <v>0.50000000000000011</v>
      </c>
      <c r="AB319" s="88" t="s">
        <v>111</v>
      </c>
      <c r="AC319" s="89"/>
      <c r="AD319" s="92">
        <f t="shared" si="353"/>
        <v>0</v>
      </c>
      <c r="AE319" s="88" t="s">
        <v>111</v>
      </c>
      <c r="AF319" s="89"/>
      <c r="AG319" s="92">
        <f t="shared" si="354"/>
        <v>0</v>
      </c>
      <c r="AH319" s="88"/>
      <c r="AI319" s="89"/>
      <c r="AJ319" s="92">
        <f t="shared" si="355"/>
        <v>0</v>
      </c>
      <c r="AK319" s="88"/>
      <c r="AL319" s="89"/>
      <c r="AM319" s="92">
        <f t="shared" si="356"/>
        <v>0</v>
      </c>
      <c r="AN319" s="86">
        <v>19</v>
      </c>
      <c r="AO319" s="87" t="s">
        <v>5</v>
      </c>
      <c r="AQ319" s="33"/>
      <c r="AR319" s="33"/>
      <c r="AS319" s="33"/>
      <c r="AT319" s="33"/>
      <c r="AU319" s="33"/>
      <c r="AV319" s="33"/>
      <c r="AW319" s="33"/>
      <c r="AX319" s="33"/>
      <c r="AY319" s="33"/>
      <c r="AZ319" s="33"/>
      <c r="BA319" s="33"/>
      <c r="BB319" s="33"/>
      <c r="BC319" s="33"/>
      <c r="BD319" s="33"/>
      <c r="BE319" s="33"/>
      <c r="BF319" s="33"/>
      <c r="BG319" s="33"/>
      <c r="BH319" s="33"/>
      <c r="BI319" s="33"/>
      <c r="BJ319" s="33"/>
      <c r="BK319" s="33"/>
      <c r="BL319" s="33"/>
      <c r="BM319" s="33"/>
      <c r="BN319" s="33"/>
      <c r="BO319" s="33"/>
      <c r="BP319" s="33"/>
      <c r="BQ319" s="33"/>
      <c r="BR319" s="33"/>
      <c r="BS319" s="33"/>
      <c r="BT319" s="33"/>
      <c r="BU319" s="33"/>
      <c r="BV319" s="33"/>
      <c r="BW319" s="33"/>
      <c r="BX319" s="33"/>
      <c r="BY319" s="33"/>
      <c r="BZ319" s="33"/>
      <c r="CA319" s="33"/>
      <c r="CB319" s="33"/>
      <c r="CC319" s="33"/>
      <c r="CD319" s="33"/>
      <c r="CE319" s="33"/>
      <c r="CF319" s="33"/>
      <c r="CG319" s="33"/>
      <c r="CH319" s="33"/>
      <c r="CI319" s="33"/>
      <c r="CJ319" s="33"/>
      <c r="CK319" s="33"/>
      <c r="CL319" s="33"/>
      <c r="CM319" s="33"/>
      <c r="CN319" s="33"/>
      <c r="CO319" s="33"/>
      <c r="CP319" s="33"/>
      <c r="CQ319" s="33"/>
      <c r="CR319" s="33"/>
      <c r="CS319" s="33"/>
      <c r="CT319" s="33"/>
      <c r="CU319" s="33"/>
      <c r="CV319" s="33"/>
      <c r="CW319" s="33"/>
      <c r="CX319" s="33"/>
      <c r="CY319" s="33"/>
      <c r="CZ319" s="33"/>
      <c r="DA319" s="33"/>
      <c r="DB319" s="33"/>
      <c r="DC319" s="33"/>
      <c r="DD319" s="33"/>
      <c r="DE319" s="33"/>
      <c r="DF319" s="33"/>
      <c r="DG319" s="33"/>
      <c r="DH319" s="33"/>
      <c r="DI319" s="33"/>
      <c r="DJ319" s="33"/>
      <c r="DK319" s="33"/>
      <c r="DL319" s="33"/>
      <c r="DM319" s="33"/>
      <c r="DN319" s="33"/>
      <c r="DO319" s="33"/>
      <c r="DP319" s="33"/>
      <c r="DQ319" s="33"/>
    </row>
    <row r="320" spans="2:121" ht="15.75" customHeight="1">
      <c r="B320" s="86">
        <v>20</v>
      </c>
      <c r="C320" s="87" t="s">
        <v>6</v>
      </c>
      <c r="D320" s="88" t="s">
        <v>111</v>
      </c>
      <c r="E320" s="89"/>
      <c r="F320" s="92">
        <f t="shared" si="345"/>
        <v>0</v>
      </c>
      <c r="G320" s="88">
        <v>0.125</v>
      </c>
      <c r="H320" s="89">
        <v>0.54166666666666663</v>
      </c>
      <c r="I320" s="92">
        <f t="shared" si="346"/>
        <v>0.41666666666666663</v>
      </c>
      <c r="J320" s="88">
        <v>0.16666666666666666</v>
      </c>
      <c r="K320" s="89">
        <v>0.66666666666666663</v>
      </c>
      <c r="L320" s="92">
        <f t="shared" si="347"/>
        <v>0.5</v>
      </c>
      <c r="M320" s="88"/>
      <c r="N320" s="89"/>
      <c r="O320" s="92">
        <f t="shared" si="348"/>
        <v>0</v>
      </c>
      <c r="P320" s="88"/>
      <c r="Q320" s="89"/>
      <c r="R320" s="92">
        <f t="shared" si="349"/>
        <v>0</v>
      </c>
      <c r="S320" s="88" t="s">
        <v>111</v>
      </c>
      <c r="T320" s="89"/>
      <c r="U320" s="92">
        <f t="shared" si="350"/>
        <v>0</v>
      </c>
      <c r="V320" s="88" t="s">
        <v>111</v>
      </c>
      <c r="W320" s="89"/>
      <c r="X320" s="92">
        <f t="shared" si="351"/>
        <v>0</v>
      </c>
      <c r="Y320" s="88" t="s">
        <v>111</v>
      </c>
      <c r="Z320" s="89"/>
      <c r="AA320" s="92">
        <f t="shared" si="352"/>
        <v>0</v>
      </c>
      <c r="AB320" s="88" t="s">
        <v>111</v>
      </c>
      <c r="AC320" s="89"/>
      <c r="AD320" s="92">
        <f t="shared" si="353"/>
        <v>0</v>
      </c>
      <c r="AE320" s="88" t="s">
        <v>111</v>
      </c>
      <c r="AF320" s="89"/>
      <c r="AG320" s="92">
        <f t="shared" si="354"/>
        <v>0</v>
      </c>
      <c r="AH320" s="88" t="s">
        <v>111</v>
      </c>
      <c r="AI320" s="89"/>
      <c r="AJ320" s="92">
        <f t="shared" si="355"/>
        <v>0</v>
      </c>
      <c r="AK320" s="88">
        <v>0.125</v>
      </c>
      <c r="AL320" s="89">
        <v>0.54166666666666663</v>
      </c>
      <c r="AM320" s="92">
        <f t="shared" si="356"/>
        <v>0.41666666666666663</v>
      </c>
      <c r="AN320" s="86">
        <v>20</v>
      </c>
      <c r="AO320" s="87" t="s">
        <v>6</v>
      </c>
      <c r="AQ320" s="33"/>
      <c r="AR320" s="33"/>
      <c r="AS320" s="33"/>
      <c r="AT320" s="33"/>
      <c r="AU320" s="33"/>
      <c r="AV320" s="33"/>
      <c r="AW320" s="33"/>
      <c r="AX320" s="33"/>
      <c r="AY320" s="33"/>
      <c r="AZ320" s="33"/>
      <c r="BA320" s="33"/>
      <c r="BB320" s="33"/>
      <c r="BC320" s="33"/>
      <c r="BD320" s="33"/>
      <c r="BE320" s="33"/>
      <c r="BF320" s="33"/>
      <c r="BG320" s="33"/>
      <c r="BH320" s="33"/>
      <c r="BI320" s="33"/>
      <c r="BJ320" s="33"/>
      <c r="BK320" s="33"/>
      <c r="BL320" s="33"/>
      <c r="BM320" s="33"/>
      <c r="BN320" s="33"/>
      <c r="BO320" s="33"/>
      <c r="BP320" s="33"/>
      <c r="BQ320" s="33"/>
      <c r="BR320" s="33"/>
      <c r="BS320" s="33"/>
      <c r="BT320" s="33"/>
      <c r="BU320" s="33"/>
      <c r="BV320" s="33"/>
      <c r="BW320" s="33"/>
      <c r="BX320" s="33"/>
      <c r="BY320" s="33"/>
      <c r="BZ320" s="33"/>
      <c r="CA320" s="33"/>
      <c r="CB320" s="33"/>
      <c r="CC320" s="33"/>
      <c r="CD320" s="33"/>
      <c r="CE320" s="33"/>
      <c r="CF320" s="33"/>
      <c r="CG320" s="33"/>
      <c r="CH320" s="33"/>
      <c r="CI320" s="33"/>
      <c r="CJ320" s="33"/>
      <c r="CK320" s="33"/>
      <c r="CL320" s="33"/>
      <c r="CM320" s="33"/>
      <c r="CN320" s="33"/>
      <c r="CO320" s="33"/>
      <c r="CP320" s="33"/>
      <c r="CQ320" s="33"/>
      <c r="CR320" s="33"/>
      <c r="CS320" s="33"/>
      <c r="CT320" s="33"/>
      <c r="CU320" s="33"/>
      <c r="CV320" s="33"/>
      <c r="CW320" s="33"/>
      <c r="CX320" s="33"/>
      <c r="CY320" s="33"/>
      <c r="CZ320" s="33"/>
      <c r="DA320" s="33"/>
      <c r="DB320" s="33"/>
      <c r="DC320" s="33"/>
      <c r="DD320" s="33"/>
      <c r="DE320" s="33"/>
      <c r="DF320" s="33"/>
      <c r="DG320" s="33"/>
      <c r="DH320" s="33"/>
      <c r="DI320" s="33"/>
      <c r="DJ320" s="33"/>
      <c r="DK320" s="33"/>
      <c r="DL320" s="33"/>
      <c r="DM320" s="33"/>
      <c r="DN320" s="33"/>
      <c r="DO320" s="33"/>
      <c r="DP320" s="33"/>
      <c r="DQ320" s="33"/>
    </row>
    <row r="321" spans="2:121" ht="14.4">
      <c r="B321" s="118">
        <v>21</v>
      </c>
      <c r="C321" s="113" t="s">
        <v>7</v>
      </c>
      <c r="D321" s="119" t="s">
        <v>111</v>
      </c>
      <c r="E321" s="120"/>
      <c r="F321" s="128">
        <f t="shared" si="345"/>
        <v>0</v>
      </c>
      <c r="G321" s="119" t="s">
        <v>111</v>
      </c>
      <c r="H321" s="120"/>
      <c r="I321" s="128">
        <f t="shared" si="346"/>
        <v>0</v>
      </c>
      <c r="J321" s="119" t="s">
        <v>111</v>
      </c>
      <c r="K321" s="120"/>
      <c r="L321" s="128">
        <f t="shared" si="347"/>
        <v>0</v>
      </c>
      <c r="M321" s="119"/>
      <c r="N321" s="120"/>
      <c r="O321" s="128">
        <f t="shared" si="348"/>
        <v>0</v>
      </c>
      <c r="P321" s="132">
        <v>0.375</v>
      </c>
      <c r="Q321" s="133">
        <v>0.58333333333333337</v>
      </c>
      <c r="R321" s="148">
        <f t="shared" si="349"/>
        <v>0.20833333333333337</v>
      </c>
      <c r="S321" s="119"/>
      <c r="T321" s="120"/>
      <c r="U321" s="128">
        <f t="shared" si="350"/>
        <v>0</v>
      </c>
      <c r="V321" s="119" t="s">
        <v>111</v>
      </c>
      <c r="W321" s="120"/>
      <c r="X321" s="128">
        <f t="shared" si="351"/>
        <v>0</v>
      </c>
      <c r="Y321" s="119" t="s">
        <v>111</v>
      </c>
      <c r="Z321" s="120"/>
      <c r="AA321" s="128">
        <f t="shared" si="352"/>
        <v>0</v>
      </c>
      <c r="AB321" s="119" t="s">
        <v>111</v>
      </c>
      <c r="AC321" s="120"/>
      <c r="AD321" s="128">
        <f t="shared" si="353"/>
        <v>0</v>
      </c>
      <c r="AE321" s="119" t="s">
        <v>111</v>
      </c>
      <c r="AF321" s="120"/>
      <c r="AG321" s="128">
        <f t="shared" si="354"/>
        <v>0</v>
      </c>
      <c r="AH321" s="119" t="s">
        <v>111</v>
      </c>
      <c r="AI321" s="120"/>
      <c r="AJ321" s="128">
        <f t="shared" si="355"/>
        <v>0</v>
      </c>
      <c r="AK321" s="119">
        <v>0.16666666666666666</v>
      </c>
      <c r="AL321" s="120">
        <v>0.66666666666666663</v>
      </c>
      <c r="AM321" s="128">
        <f t="shared" si="356"/>
        <v>0.5</v>
      </c>
      <c r="AN321" s="118">
        <v>21</v>
      </c>
      <c r="AO321" s="113" t="s">
        <v>7</v>
      </c>
      <c r="AQ321" s="33"/>
      <c r="AR321" s="33"/>
      <c r="AS321" s="33"/>
      <c r="AT321" s="33"/>
      <c r="AU321" s="33"/>
      <c r="AV321" s="33"/>
      <c r="AW321" s="33"/>
      <c r="AX321" s="33"/>
      <c r="AY321" s="33"/>
      <c r="AZ321" s="33"/>
      <c r="BA321" s="33"/>
      <c r="BB321" s="33"/>
      <c r="BC321" s="33"/>
      <c r="BD321" s="33"/>
      <c r="BE321" s="33"/>
      <c r="BF321" s="33"/>
      <c r="BG321" s="33"/>
      <c r="BH321" s="33"/>
      <c r="BI321" s="33"/>
      <c r="BJ321" s="33"/>
      <c r="BK321" s="33"/>
      <c r="BL321" s="33"/>
      <c r="BM321" s="33"/>
      <c r="BN321" s="33"/>
      <c r="BO321" s="33"/>
      <c r="BP321" s="33"/>
      <c r="BQ321" s="33"/>
      <c r="BR321" s="33"/>
      <c r="BS321" s="33"/>
      <c r="BT321" s="33"/>
      <c r="BU321" s="33"/>
      <c r="BV321" s="33"/>
      <c r="BW321" s="33"/>
      <c r="BX321" s="33"/>
      <c r="BY321" s="33"/>
      <c r="BZ321" s="33"/>
      <c r="CA321" s="33"/>
      <c r="CB321" s="33"/>
      <c r="CC321" s="33"/>
      <c r="CD321" s="33"/>
      <c r="CE321" s="33"/>
      <c r="CF321" s="33"/>
      <c r="CG321" s="33"/>
      <c r="CH321" s="33"/>
      <c r="CI321" s="33"/>
      <c r="CJ321" s="33"/>
      <c r="CK321" s="33"/>
      <c r="CL321" s="33"/>
      <c r="CM321" s="33"/>
      <c r="CN321" s="33"/>
      <c r="CO321" s="33"/>
      <c r="CP321" s="33"/>
      <c r="CQ321" s="33"/>
      <c r="CR321" s="33"/>
      <c r="CS321" s="33"/>
      <c r="CT321" s="33"/>
      <c r="CU321" s="33"/>
      <c r="CV321" s="33"/>
      <c r="CW321" s="33"/>
      <c r="CX321" s="33"/>
      <c r="CY321" s="33"/>
      <c r="CZ321" s="33"/>
      <c r="DA321" s="33"/>
      <c r="DB321" s="33"/>
      <c r="DC321" s="33"/>
      <c r="DD321" s="33"/>
      <c r="DE321" s="33"/>
      <c r="DF321" s="33"/>
      <c r="DG321" s="33"/>
      <c r="DH321" s="33"/>
      <c r="DI321" s="33"/>
      <c r="DJ321" s="33"/>
      <c r="DK321" s="33"/>
      <c r="DL321" s="33"/>
      <c r="DM321" s="33"/>
      <c r="DN321" s="33"/>
      <c r="DO321" s="33"/>
      <c r="DP321" s="33"/>
      <c r="DQ321" s="33"/>
    </row>
    <row r="322" spans="2:121" ht="14.4">
      <c r="B322" s="118">
        <v>22</v>
      </c>
      <c r="C322" s="113" t="s">
        <v>8</v>
      </c>
      <c r="D322" s="119" t="s">
        <v>111</v>
      </c>
      <c r="E322" s="120"/>
      <c r="F322" s="128">
        <f t="shared" si="345"/>
        <v>0</v>
      </c>
      <c r="G322" s="119" t="s">
        <v>111</v>
      </c>
      <c r="H322" s="120"/>
      <c r="I322" s="128">
        <f t="shared" si="346"/>
        <v>0</v>
      </c>
      <c r="J322" s="119" t="s">
        <v>111</v>
      </c>
      <c r="K322" s="120"/>
      <c r="L322" s="128">
        <f t="shared" si="347"/>
        <v>0</v>
      </c>
      <c r="M322" s="119"/>
      <c r="N322" s="120"/>
      <c r="O322" s="128">
        <f t="shared" si="348"/>
        <v>0</v>
      </c>
      <c r="P322" s="119" t="s">
        <v>111</v>
      </c>
      <c r="Q322" s="120"/>
      <c r="R322" s="128">
        <f t="shared" si="349"/>
        <v>0</v>
      </c>
      <c r="S322" s="119">
        <v>0.125</v>
      </c>
      <c r="T322" s="120">
        <v>0.52083333333333337</v>
      </c>
      <c r="U322" s="128">
        <f t="shared" si="350"/>
        <v>0.39583333333333337</v>
      </c>
      <c r="V322" s="119" t="s">
        <v>111</v>
      </c>
      <c r="W322" s="120"/>
      <c r="X322" s="128">
        <f t="shared" si="351"/>
        <v>0</v>
      </c>
      <c r="Y322" s="119" t="s">
        <v>111</v>
      </c>
      <c r="Z322" s="120"/>
      <c r="AA322" s="128">
        <f t="shared" si="352"/>
        <v>0</v>
      </c>
      <c r="AB322" s="119" t="s">
        <v>111</v>
      </c>
      <c r="AC322" s="120"/>
      <c r="AD322" s="128">
        <f t="shared" si="353"/>
        <v>0</v>
      </c>
      <c r="AE322" s="119" t="s">
        <v>111</v>
      </c>
      <c r="AF322" s="120"/>
      <c r="AG322" s="128">
        <f t="shared" si="354"/>
        <v>0</v>
      </c>
      <c r="AH322" s="119" t="s">
        <v>111</v>
      </c>
      <c r="AI322" s="120"/>
      <c r="AJ322" s="128">
        <f t="shared" si="355"/>
        <v>0</v>
      </c>
      <c r="AK322" s="119">
        <v>0.125</v>
      </c>
      <c r="AL322" s="120">
        <v>0.52083333333333337</v>
      </c>
      <c r="AM322" s="128">
        <f t="shared" si="356"/>
        <v>0.39583333333333337</v>
      </c>
      <c r="AN322" s="118">
        <v>22</v>
      </c>
      <c r="AO322" s="113" t="s">
        <v>8</v>
      </c>
    </row>
    <row r="323" spans="2:121" ht="14.4">
      <c r="B323" s="118">
        <v>23</v>
      </c>
      <c r="C323" s="113" t="s">
        <v>12</v>
      </c>
      <c r="D323" s="119" t="s">
        <v>111</v>
      </c>
      <c r="E323" s="120"/>
      <c r="F323" s="128">
        <f t="shared" si="345"/>
        <v>0</v>
      </c>
      <c r="G323" s="119" t="s">
        <v>111</v>
      </c>
      <c r="H323" s="120"/>
      <c r="I323" s="128">
        <f t="shared" si="346"/>
        <v>0</v>
      </c>
      <c r="J323" s="119">
        <v>0.125</v>
      </c>
      <c r="K323" s="120">
        <v>0.52083333333333337</v>
      </c>
      <c r="L323" s="128">
        <f t="shared" si="347"/>
        <v>0.39583333333333337</v>
      </c>
      <c r="M323" s="119"/>
      <c r="N323" s="120"/>
      <c r="O323" s="128">
        <f t="shared" si="348"/>
        <v>0</v>
      </c>
      <c r="P323" s="119" t="s">
        <v>111</v>
      </c>
      <c r="Q323" s="120"/>
      <c r="R323" s="128">
        <f t="shared" si="349"/>
        <v>0</v>
      </c>
      <c r="S323" s="119">
        <v>0.75</v>
      </c>
      <c r="T323" s="120">
        <v>1.25</v>
      </c>
      <c r="U323" s="128">
        <f t="shared" si="350"/>
        <v>0.5</v>
      </c>
      <c r="V323" s="119">
        <v>0.16666666666666666</v>
      </c>
      <c r="W323" s="120">
        <v>0.66666666666666663</v>
      </c>
      <c r="X323" s="128">
        <f t="shared" si="351"/>
        <v>0.5</v>
      </c>
      <c r="Y323" s="119" t="s">
        <v>111</v>
      </c>
      <c r="Z323" s="120"/>
      <c r="AA323" s="128">
        <f t="shared" si="352"/>
        <v>0</v>
      </c>
      <c r="AB323" s="119" t="s">
        <v>111</v>
      </c>
      <c r="AC323" s="120"/>
      <c r="AD323" s="128">
        <f t="shared" si="353"/>
        <v>0</v>
      </c>
      <c r="AE323" s="119" t="s">
        <v>111</v>
      </c>
      <c r="AF323" s="120"/>
      <c r="AG323" s="128">
        <f t="shared" si="354"/>
        <v>0</v>
      </c>
      <c r="AH323" s="119" t="s">
        <v>111</v>
      </c>
      <c r="AI323" s="120"/>
      <c r="AJ323" s="128">
        <f t="shared" si="355"/>
        <v>0</v>
      </c>
      <c r="AK323" s="119" t="s">
        <v>111</v>
      </c>
      <c r="AL323" s="120"/>
      <c r="AM323" s="128">
        <f t="shared" si="356"/>
        <v>0</v>
      </c>
      <c r="AN323" s="118">
        <v>23</v>
      </c>
      <c r="AO323" s="113" t="s">
        <v>12</v>
      </c>
    </row>
    <row r="324" spans="2:121" ht="14.4">
      <c r="B324" s="118">
        <v>24</v>
      </c>
      <c r="C324" s="113" t="s">
        <v>85</v>
      </c>
      <c r="D324" s="119" t="s">
        <v>111</v>
      </c>
      <c r="E324" s="120"/>
      <c r="F324" s="128">
        <f t="shared" si="345"/>
        <v>0</v>
      </c>
      <c r="G324" s="119" t="s">
        <v>111</v>
      </c>
      <c r="H324" s="120"/>
      <c r="I324" s="128">
        <f t="shared" si="346"/>
        <v>0</v>
      </c>
      <c r="J324" s="119">
        <v>0.75</v>
      </c>
      <c r="K324" s="120">
        <v>1.25</v>
      </c>
      <c r="L324" s="128">
        <f t="shared" si="347"/>
        <v>0.5</v>
      </c>
      <c r="M324" s="119"/>
      <c r="N324" s="120"/>
      <c r="O324" s="128">
        <f t="shared" si="348"/>
        <v>0</v>
      </c>
      <c r="P324" s="119" t="s">
        <v>111</v>
      </c>
      <c r="Q324" s="120"/>
      <c r="R324" s="128">
        <f t="shared" si="349"/>
        <v>0</v>
      </c>
      <c r="S324" s="119">
        <v>0.75</v>
      </c>
      <c r="T324" s="120">
        <v>1.25</v>
      </c>
      <c r="U324" s="128">
        <f t="shared" si="350"/>
        <v>0.5</v>
      </c>
      <c r="V324" s="119" t="s">
        <v>111</v>
      </c>
      <c r="W324" s="120"/>
      <c r="X324" s="128">
        <f t="shared" si="351"/>
        <v>0</v>
      </c>
      <c r="Y324" s="119" t="s">
        <v>111</v>
      </c>
      <c r="Z324" s="120"/>
      <c r="AA324" s="128">
        <f t="shared" si="352"/>
        <v>0</v>
      </c>
      <c r="AB324" s="119">
        <v>0.58333333333333337</v>
      </c>
      <c r="AC324" s="120">
        <v>1.0833333333333333</v>
      </c>
      <c r="AD324" s="128">
        <f t="shared" si="353"/>
        <v>0.49999999999999989</v>
      </c>
      <c r="AE324" s="119" t="s">
        <v>111</v>
      </c>
      <c r="AF324" s="120"/>
      <c r="AG324" s="128">
        <f t="shared" si="354"/>
        <v>0</v>
      </c>
      <c r="AH324" s="119" t="s">
        <v>111</v>
      </c>
      <c r="AI324" s="120"/>
      <c r="AJ324" s="128">
        <f t="shared" si="355"/>
        <v>0</v>
      </c>
      <c r="AK324" s="119" t="s">
        <v>111</v>
      </c>
      <c r="AL324" s="120"/>
      <c r="AM324" s="128">
        <f t="shared" si="356"/>
        <v>0</v>
      </c>
      <c r="AN324" s="118">
        <v>24</v>
      </c>
      <c r="AO324" s="113" t="s">
        <v>85</v>
      </c>
    </row>
    <row r="325" spans="2:121" ht="14.4">
      <c r="B325" s="118">
        <v>25</v>
      </c>
      <c r="C325" s="113" t="s">
        <v>4</v>
      </c>
      <c r="D325" s="119" t="s">
        <v>111</v>
      </c>
      <c r="E325" s="120"/>
      <c r="F325" s="128">
        <f t="shared" si="345"/>
        <v>0</v>
      </c>
      <c r="G325" s="119" t="s">
        <v>111</v>
      </c>
      <c r="H325" s="120"/>
      <c r="I325" s="128">
        <f t="shared" si="346"/>
        <v>0</v>
      </c>
      <c r="J325" s="119">
        <v>0.75</v>
      </c>
      <c r="K325" s="120">
        <v>1.25</v>
      </c>
      <c r="L325" s="128">
        <f t="shared" si="347"/>
        <v>0.5</v>
      </c>
      <c r="M325" s="119"/>
      <c r="N325" s="120"/>
      <c r="O325" s="128">
        <f t="shared" si="348"/>
        <v>0</v>
      </c>
      <c r="P325" s="119" t="s">
        <v>111</v>
      </c>
      <c r="Q325" s="120"/>
      <c r="R325" s="128">
        <f t="shared" si="349"/>
        <v>0</v>
      </c>
      <c r="S325" s="119"/>
      <c r="T325" s="120"/>
      <c r="U325" s="128">
        <f t="shared" si="350"/>
        <v>0</v>
      </c>
      <c r="V325" s="119" t="s">
        <v>111</v>
      </c>
      <c r="W325" s="120"/>
      <c r="X325" s="128">
        <f t="shared" si="351"/>
        <v>0</v>
      </c>
      <c r="Y325" s="119" t="s">
        <v>111</v>
      </c>
      <c r="Z325" s="120"/>
      <c r="AA325" s="128">
        <f t="shared" si="352"/>
        <v>0</v>
      </c>
      <c r="AB325" s="119"/>
      <c r="AC325" s="120"/>
      <c r="AD325" s="128">
        <f t="shared" si="353"/>
        <v>0</v>
      </c>
      <c r="AE325" s="119" t="s">
        <v>111</v>
      </c>
      <c r="AF325" s="120"/>
      <c r="AG325" s="128">
        <f t="shared" si="354"/>
        <v>0</v>
      </c>
      <c r="AH325" s="119" t="s">
        <v>111</v>
      </c>
      <c r="AI325" s="120"/>
      <c r="AJ325" s="128">
        <f t="shared" si="355"/>
        <v>0</v>
      </c>
      <c r="AK325" s="119" t="s">
        <v>111</v>
      </c>
      <c r="AL325" s="120"/>
      <c r="AM325" s="128">
        <f t="shared" si="356"/>
        <v>0</v>
      </c>
      <c r="AN325" s="118">
        <v>25</v>
      </c>
      <c r="AO325" s="113" t="s">
        <v>4</v>
      </c>
    </row>
    <row r="326" spans="2:121" ht="14.4">
      <c r="B326" s="86">
        <v>26</v>
      </c>
      <c r="C326" s="87" t="s">
        <v>5</v>
      </c>
      <c r="D326" s="88" t="s">
        <v>111</v>
      </c>
      <c r="E326" s="89"/>
      <c r="F326" s="92">
        <f t="shared" si="345"/>
        <v>0</v>
      </c>
      <c r="G326" s="88"/>
      <c r="H326" s="89"/>
      <c r="I326" s="92">
        <f t="shared" si="346"/>
        <v>0</v>
      </c>
      <c r="J326" s="88"/>
      <c r="K326" s="89"/>
      <c r="L326" s="92">
        <f t="shared" si="347"/>
        <v>0</v>
      </c>
      <c r="M326" s="88"/>
      <c r="N326" s="89"/>
      <c r="O326" s="92">
        <f t="shared" si="348"/>
        <v>0</v>
      </c>
      <c r="P326" s="88"/>
      <c r="Q326" s="89"/>
      <c r="R326" s="92">
        <f t="shared" si="349"/>
        <v>0</v>
      </c>
      <c r="S326" s="88" t="s">
        <v>111</v>
      </c>
      <c r="T326" s="89"/>
      <c r="U326" s="92">
        <f t="shared" si="350"/>
        <v>0</v>
      </c>
      <c r="V326" s="88" t="s">
        <v>111</v>
      </c>
      <c r="W326" s="89"/>
      <c r="X326" s="92">
        <f t="shared" si="351"/>
        <v>0</v>
      </c>
      <c r="Y326" s="88">
        <v>0.33333333333333331</v>
      </c>
      <c r="Z326" s="89">
        <v>0.83333333333333337</v>
      </c>
      <c r="AA326" s="92">
        <f t="shared" si="352"/>
        <v>0.5</v>
      </c>
      <c r="AB326" s="88" t="s">
        <v>111</v>
      </c>
      <c r="AC326" s="89"/>
      <c r="AD326" s="92">
        <f t="shared" si="353"/>
        <v>0</v>
      </c>
      <c r="AE326" s="88" t="s">
        <v>111</v>
      </c>
      <c r="AF326" s="89"/>
      <c r="AG326" s="92">
        <f t="shared" si="354"/>
        <v>0</v>
      </c>
      <c r="AH326" s="88">
        <v>0.33333333333333331</v>
      </c>
      <c r="AI326" s="89">
        <v>0.83333333333333337</v>
      </c>
      <c r="AJ326" s="92">
        <f t="shared" si="355"/>
        <v>0.5</v>
      </c>
      <c r="AK326" s="88" t="s">
        <v>111</v>
      </c>
      <c r="AL326" s="89"/>
      <c r="AM326" s="92">
        <f t="shared" si="356"/>
        <v>0</v>
      </c>
      <c r="AN326" s="86">
        <v>26</v>
      </c>
      <c r="AO326" s="87" t="s">
        <v>5</v>
      </c>
    </row>
    <row r="327" spans="2:121" ht="14.4">
      <c r="B327" s="86">
        <v>27</v>
      </c>
      <c r="C327" s="87" t="s">
        <v>6</v>
      </c>
      <c r="D327" s="88" t="s">
        <v>111</v>
      </c>
      <c r="E327" s="89"/>
      <c r="F327" s="92">
        <f t="shared" si="345"/>
        <v>0</v>
      </c>
      <c r="G327" s="88">
        <v>0.41666666666666669</v>
      </c>
      <c r="H327" s="89">
        <v>0.875</v>
      </c>
      <c r="I327" s="92">
        <f t="shared" si="346"/>
        <v>0.45833333333333331</v>
      </c>
      <c r="J327" s="88">
        <v>0.125</v>
      </c>
      <c r="K327" s="89">
        <v>0.52083333333333337</v>
      </c>
      <c r="L327" s="92">
        <f t="shared" si="347"/>
        <v>0.39583333333333337</v>
      </c>
      <c r="M327" s="88"/>
      <c r="N327" s="89"/>
      <c r="O327" s="92">
        <f t="shared" si="348"/>
        <v>0</v>
      </c>
      <c r="P327" s="88">
        <v>0.125</v>
      </c>
      <c r="Q327" s="89">
        <v>0.52083333333333337</v>
      </c>
      <c r="R327" s="92">
        <f t="shared" si="349"/>
        <v>0.39583333333333337</v>
      </c>
      <c r="S327" s="88" t="s">
        <v>111</v>
      </c>
      <c r="T327" s="89"/>
      <c r="U327" s="92">
        <f t="shared" si="350"/>
        <v>0</v>
      </c>
      <c r="V327" s="88" t="s">
        <v>111</v>
      </c>
      <c r="W327" s="89"/>
      <c r="X327" s="92">
        <f t="shared" si="351"/>
        <v>0</v>
      </c>
      <c r="Y327" s="88" t="s">
        <v>111</v>
      </c>
      <c r="Z327" s="89"/>
      <c r="AA327" s="92">
        <f t="shared" si="352"/>
        <v>0</v>
      </c>
      <c r="AB327" s="88" t="s">
        <v>111</v>
      </c>
      <c r="AC327" s="89"/>
      <c r="AD327" s="92">
        <f t="shared" si="353"/>
        <v>0</v>
      </c>
      <c r="AE327" s="88" t="s">
        <v>111</v>
      </c>
      <c r="AF327" s="89"/>
      <c r="AG327" s="92">
        <f t="shared" si="354"/>
        <v>0</v>
      </c>
      <c r="AH327" s="88" t="s">
        <v>111</v>
      </c>
      <c r="AI327" s="89"/>
      <c r="AJ327" s="92">
        <f t="shared" si="355"/>
        <v>0</v>
      </c>
      <c r="AK327" s="88" t="s">
        <v>111</v>
      </c>
      <c r="AL327" s="89"/>
      <c r="AM327" s="92">
        <f t="shared" si="356"/>
        <v>0</v>
      </c>
      <c r="AN327" s="86">
        <v>27</v>
      </c>
      <c r="AO327" s="87" t="s">
        <v>6</v>
      </c>
    </row>
    <row r="328" spans="2:121" ht="14.4">
      <c r="B328" s="118">
        <v>28</v>
      </c>
      <c r="C328" s="113" t="s">
        <v>7</v>
      </c>
      <c r="D328" s="119" t="s">
        <v>111</v>
      </c>
      <c r="E328" s="120"/>
      <c r="F328" s="128">
        <f t="shared" si="345"/>
        <v>0</v>
      </c>
      <c r="G328" s="119" t="s">
        <v>111</v>
      </c>
      <c r="H328" s="120"/>
      <c r="I328" s="128">
        <f t="shared" si="346"/>
        <v>0</v>
      </c>
      <c r="J328" s="119">
        <v>0.5</v>
      </c>
      <c r="K328" s="120">
        <v>0.875</v>
      </c>
      <c r="L328" s="128">
        <f t="shared" si="347"/>
        <v>0.375</v>
      </c>
      <c r="M328" s="119"/>
      <c r="N328" s="120"/>
      <c r="O328" s="128">
        <f t="shared" si="348"/>
        <v>0</v>
      </c>
      <c r="P328" s="119" t="s">
        <v>111</v>
      </c>
      <c r="Q328" s="120"/>
      <c r="R328" s="128">
        <f t="shared" si="349"/>
        <v>0</v>
      </c>
      <c r="S328" s="119">
        <v>0.75</v>
      </c>
      <c r="T328" s="120">
        <v>1.25</v>
      </c>
      <c r="U328" s="128">
        <f t="shared" si="350"/>
        <v>0.5</v>
      </c>
      <c r="V328" s="119" t="s">
        <v>111</v>
      </c>
      <c r="W328" s="120"/>
      <c r="X328" s="128">
        <f t="shared" si="351"/>
        <v>0</v>
      </c>
      <c r="Y328" s="119" t="s">
        <v>111</v>
      </c>
      <c r="Z328" s="120"/>
      <c r="AA328" s="128">
        <f t="shared" si="352"/>
        <v>0</v>
      </c>
      <c r="AB328" s="119" t="s">
        <v>111</v>
      </c>
      <c r="AC328" s="120"/>
      <c r="AD328" s="128">
        <f t="shared" si="353"/>
        <v>0</v>
      </c>
      <c r="AE328" s="119" t="s">
        <v>111</v>
      </c>
      <c r="AF328" s="120"/>
      <c r="AG328" s="128">
        <f t="shared" si="354"/>
        <v>0</v>
      </c>
      <c r="AH328" s="119" t="s">
        <v>111</v>
      </c>
      <c r="AI328" s="120"/>
      <c r="AJ328" s="128">
        <f t="shared" si="355"/>
        <v>0</v>
      </c>
      <c r="AK328" s="119" t="s">
        <v>111</v>
      </c>
      <c r="AL328" s="120"/>
      <c r="AM328" s="128">
        <f t="shared" si="356"/>
        <v>0</v>
      </c>
      <c r="AN328" s="118">
        <v>28</v>
      </c>
      <c r="AO328" s="113" t="s">
        <v>7</v>
      </c>
    </row>
    <row r="329" spans="2:121" ht="14.4">
      <c r="B329" s="118">
        <v>29</v>
      </c>
      <c r="C329" s="113" t="s">
        <v>8</v>
      </c>
      <c r="D329" s="119" t="s">
        <v>111</v>
      </c>
      <c r="E329" s="120"/>
      <c r="F329" s="128">
        <f t="shared" si="345"/>
        <v>0</v>
      </c>
      <c r="G329" s="119" t="s">
        <v>111</v>
      </c>
      <c r="H329" s="120"/>
      <c r="I329" s="128">
        <f t="shared" si="346"/>
        <v>0</v>
      </c>
      <c r="J329" s="119" t="s">
        <v>111</v>
      </c>
      <c r="K329" s="120"/>
      <c r="L329" s="128">
        <f t="shared" si="347"/>
        <v>0</v>
      </c>
      <c r="M329" s="119"/>
      <c r="N329" s="120"/>
      <c r="O329" s="128">
        <f t="shared" si="348"/>
        <v>0</v>
      </c>
      <c r="P329" s="119" t="s">
        <v>111</v>
      </c>
      <c r="Q329" s="120"/>
      <c r="R329" s="128">
        <f t="shared" si="349"/>
        <v>0</v>
      </c>
      <c r="S329" s="119"/>
      <c r="T329" s="120"/>
      <c r="U329" s="128">
        <f t="shared" si="350"/>
        <v>0</v>
      </c>
      <c r="V329" s="119" t="s">
        <v>111</v>
      </c>
      <c r="W329" s="120"/>
      <c r="X329" s="128">
        <f t="shared" si="351"/>
        <v>0</v>
      </c>
      <c r="Y329" s="119" t="s">
        <v>111</v>
      </c>
      <c r="Z329" s="120"/>
      <c r="AA329" s="128">
        <f t="shared" si="352"/>
        <v>0</v>
      </c>
      <c r="AB329" s="119" t="s">
        <v>111</v>
      </c>
      <c r="AC329" s="120"/>
      <c r="AD329" s="128">
        <f t="shared" si="353"/>
        <v>0</v>
      </c>
      <c r="AE329" s="119" t="s">
        <v>111</v>
      </c>
      <c r="AF329" s="120"/>
      <c r="AG329" s="128">
        <f t="shared" si="354"/>
        <v>0</v>
      </c>
      <c r="AH329" s="119" t="s">
        <v>111</v>
      </c>
      <c r="AI329" s="120"/>
      <c r="AJ329" s="128">
        <f t="shared" si="355"/>
        <v>0</v>
      </c>
      <c r="AK329" s="119" t="s">
        <v>111</v>
      </c>
      <c r="AL329" s="120"/>
      <c r="AM329" s="128">
        <f t="shared" si="356"/>
        <v>0</v>
      </c>
      <c r="AN329" s="118">
        <v>29</v>
      </c>
      <c r="AO329" s="113" t="s">
        <v>8</v>
      </c>
    </row>
    <row r="330" spans="2:121" ht="14.4">
      <c r="B330" s="118">
        <v>30</v>
      </c>
      <c r="C330" s="113" t="s">
        <v>12</v>
      </c>
      <c r="D330" s="119" t="s">
        <v>111</v>
      </c>
      <c r="E330" s="120"/>
      <c r="F330" s="128">
        <f t="shared" si="345"/>
        <v>0</v>
      </c>
      <c r="G330" s="119" t="s">
        <v>111</v>
      </c>
      <c r="H330" s="120"/>
      <c r="I330" s="128">
        <f t="shared" si="346"/>
        <v>0</v>
      </c>
      <c r="J330" s="119">
        <v>0.125</v>
      </c>
      <c r="K330" s="120">
        <v>0.52083333333333337</v>
      </c>
      <c r="L330" s="128">
        <f t="shared" si="347"/>
        <v>0.39583333333333337</v>
      </c>
      <c r="M330" s="119"/>
      <c r="N330" s="120"/>
      <c r="O330" s="128">
        <f t="shared" si="348"/>
        <v>0</v>
      </c>
      <c r="P330" s="119" t="s">
        <v>111</v>
      </c>
      <c r="Q330" s="120"/>
      <c r="R330" s="128">
        <f t="shared" si="349"/>
        <v>0</v>
      </c>
      <c r="S330" s="119" t="s">
        <v>111</v>
      </c>
      <c r="T330" s="120"/>
      <c r="U330" s="128">
        <f t="shared" si="350"/>
        <v>0</v>
      </c>
      <c r="V330" s="119">
        <v>0.125</v>
      </c>
      <c r="W330" s="120">
        <v>0.52083333333333337</v>
      </c>
      <c r="X330" s="128">
        <f t="shared" si="351"/>
        <v>0.39583333333333337</v>
      </c>
      <c r="Y330" s="119" t="s">
        <v>111</v>
      </c>
      <c r="Z330" s="120"/>
      <c r="AA330" s="128">
        <f t="shared" si="352"/>
        <v>0</v>
      </c>
      <c r="AB330" s="119" t="s">
        <v>111</v>
      </c>
      <c r="AC330" s="120"/>
      <c r="AD330" s="128">
        <f t="shared" si="353"/>
        <v>0</v>
      </c>
      <c r="AE330" s="119" t="s">
        <v>111</v>
      </c>
      <c r="AF330" s="120"/>
      <c r="AG330" s="128">
        <f t="shared" si="354"/>
        <v>0</v>
      </c>
      <c r="AH330" s="119" t="s">
        <v>111</v>
      </c>
      <c r="AI330" s="120"/>
      <c r="AJ330" s="128">
        <f t="shared" si="355"/>
        <v>0</v>
      </c>
      <c r="AK330" s="119" t="s">
        <v>111</v>
      </c>
      <c r="AL330" s="120"/>
      <c r="AM330" s="128">
        <f t="shared" si="356"/>
        <v>0</v>
      </c>
      <c r="AN330" s="118">
        <v>30</v>
      </c>
      <c r="AO330" s="113" t="s">
        <v>12</v>
      </c>
    </row>
    <row r="331" spans="2:121" ht="15" customHeight="1">
      <c r="B331" s="118">
        <v>31</v>
      </c>
      <c r="C331" s="113" t="s">
        <v>85</v>
      </c>
      <c r="D331" s="119" t="s">
        <v>111</v>
      </c>
      <c r="E331" s="120"/>
      <c r="F331" s="128">
        <f t="shared" si="345"/>
        <v>0</v>
      </c>
      <c r="G331" s="119" t="s">
        <v>111</v>
      </c>
      <c r="H331" s="120"/>
      <c r="I331" s="128">
        <f t="shared" si="346"/>
        <v>0</v>
      </c>
      <c r="J331" s="124">
        <v>0.125</v>
      </c>
      <c r="K331" s="120">
        <v>0.52083333333333337</v>
      </c>
      <c r="L331" s="128">
        <f t="shared" si="347"/>
        <v>0.39583333333333337</v>
      </c>
      <c r="M331" s="119"/>
      <c r="N331" s="120"/>
      <c r="O331" s="128">
        <f t="shared" si="348"/>
        <v>0</v>
      </c>
      <c r="P331" s="119">
        <v>0.125</v>
      </c>
      <c r="Q331" s="120">
        <v>0.52083333333333337</v>
      </c>
      <c r="R331" s="128">
        <f t="shared" si="349"/>
        <v>0.39583333333333337</v>
      </c>
      <c r="S331" s="119" t="s">
        <v>111</v>
      </c>
      <c r="T331" s="120"/>
      <c r="U331" s="128">
        <f t="shared" si="350"/>
        <v>0</v>
      </c>
      <c r="V331" s="119" t="s">
        <v>111</v>
      </c>
      <c r="W331" s="120"/>
      <c r="X331" s="128">
        <f t="shared" si="351"/>
        <v>0</v>
      </c>
      <c r="Y331" s="119">
        <v>0.16666666666666666</v>
      </c>
      <c r="Z331" s="120">
        <v>0.66666666666666663</v>
      </c>
      <c r="AA331" s="128">
        <f t="shared" si="352"/>
        <v>0.5</v>
      </c>
      <c r="AB331" s="119" t="s">
        <v>111</v>
      </c>
      <c r="AC331" s="120"/>
      <c r="AD331" s="128">
        <f t="shared" si="353"/>
        <v>0</v>
      </c>
      <c r="AE331" s="119" t="s">
        <v>111</v>
      </c>
      <c r="AF331" s="120"/>
      <c r="AG331" s="128">
        <f t="shared" si="354"/>
        <v>0</v>
      </c>
      <c r="AH331" s="119" t="s">
        <v>111</v>
      </c>
      <c r="AI331" s="120"/>
      <c r="AJ331" s="128">
        <f t="shared" si="355"/>
        <v>0</v>
      </c>
      <c r="AK331" s="119" t="s">
        <v>111</v>
      </c>
      <c r="AL331" s="120"/>
      <c r="AM331" s="128">
        <f t="shared" si="356"/>
        <v>0</v>
      </c>
      <c r="AN331" s="118">
        <v>31</v>
      </c>
      <c r="AO331" s="113" t="s">
        <v>85</v>
      </c>
    </row>
    <row r="332" spans="2:121" ht="15" customHeight="1" thickBot="1">
      <c r="B332" s="85"/>
      <c r="C332" s="39"/>
      <c r="D332" s="77"/>
      <c r="E332" s="78"/>
      <c r="F332" s="50"/>
      <c r="G332" s="77"/>
      <c r="H332" s="78"/>
      <c r="I332" s="50"/>
      <c r="J332" s="82"/>
      <c r="K332" s="83"/>
      <c r="L332" s="50"/>
      <c r="M332" s="77"/>
      <c r="N332" s="78"/>
      <c r="O332" s="50"/>
      <c r="P332" s="77"/>
      <c r="Q332" s="78"/>
      <c r="R332" s="50"/>
      <c r="S332" s="77"/>
      <c r="T332" s="78"/>
      <c r="U332" s="50"/>
      <c r="V332" s="77"/>
      <c r="W332" s="78"/>
      <c r="X332" s="50"/>
      <c r="Y332" s="77"/>
      <c r="Z332" s="78"/>
      <c r="AA332" s="50"/>
      <c r="AB332" s="77"/>
      <c r="AC332" s="78"/>
      <c r="AD332" s="50"/>
      <c r="AE332" s="77"/>
      <c r="AF332" s="78"/>
      <c r="AG332" s="50"/>
      <c r="AH332" s="77"/>
      <c r="AI332" s="78"/>
      <c r="AJ332" s="50"/>
      <c r="AK332" s="77"/>
      <c r="AL332" s="78"/>
      <c r="AM332" s="50"/>
      <c r="AN332" s="85"/>
      <c r="AO332" s="39"/>
    </row>
    <row r="333" spans="2:121" ht="15" customHeight="1" thickBot="1">
      <c r="B333" s="172"/>
      <c r="C333" s="174"/>
      <c r="D333" s="218" t="s">
        <v>73</v>
      </c>
      <c r="E333" s="219"/>
      <c r="F333" s="220"/>
      <c r="G333" s="218" t="s">
        <v>71</v>
      </c>
      <c r="H333" s="219"/>
      <c r="I333" s="220"/>
      <c r="J333" s="218" t="s">
        <v>110</v>
      </c>
      <c r="K333" s="219"/>
      <c r="L333" s="220"/>
      <c r="M333" s="218" t="s">
        <v>69</v>
      </c>
      <c r="N333" s="219"/>
      <c r="O333" s="220"/>
      <c r="P333" s="187" t="s">
        <v>115</v>
      </c>
      <c r="Q333" s="188"/>
      <c r="R333" s="189"/>
      <c r="S333" s="218" t="s">
        <v>88</v>
      </c>
      <c r="T333" s="219"/>
      <c r="U333" s="220"/>
      <c r="V333" s="187" t="s">
        <v>108</v>
      </c>
      <c r="W333" s="188"/>
      <c r="X333" s="189"/>
      <c r="Y333" s="218" t="s">
        <v>94</v>
      </c>
      <c r="Z333" s="219"/>
      <c r="AA333" s="220"/>
      <c r="AB333" s="218" t="s">
        <v>79</v>
      </c>
      <c r="AC333" s="219"/>
      <c r="AD333" s="220"/>
      <c r="AE333" s="218" t="s">
        <v>80</v>
      </c>
      <c r="AF333" s="219"/>
      <c r="AG333" s="220"/>
      <c r="AH333" s="218" t="s">
        <v>127</v>
      </c>
      <c r="AI333" s="219"/>
      <c r="AJ333" s="220"/>
      <c r="AK333" s="218" t="s">
        <v>81</v>
      </c>
      <c r="AL333" s="219"/>
      <c r="AM333" s="220"/>
      <c r="AN333" s="168" t="s">
        <v>0</v>
      </c>
      <c r="AO333" s="168" t="s">
        <v>1</v>
      </c>
    </row>
    <row r="334" spans="2:121" ht="15" customHeight="1" thickBot="1">
      <c r="B334" s="172"/>
      <c r="C334" s="172"/>
      <c r="D334" s="221"/>
      <c r="E334" s="222"/>
      <c r="F334" s="223"/>
      <c r="G334" s="221"/>
      <c r="H334" s="222"/>
      <c r="I334" s="223"/>
      <c r="J334" s="221"/>
      <c r="K334" s="222"/>
      <c r="L334" s="223"/>
      <c r="M334" s="221"/>
      <c r="N334" s="222"/>
      <c r="O334" s="223"/>
      <c r="P334" s="190"/>
      <c r="Q334" s="191"/>
      <c r="R334" s="192"/>
      <c r="S334" s="221"/>
      <c r="T334" s="222"/>
      <c r="U334" s="223"/>
      <c r="V334" s="190"/>
      <c r="W334" s="191"/>
      <c r="X334" s="192"/>
      <c r="Y334" s="221"/>
      <c r="Z334" s="222"/>
      <c r="AA334" s="223"/>
      <c r="AB334" s="221"/>
      <c r="AC334" s="222"/>
      <c r="AD334" s="223"/>
      <c r="AE334" s="221"/>
      <c r="AF334" s="222"/>
      <c r="AG334" s="223"/>
      <c r="AH334" s="221"/>
      <c r="AI334" s="222"/>
      <c r="AJ334" s="223"/>
      <c r="AK334" s="221"/>
      <c r="AL334" s="222"/>
      <c r="AM334" s="223"/>
      <c r="AN334" s="168"/>
      <c r="AO334" s="168"/>
    </row>
    <row r="335" spans="2:121" ht="15" customHeight="1" thickBot="1">
      <c r="B335" s="172"/>
      <c r="C335" s="172"/>
      <c r="D335" s="169"/>
      <c r="E335" s="170"/>
      <c r="F335" s="171"/>
      <c r="G335" s="169"/>
      <c r="H335" s="170"/>
      <c r="I335" s="171"/>
      <c r="J335" s="169"/>
      <c r="K335" s="170"/>
      <c r="L335" s="171"/>
      <c r="M335" s="169"/>
      <c r="N335" s="170"/>
      <c r="O335" s="171"/>
      <c r="P335" s="169"/>
      <c r="Q335" s="170"/>
      <c r="R335" s="171"/>
      <c r="S335" s="169"/>
      <c r="T335" s="170"/>
      <c r="U335" s="171"/>
      <c r="V335" s="169"/>
      <c r="W335" s="170"/>
      <c r="X335" s="171"/>
      <c r="Y335" s="169"/>
      <c r="Z335" s="170"/>
      <c r="AA335" s="171"/>
      <c r="AB335" s="169"/>
      <c r="AC335" s="170"/>
      <c r="AD335" s="171"/>
      <c r="AE335" s="169"/>
      <c r="AF335" s="170"/>
      <c r="AG335" s="171"/>
      <c r="AH335" s="169"/>
      <c r="AI335" s="170"/>
      <c r="AJ335" s="171"/>
      <c r="AK335" s="169"/>
      <c r="AL335" s="170"/>
      <c r="AM335" s="171"/>
      <c r="AN335" s="168"/>
      <c r="AO335" s="168"/>
    </row>
    <row r="336" spans="2:121" ht="15" customHeight="1" thickBot="1">
      <c r="B336" s="173"/>
      <c r="C336" s="173"/>
      <c r="D336" s="9"/>
      <c r="E336" s="6"/>
      <c r="F336" s="7"/>
      <c r="G336" s="9"/>
      <c r="H336" s="6"/>
      <c r="I336" s="7"/>
      <c r="J336" s="9"/>
      <c r="K336" s="6"/>
      <c r="L336" s="7"/>
      <c r="M336" s="9"/>
      <c r="N336" s="6"/>
      <c r="O336" s="7"/>
      <c r="P336" s="9"/>
      <c r="Q336" s="6"/>
      <c r="R336" s="7"/>
      <c r="S336" s="5"/>
      <c r="T336" s="6"/>
      <c r="U336" s="7"/>
      <c r="V336" s="9"/>
      <c r="W336" s="6"/>
      <c r="X336" s="7"/>
      <c r="Y336" s="9"/>
      <c r="Z336" s="6"/>
      <c r="AA336" s="7"/>
      <c r="AB336" s="5"/>
      <c r="AC336" s="6"/>
      <c r="AD336" s="7"/>
      <c r="AE336" s="9"/>
      <c r="AF336" s="6"/>
      <c r="AG336" s="7"/>
      <c r="AH336" s="9"/>
      <c r="AI336" s="6"/>
      <c r="AJ336" s="7"/>
      <c r="AK336" s="9"/>
      <c r="AL336" s="6"/>
      <c r="AM336" s="7"/>
      <c r="AN336" s="168"/>
      <c r="AO336" s="168"/>
    </row>
    <row r="337" spans="2:42" ht="15" customHeight="1" thickBot="1"/>
    <row r="338" spans="2:42" ht="15" customHeight="1" thickBot="1">
      <c r="B338" s="168" t="s">
        <v>0</v>
      </c>
      <c r="C338" s="168" t="s">
        <v>1</v>
      </c>
      <c r="D338" s="218" t="s">
        <v>82</v>
      </c>
      <c r="E338" s="219"/>
      <c r="F338" s="220"/>
      <c r="G338" s="218" t="s">
        <v>83</v>
      </c>
      <c r="H338" s="219"/>
      <c r="I338" s="220"/>
      <c r="J338" s="218" t="s">
        <v>84</v>
      </c>
      <c r="K338" s="219"/>
      <c r="L338" s="220"/>
      <c r="M338" s="218" t="s">
        <v>96</v>
      </c>
      <c r="N338" s="219"/>
      <c r="O338" s="220"/>
      <c r="P338" s="218" t="s">
        <v>97</v>
      </c>
      <c r="Q338" s="219"/>
      <c r="R338" s="220"/>
      <c r="S338" s="234" t="s">
        <v>99</v>
      </c>
      <c r="T338" s="235"/>
      <c r="U338" s="236"/>
      <c r="V338" s="218" t="s">
        <v>101</v>
      </c>
      <c r="W338" s="219"/>
      <c r="X338" s="220"/>
      <c r="Y338" s="218"/>
      <c r="Z338" s="219"/>
      <c r="AA338" s="220"/>
      <c r="AB338" s="175" t="s">
        <v>102</v>
      </c>
      <c r="AC338" s="176"/>
      <c r="AD338" s="177"/>
      <c r="AE338" s="330" t="s">
        <v>148</v>
      </c>
      <c r="AF338" s="331"/>
      <c r="AG338" s="332"/>
      <c r="AH338" s="218" t="s">
        <v>90</v>
      </c>
      <c r="AI338" s="219"/>
      <c r="AJ338" s="220"/>
      <c r="AK338" s="218" t="s">
        <v>109</v>
      </c>
      <c r="AL338" s="219"/>
      <c r="AM338" s="220"/>
      <c r="AN338" s="168" t="s">
        <v>0</v>
      </c>
      <c r="AO338" s="168" t="s">
        <v>1</v>
      </c>
    </row>
    <row r="339" spans="2:42" ht="15" customHeight="1" thickBot="1">
      <c r="B339" s="168"/>
      <c r="C339" s="168"/>
      <c r="D339" s="221"/>
      <c r="E339" s="222"/>
      <c r="F339" s="223"/>
      <c r="G339" s="221"/>
      <c r="H339" s="222"/>
      <c r="I339" s="223"/>
      <c r="J339" s="221"/>
      <c r="K339" s="222"/>
      <c r="L339" s="223"/>
      <c r="M339" s="221"/>
      <c r="N339" s="222"/>
      <c r="O339" s="223"/>
      <c r="P339" s="221"/>
      <c r="Q339" s="222"/>
      <c r="R339" s="223"/>
      <c r="S339" s="237"/>
      <c r="T339" s="238"/>
      <c r="U339" s="239"/>
      <c r="V339" s="221"/>
      <c r="W339" s="222"/>
      <c r="X339" s="223"/>
      <c r="Y339" s="221"/>
      <c r="Z339" s="222"/>
      <c r="AA339" s="223"/>
      <c r="AB339" s="178"/>
      <c r="AC339" s="179"/>
      <c r="AD339" s="180"/>
      <c r="AE339" s="333"/>
      <c r="AF339" s="334"/>
      <c r="AG339" s="335"/>
      <c r="AH339" s="221"/>
      <c r="AI339" s="222"/>
      <c r="AJ339" s="223"/>
      <c r="AK339" s="221"/>
      <c r="AL339" s="222"/>
      <c r="AM339" s="223"/>
      <c r="AN339" s="168"/>
      <c r="AO339" s="168"/>
    </row>
    <row r="340" spans="2:42" ht="15" customHeight="1" thickBot="1">
      <c r="B340" s="168"/>
      <c r="C340" s="208"/>
      <c r="D340" s="169">
        <v>97</v>
      </c>
      <c r="E340" s="170"/>
      <c r="F340" s="171"/>
      <c r="G340" s="169">
        <v>98</v>
      </c>
      <c r="H340" s="170"/>
      <c r="I340" s="171"/>
      <c r="J340" s="169">
        <v>99</v>
      </c>
      <c r="K340" s="170"/>
      <c r="L340" s="171"/>
      <c r="M340" s="169">
        <v>100</v>
      </c>
      <c r="N340" s="170"/>
      <c r="O340" s="171"/>
      <c r="P340" s="169">
        <v>101</v>
      </c>
      <c r="Q340" s="170"/>
      <c r="R340" s="171"/>
      <c r="S340" s="169">
        <v>102</v>
      </c>
      <c r="T340" s="170"/>
      <c r="U340" s="171"/>
      <c r="V340" s="169">
        <v>103</v>
      </c>
      <c r="W340" s="170"/>
      <c r="X340" s="171"/>
      <c r="Y340" s="169">
        <v>104</v>
      </c>
      <c r="Z340" s="170"/>
      <c r="AA340" s="171"/>
      <c r="AB340" s="169">
        <v>105</v>
      </c>
      <c r="AC340" s="170"/>
      <c r="AD340" s="171"/>
      <c r="AE340" s="169">
        <v>106</v>
      </c>
      <c r="AF340" s="170"/>
      <c r="AG340" s="171"/>
      <c r="AH340" s="169">
        <v>107</v>
      </c>
      <c r="AI340" s="170"/>
      <c r="AJ340" s="171"/>
      <c r="AK340" s="169">
        <v>108</v>
      </c>
      <c r="AL340" s="170"/>
      <c r="AM340" s="171"/>
      <c r="AN340" s="168"/>
      <c r="AO340" s="168"/>
    </row>
    <row r="341" spans="2:42" ht="15" customHeight="1" thickBot="1">
      <c r="B341" s="168"/>
      <c r="C341" s="208"/>
      <c r="D341" s="2"/>
      <c r="E341" s="3"/>
      <c r="F341" s="4"/>
      <c r="G341" s="2"/>
      <c r="H341" s="3"/>
      <c r="I341" s="4"/>
      <c r="J341" s="2"/>
      <c r="K341" s="3"/>
      <c r="L341" s="4"/>
      <c r="M341" s="2"/>
      <c r="N341" s="3"/>
      <c r="O341" s="4"/>
      <c r="P341" s="2"/>
      <c r="Q341" s="3"/>
      <c r="R341" s="4"/>
      <c r="S341" s="2"/>
      <c r="T341" s="3"/>
      <c r="U341" s="4"/>
      <c r="V341" s="5"/>
      <c r="W341" s="6"/>
      <c r="X341" s="7"/>
      <c r="Y341" s="2"/>
      <c r="Z341" s="3"/>
      <c r="AA341" s="4"/>
      <c r="AB341" s="2"/>
      <c r="AC341" s="3"/>
      <c r="AD341" s="4"/>
      <c r="AE341" s="5"/>
      <c r="AF341" s="6"/>
      <c r="AG341" s="7"/>
      <c r="AH341" s="2"/>
      <c r="AI341" s="3"/>
      <c r="AJ341" s="4"/>
      <c r="AK341" s="5"/>
      <c r="AL341" s="6"/>
      <c r="AM341" s="7"/>
      <c r="AN341" s="168"/>
      <c r="AO341" s="168"/>
    </row>
    <row r="342" spans="2:42" ht="15" customHeight="1" thickBot="1">
      <c r="B342" s="45"/>
      <c r="C342" s="34"/>
      <c r="D342" s="162">
        <f>SUM(F343:F373)</f>
        <v>3.2916666666666665</v>
      </c>
      <c r="E342" s="163"/>
      <c r="F342" s="164"/>
      <c r="G342" s="193">
        <f>SUM(I343:I373)</f>
        <v>2.291666666666667</v>
      </c>
      <c r="H342" s="194"/>
      <c r="I342" s="195"/>
      <c r="J342" s="162">
        <f>SUM(L343:L373)</f>
        <v>2.2500000000000004</v>
      </c>
      <c r="K342" s="163"/>
      <c r="L342" s="164"/>
      <c r="M342" s="165">
        <f t="shared" ref="M342" si="357">SUM(O343:O373)</f>
        <v>0.91666666666666663</v>
      </c>
      <c r="N342" s="165"/>
      <c r="O342" s="166"/>
      <c r="P342" s="167">
        <f t="shared" ref="P342" si="358">SUM(R343:R373)</f>
        <v>3.3541666666666674</v>
      </c>
      <c r="Q342" s="165"/>
      <c r="R342" s="166"/>
      <c r="S342" s="167">
        <f t="shared" ref="S342" si="359">SUM(U343:U373)</f>
        <v>1.7083333333333333</v>
      </c>
      <c r="T342" s="165"/>
      <c r="U342" s="166"/>
      <c r="V342" s="167">
        <f t="shared" ref="V342" si="360">SUM(X343:X373)</f>
        <v>3.6666666666666665</v>
      </c>
      <c r="W342" s="165"/>
      <c r="X342" s="166"/>
      <c r="Y342" s="167">
        <f t="shared" ref="Y342" si="361">SUM(AA343:AA373)</f>
        <v>0</v>
      </c>
      <c r="Z342" s="165"/>
      <c r="AA342" s="166"/>
      <c r="AB342" s="167">
        <f t="shared" ref="AB342" si="362">SUM(AD343:AD373)</f>
        <v>1.75</v>
      </c>
      <c r="AC342" s="165"/>
      <c r="AD342" s="166"/>
      <c r="AE342" s="167">
        <f t="shared" ref="AE342" si="363">SUM(AG343:AG373)</f>
        <v>5.5416666666666679</v>
      </c>
      <c r="AF342" s="165"/>
      <c r="AG342" s="166"/>
      <c r="AH342" s="167">
        <f t="shared" ref="AH342" si="364">SUM(AJ343:AJ373)</f>
        <v>3.1875000000000004</v>
      </c>
      <c r="AI342" s="165"/>
      <c r="AJ342" s="166"/>
      <c r="AK342" s="167">
        <f t="shared" ref="AK342" si="365">SUM(AM343:AM373)</f>
        <v>2.3333333333333335</v>
      </c>
      <c r="AL342" s="165"/>
      <c r="AM342" s="166"/>
      <c r="AN342" s="8"/>
      <c r="AO342" s="1"/>
      <c r="AP342" s="19">
        <f>SUM(D342:AO342)</f>
        <v>30.291666666666668</v>
      </c>
    </row>
    <row r="343" spans="2:42" ht="15" customHeight="1">
      <c r="B343" s="112">
        <v>1</v>
      </c>
      <c r="C343" s="113" t="s">
        <v>8</v>
      </c>
      <c r="D343" s="114" t="s">
        <v>111</v>
      </c>
      <c r="E343" s="115"/>
      <c r="F343" s="127">
        <f>(IF(D343="u",0.333333333,IF(D343="W",0,IF(D343="C",F343,IF(D343="op",F343,(E343-D343))))))</f>
        <v>0</v>
      </c>
      <c r="G343" s="114" t="s">
        <v>111</v>
      </c>
      <c r="H343" s="115"/>
      <c r="I343" s="127">
        <f>(IF(G343="u",0.333333333,IF(G343="W",0,IF(G343="C",I343,IF(G343="op",I343,(H343-G343))))))</f>
        <v>0</v>
      </c>
      <c r="J343" s="114" t="s">
        <v>111</v>
      </c>
      <c r="K343" s="115"/>
      <c r="L343" s="127">
        <f>(IF(J343="u",0.333333333,IF(J343="W",0,IF(J343="C",L343,IF(J343="op",L343,(K343-J343))))))</f>
        <v>0</v>
      </c>
      <c r="M343" s="114" t="s">
        <v>111</v>
      </c>
      <c r="N343" s="115"/>
      <c r="O343" s="127">
        <f>(IF(M343="u",0.333333333,IF(M343="W",0,IF(M343="C",O343,IF(M343="op",O343,(N343-M343))))))</f>
        <v>0</v>
      </c>
      <c r="P343" s="114" t="s">
        <v>111</v>
      </c>
      <c r="Q343" s="115"/>
      <c r="R343" s="127">
        <f>(IF(P343="u",0.333333333,IF(P343="W",0,IF(P343="C",R343,IF(P343="op",R343,(Q343-P343))))))</f>
        <v>0</v>
      </c>
      <c r="S343" s="114" t="s">
        <v>111</v>
      </c>
      <c r="T343" s="115"/>
      <c r="U343" s="127">
        <f>(IF(S343="u",0.333333333,IF(S343="W",0,IF(S343="C",U343,IF(S343="op",U343,(T343-S343))))))</f>
        <v>0</v>
      </c>
      <c r="V343" s="114" t="s">
        <v>111</v>
      </c>
      <c r="W343" s="115"/>
      <c r="X343" s="127">
        <f>(IF(V343="u",0.333333333,IF(V343="W",0,IF(V343="C",X343,IF(V343="op",X343,(W343-V343))))))</f>
        <v>0</v>
      </c>
      <c r="Y343" s="114"/>
      <c r="Z343" s="115"/>
      <c r="AA343" s="127">
        <f>(IF(Y343="u",0.333333333,IF(Y343="W",0,IF(Y343="C",AA343,IF(Y343="op",AA343,(Z343-Y343))))))</f>
        <v>0</v>
      </c>
      <c r="AB343" s="114" t="s">
        <v>111</v>
      </c>
      <c r="AC343" s="115"/>
      <c r="AD343" s="127">
        <f>(IF(AB343="u",0.333333333,IF(AB343="W",0,IF(AB343="C",AD343,IF(AB343="op",AD343,(AC343-AB343))))))</f>
        <v>0</v>
      </c>
      <c r="AE343" s="114">
        <v>0.29166666666666669</v>
      </c>
      <c r="AF343" s="115">
        <v>0.58333333333333337</v>
      </c>
      <c r="AG343" s="127">
        <f>(IF(AE343="u",0.333333333,IF(AE343="W",0,IF(AE343="C",AG343,IF(AE343="op",AG343,(AF343-AE343))))))</f>
        <v>0.29166666666666669</v>
      </c>
      <c r="AH343" s="114" t="s">
        <v>111</v>
      </c>
      <c r="AI343" s="115"/>
      <c r="AJ343" s="127">
        <f>(IF(AH343="u",0.333333333,IF(AH343="W",0,IF(AH343="C",AJ343,IF(AH343="op",AJ343,(AI343-AH343))))))</f>
        <v>0</v>
      </c>
      <c r="AK343" s="114" t="s">
        <v>111</v>
      </c>
      <c r="AL343" s="115"/>
      <c r="AM343" s="127">
        <f>(IF(AK343="u",0.333333333,IF(AK343="W",0,IF(AK343="C",AM343,IF(AK343="op",AM343,(AL343-AK343))))))</f>
        <v>0</v>
      </c>
      <c r="AN343" s="112">
        <v>1</v>
      </c>
      <c r="AO343" s="113" t="s">
        <v>8</v>
      </c>
    </row>
    <row r="344" spans="2:42" ht="15" customHeight="1">
      <c r="B344" s="118">
        <v>2</v>
      </c>
      <c r="C344" s="113" t="s">
        <v>12</v>
      </c>
      <c r="D344" s="119" t="s">
        <v>111</v>
      </c>
      <c r="E344" s="120"/>
      <c r="F344" s="128">
        <f>(IF(D344="u",0.333333333,IF(D344="W",0,IF(D344="C",F344,IF(D344="op",F344,(E344-D344))))))</f>
        <v>0</v>
      </c>
      <c r="G344" s="119" t="s">
        <v>111</v>
      </c>
      <c r="H344" s="120"/>
      <c r="I344" s="128">
        <f>(IF(G344="u",0.333333333,IF(G344="W",0,IF(G344="C",I344,IF(G344="op",I344,(H344-G344))))))</f>
        <v>0</v>
      </c>
      <c r="J344" s="119" t="s">
        <v>111</v>
      </c>
      <c r="K344" s="120"/>
      <c r="L344" s="128">
        <f>(IF(J344="u",0.333333333,IF(J344="W",0,IF(J344="C",L344,IF(J344="op",L344,(K344-J344))))))</f>
        <v>0</v>
      </c>
      <c r="M344" s="119" t="s">
        <v>111</v>
      </c>
      <c r="N344" s="120"/>
      <c r="O344" s="128">
        <f>(IF(M344="u",0.333333333,IF(M344="W",0,IF(M344="C",O344,IF(M344="op",O344,(N344-M344))))))</f>
        <v>0</v>
      </c>
      <c r="P344" s="119">
        <v>0.125</v>
      </c>
      <c r="Q344" s="120">
        <v>0.58333333333333337</v>
      </c>
      <c r="R344" s="128">
        <f>(IF(P344="u",0.333333333,IF(P344="W",0,IF(P344="C",R344,IF(P344="op",R344,(Q344-P344))))))</f>
        <v>0.45833333333333337</v>
      </c>
      <c r="S344" s="119" t="s">
        <v>111</v>
      </c>
      <c r="T344" s="120"/>
      <c r="U344" s="128">
        <f>(IF(S344="u",0.333333333,IF(S344="W",0,IF(S344="C",U344,IF(S344="op",U344,(T344-S344))))))</f>
        <v>0</v>
      </c>
      <c r="V344" s="119" t="s">
        <v>111</v>
      </c>
      <c r="W344" s="120"/>
      <c r="X344" s="128">
        <f>(IF(V344="u",0.333333333,IF(V344="W",0,IF(V344="C",X344,IF(V344="op",X344,(W344-V344))))))</f>
        <v>0</v>
      </c>
      <c r="Y344" s="119"/>
      <c r="Z344" s="120"/>
      <c r="AA344" s="128">
        <f>(IF(Y344="u",0.333333333,IF(Y344="W",0,IF(Y344="C",AA344,IF(Y344="op",AA344,(Z344-Y344))))))</f>
        <v>0</v>
      </c>
      <c r="AB344" s="119" t="s">
        <v>111</v>
      </c>
      <c r="AC344" s="120"/>
      <c r="AD344" s="128">
        <f>(IF(AB344="u",0.333333333,IF(AB344="W",0,IF(AB344="C",AD344,IF(AB344="op",AD344,(AC344-AB344))))))</f>
        <v>0</v>
      </c>
      <c r="AE344" s="119">
        <v>0.29166666666666669</v>
      </c>
      <c r="AF344" s="120">
        <v>0.58333333333333337</v>
      </c>
      <c r="AG344" s="128">
        <f>(IF(AE344="u",0.333333333,IF(AE344="W",0,IF(AE344="C",AG344,IF(AE344="op",AG344,(AF344-AE344))))))</f>
        <v>0.29166666666666669</v>
      </c>
      <c r="AH344" s="119" t="s">
        <v>111</v>
      </c>
      <c r="AI344" s="120"/>
      <c r="AJ344" s="128">
        <f>(IF(AH344="u",0.333333333,IF(AH344="W",0,IF(AH344="C",AJ344,IF(AH344="op",AJ344,(AI344-AH344))))))</f>
        <v>0</v>
      </c>
      <c r="AK344" s="119" t="s">
        <v>111</v>
      </c>
      <c r="AL344" s="120"/>
      <c r="AM344" s="128">
        <f>(IF(AK344="u",0.333333333,IF(AK344="W",0,IF(AK344="C",AM344,IF(AK344="op",AM344,(AL344-AK344))))))</f>
        <v>0</v>
      </c>
      <c r="AN344" s="118">
        <v>2</v>
      </c>
      <c r="AO344" s="113" t="s">
        <v>12</v>
      </c>
    </row>
    <row r="345" spans="2:42" ht="15" customHeight="1">
      <c r="B345" s="118">
        <v>3</v>
      </c>
      <c r="C345" s="113" t="s">
        <v>85</v>
      </c>
      <c r="D345" s="119" t="s">
        <v>111</v>
      </c>
      <c r="E345" s="120"/>
      <c r="F345" s="128">
        <f t="shared" ref="F345:F346" si="366">(IF(D345="u",0.333333333,IF(D345="W",0,IF(D345="C",F345,IF(D345="op",F345,(E345-D345))))))</f>
        <v>0</v>
      </c>
      <c r="G345" s="119" t="s">
        <v>111</v>
      </c>
      <c r="H345" s="120"/>
      <c r="I345" s="128">
        <f t="shared" ref="I345:I346" si="367">(IF(G345="u",0.333333333,IF(G345="W",0,IF(G345="C",I345,IF(G345="op",I345,(H345-G345))))))</f>
        <v>0</v>
      </c>
      <c r="J345" s="119" t="s">
        <v>111</v>
      </c>
      <c r="K345" s="120"/>
      <c r="L345" s="128">
        <f t="shared" ref="L345:L346" si="368">(IF(J345="u",0.333333333,IF(J345="W",0,IF(J345="C",L345,IF(J345="op",L345,(K345-J345))))))</f>
        <v>0</v>
      </c>
      <c r="M345" s="119" t="s">
        <v>111</v>
      </c>
      <c r="N345" s="120"/>
      <c r="O345" s="128">
        <f t="shared" ref="O345:O346" si="369">(IF(M345="u",0.333333333,IF(M345="W",0,IF(M345="C",O345,IF(M345="op",O345,(N345-M345))))))</f>
        <v>0</v>
      </c>
      <c r="P345" s="119" t="s">
        <v>111</v>
      </c>
      <c r="Q345" s="120"/>
      <c r="R345" s="128">
        <f t="shared" ref="R345:R346" si="370">(IF(P345="u",0.333333333,IF(P345="W",0,IF(P345="C",R345,IF(P345="op",R345,(Q345-P345))))))</f>
        <v>0</v>
      </c>
      <c r="S345" s="119" t="s">
        <v>111</v>
      </c>
      <c r="T345" s="120"/>
      <c r="U345" s="128">
        <f t="shared" ref="U345:U346" si="371">(IF(S345="u",0.333333333,IF(S345="W",0,IF(S345="C",U345,IF(S345="op",U345,(T345-S345))))))</f>
        <v>0</v>
      </c>
      <c r="V345" s="119" t="s">
        <v>111</v>
      </c>
      <c r="W345" s="120"/>
      <c r="X345" s="128">
        <f t="shared" ref="X345:X346" si="372">(IF(V345="u",0.333333333,IF(V345="W",0,IF(V345="C",X345,IF(V345="op",X345,(W345-V345))))))</f>
        <v>0</v>
      </c>
      <c r="Y345" s="119"/>
      <c r="Z345" s="120"/>
      <c r="AA345" s="128">
        <f t="shared" ref="AA345:AA346" si="373">(IF(Y345="u",0.333333333,IF(Y345="W",0,IF(Y345="C",AA345,IF(Y345="op",AA345,(Z345-Y345))))))</f>
        <v>0</v>
      </c>
      <c r="AB345" s="119" t="s">
        <v>111</v>
      </c>
      <c r="AC345" s="120"/>
      <c r="AD345" s="128">
        <f t="shared" ref="AD345:AD346" si="374">(IF(AB345="u",0.333333333,IF(AB345="W",0,IF(AB345="C",AD345,IF(AB345="op",AD345,(AC345-AB345))))))</f>
        <v>0</v>
      </c>
      <c r="AE345" s="119">
        <v>0.33333333333333331</v>
      </c>
      <c r="AF345" s="120">
        <v>0.625</v>
      </c>
      <c r="AG345" s="128">
        <f t="shared" ref="AG345:AG346" si="375">(IF(AE345="u",0.333333333,IF(AE345="W",0,IF(AE345="C",AG345,IF(AE345="op",AG345,(AF345-AE345))))))</f>
        <v>0.29166666666666669</v>
      </c>
      <c r="AH345" s="119" t="s">
        <v>111</v>
      </c>
      <c r="AI345" s="120"/>
      <c r="AJ345" s="128">
        <f t="shared" ref="AJ345:AJ346" si="376">(IF(AH345="u",0.333333333,IF(AH345="W",0,IF(AH345="C",AJ345,IF(AH345="op",AJ345,(AI345-AH345))))))</f>
        <v>0</v>
      </c>
      <c r="AK345" s="119" t="s">
        <v>111</v>
      </c>
      <c r="AL345" s="120"/>
      <c r="AM345" s="128">
        <f t="shared" ref="AM345:AM346" si="377">(IF(AK345="u",0.333333333,IF(AK345="W",0,IF(AK345="C",AM345,IF(AK345="op",AM345,(AL345-AK345))))))</f>
        <v>0</v>
      </c>
      <c r="AN345" s="118">
        <v>3</v>
      </c>
      <c r="AO345" s="113" t="s">
        <v>85</v>
      </c>
      <c r="AP345" s="19"/>
    </row>
    <row r="346" spans="2:42" ht="15" customHeight="1">
      <c r="B346" s="118">
        <v>4</v>
      </c>
      <c r="C346" s="113" t="s">
        <v>4</v>
      </c>
      <c r="D346" s="119">
        <v>0.16666666666666666</v>
      </c>
      <c r="E346" s="120">
        <v>0.66666666666666663</v>
      </c>
      <c r="F346" s="128">
        <f t="shared" si="366"/>
        <v>0.5</v>
      </c>
      <c r="G346" s="119" t="s">
        <v>111</v>
      </c>
      <c r="H346" s="120"/>
      <c r="I346" s="128">
        <f t="shared" si="367"/>
        <v>0</v>
      </c>
      <c r="J346" s="119" t="s">
        <v>111</v>
      </c>
      <c r="K346" s="120"/>
      <c r="L346" s="128">
        <f t="shared" si="368"/>
        <v>0</v>
      </c>
      <c r="M346" s="119" t="s">
        <v>111</v>
      </c>
      <c r="N346" s="120"/>
      <c r="O346" s="128">
        <f t="shared" si="369"/>
        <v>0</v>
      </c>
      <c r="P346" s="119"/>
      <c r="Q346" s="120"/>
      <c r="R346" s="128">
        <f t="shared" si="370"/>
        <v>0</v>
      </c>
      <c r="S346" s="119" t="s">
        <v>111</v>
      </c>
      <c r="T346" s="120"/>
      <c r="U346" s="128">
        <f t="shared" si="371"/>
        <v>0</v>
      </c>
      <c r="V346" s="119">
        <v>0.16666666666666666</v>
      </c>
      <c r="W346" s="120">
        <v>0.66666666666666663</v>
      </c>
      <c r="X346" s="128">
        <f t="shared" si="372"/>
        <v>0.5</v>
      </c>
      <c r="Y346" s="119"/>
      <c r="Z346" s="120"/>
      <c r="AA346" s="128">
        <f t="shared" si="373"/>
        <v>0</v>
      </c>
      <c r="AB346" s="119">
        <v>0.54166666666666663</v>
      </c>
      <c r="AC346" s="120">
        <v>0.875</v>
      </c>
      <c r="AD346" s="128">
        <f t="shared" si="374"/>
        <v>0.33333333333333337</v>
      </c>
      <c r="AE346" s="119">
        <v>0.33333333333333331</v>
      </c>
      <c r="AF346" s="120">
        <v>0.625</v>
      </c>
      <c r="AG346" s="128">
        <f t="shared" si="375"/>
        <v>0.29166666666666669</v>
      </c>
      <c r="AH346" s="119" t="s">
        <v>111</v>
      </c>
      <c r="AI346" s="120"/>
      <c r="AJ346" s="128">
        <f t="shared" si="376"/>
        <v>0</v>
      </c>
      <c r="AK346" s="119" t="s">
        <v>111</v>
      </c>
      <c r="AL346" s="120"/>
      <c r="AM346" s="128">
        <f t="shared" si="377"/>
        <v>0</v>
      </c>
      <c r="AN346" s="118">
        <v>4</v>
      </c>
      <c r="AO346" s="113" t="s">
        <v>4</v>
      </c>
    </row>
    <row r="347" spans="2:42" ht="15" customHeight="1">
      <c r="B347" s="86">
        <v>5</v>
      </c>
      <c r="C347" s="87" t="s">
        <v>5</v>
      </c>
      <c r="D347" s="88"/>
      <c r="E347" s="89"/>
      <c r="F347" s="92">
        <f>(IF(D347="u",0.333333333,IF(D347="W",0,IF(D347="C",F347,IF(D347="op",F347,(E347-D347))))))</f>
        <v>0</v>
      </c>
      <c r="G347" s="88">
        <v>0.125</v>
      </c>
      <c r="H347" s="89">
        <v>0.54166666666666663</v>
      </c>
      <c r="I347" s="92">
        <f>(IF(G347="u",0.333333333,IF(G347="W",0,IF(G347="C",I347,IF(G347="op",I347,(H347-G347))))))</f>
        <v>0.41666666666666663</v>
      </c>
      <c r="J347" s="88" t="s">
        <v>111</v>
      </c>
      <c r="K347" s="89"/>
      <c r="L347" s="92">
        <f>(IF(J347="u",0.333333333,IF(J347="W",0,IF(J347="C",L347,IF(J347="op",L347,(K347-J347))))))</f>
        <v>0</v>
      </c>
      <c r="M347" s="88"/>
      <c r="N347" s="89"/>
      <c r="O347" s="92">
        <f>(IF(M347="u",0.333333333,IF(M347="W",0,IF(M347="C",O347,IF(M347="op",O347,(N347-M347))))))</f>
        <v>0</v>
      </c>
      <c r="P347" s="88" t="s">
        <v>111</v>
      </c>
      <c r="Q347" s="89"/>
      <c r="R347" s="92">
        <f>(IF(P347="u",0.333333333,IF(P347="W",0,IF(P347="C",R347,IF(P347="op",R347,(Q347-P347))))))</f>
        <v>0</v>
      </c>
      <c r="S347" s="88">
        <v>0.125</v>
      </c>
      <c r="T347" s="89">
        <v>0.54166666666666663</v>
      </c>
      <c r="U347" s="92">
        <f>(IF(S347="u",0.333333333,IF(S347="W",0,IF(S347="C",U347,IF(S347="op",U347,(T347-S347))))))</f>
        <v>0.41666666666666663</v>
      </c>
      <c r="V347" s="88">
        <v>0.41666666666666669</v>
      </c>
      <c r="W347" s="89">
        <v>0.83333333333333337</v>
      </c>
      <c r="X347" s="92">
        <f>(IF(V347="u",0.333333333,IF(V347="W",0,IF(V347="C",X347,IF(V347="op",X347,(W347-V347))))))</f>
        <v>0.41666666666666669</v>
      </c>
      <c r="Y347" s="88"/>
      <c r="Z347" s="89"/>
      <c r="AA347" s="92">
        <f>(IF(Y347="u",0.333333333,IF(Y347="W",0,IF(Y347="C",AA347,IF(Y347="op",AA347,(Z347-Y347))))))</f>
        <v>0</v>
      </c>
      <c r="AB347" s="88" t="s">
        <v>111</v>
      </c>
      <c r="AC347" s="89"/>
      <c r="AD347" s="92">
        <f>(IF(AB347="u",0.333333333,IF(AB347="W",0,IF(AB347="C",AD347,IF(AB347="op",AD347,(AC347-AB347))))))</f>
        <v>0</v>
      </c>
      <c r="AE347" s="88"/>
      <c r="AF347" s="89"/>
      <c r="AG347" s="92">
        <f>(IF(AE347="u",0.333333333,IF(AE347="W",0,IF(AE347="C",AG347,IF(AE347="op",AG347,(AF347-AE347))))))</f>
        <v>0</v>
      </c>
      <c r="AH347" s="88">
        <v>0.41666666666666669</v>
      </c>
      <c r="AI347" s="89">
        <v>0.83333333333333337</v>
      </c>
      <c r="AJ347" s="92">
        <f>(IF(AH347="u",0.333333333,IF(AH347="W",0,IF(AH347="C",AJ347,IF(AH347="op",AJ347,(AI347-AH347))))))</f>
        <v>0.41666666666666669</v>
      </c>
      <c r="AK347" s="88"/>
      <c r="AL347" s="89"/>
      <c r="AM347" s="92">
        <f>(IF(AK347="u",0.333333333,IF(AK347="W",0,IF(AK347="C",AM347,IF(AK347="op",AM347,(AL347-AK347))))))</f>
        <v>0</v>
      </c>
      <c r="AN347" s="86">
        <v>5</v>
      </c>
      <c r="AO347" s="87" t="s">
        <v>5</v>
      </c>
    </row>
    <row r="348" spans="2:42" ht="15" customHeight="1">
      <c r="B348" s="86">
        <v>6</v>
      </c>
      <c r="C348" s="87" t="s">
        <v>6</v>
      </c>
      <c r="D348" s="88" t="s">
        <v>111</v>
      </c>
      <c r="E348" s="89"/>
      <c r="F348" s="92">
        <f>(IF(D348="u",0.333333333,IF(D348="W",0,IF(D348="C",F348,IF(D348="op",F348,(E348-D348))))))</f>
        <v>0</v>
      </c>
      <c r="G348" s="88">
        <v>0.625</v>
      </c>
      <c r="H348" s="89">
        <v>1.125</v>
      </c>
      <c r="I348" s="92">
        <f t="shared" ref="I348:I356" si="378">(IF(G348="u",0.333333333,IF(G348="W",0,IF(G348="C",I348,IF(G348="op",I348,(H348-G348))))))</f>
        <v>0.5</v>
      </c>
      <c r="J348" s="88" t="s">
        <v>111</v>
      </c>
      <c r="K348" s="89"/>
      <c r="L348" s="92">
        <f t="shared" ref="L348:L356" si="379">(IF(J348="u",0.333333333,IF(J348="W",0,IF(J348="C",L348,IF(J348="op",L348,(K348-J348))))))</f>
        <v>0</v>
      </c>
      <c r="M348" s="88" t="s">
        <v>111</v>
      </c>
      <c r="N348" s="89"/>
      <c r="O348" s="92">
        <f t="shared" ref="O348:O356" si="380">(IF(M348="u",0.333333333,IF(M348="W",0,IF(M348="C",O348,IF(M348="op",O348,(N348-M348))))))</f>
        <v>0</v>
      </c>
      <c r="P348" s="88" t="s">
        <v>111</v>
      </c>
      <c r="Q348" s="89"/>
      <c r="R348" s="92">
        <f t="shared" ref="R348:R356" si="381">(IF(P348="u",0.333333333,IF(P348="W",0,IF(P348="C",R348,IF(P348="op",R348,(Q348-P348))))))</f>
        <v>0</v>
      </c>
      <c r="S348" s="88"/>
      <c r="T348" s="89"/>
      <c r="U348" s="92">
        <f t="shared" ref="U348:U356" si="382">(IF(S348="u",0.333333333,IF(S348="W",0,IF(S348="C",U348,IF(S348="op",U348,(T348-S348))))))</f>
        <v>0</v>
      </c>
      <c r="V348" s="88"/>
      <c r="W348" s="89"/>
      <c r="X348" s="92">
        <f t="shared" ref="X348:X356" si="383">(IF(V348="u",0.333333333,IF(V348="W",0,IF(V348="C",X348,IF(V348="op",X348,(W348-V348))))))</f>
        <v>0</v>
      </c>
      <c r="Y348" s="88"/>
      <c r="Z348" s="89"/>
      <c r="AA348" s="92">
        <f t="shared" ref="AA348:AA356" si="384">(IF(Y348="u",0.333333333,IF(Y348="W",0,IF(Y348="C",AA348,IF(Y348="op",AA348,(Z348-Y348))))))</f>
        <v>0</v>
      </c>
      <c r="AB348" s="88">
        <v>0.16666666666666666</v>
      </c>
      <c r="AC348" s="89">
        <v>0.66666666666666663</v>
      </c>
      <c r="AD348" s="92">
        <f t="shared" ref="AD348:AD356" si="385">(IF(AB348="u",0.333333333,IF(AB348="W",0,IF(AB348="C",AD348,IF(AB348="op",AD348,(AC348-AB348))))))</f>
        <v>0.5</v>
      </c>
      <c r="AE348" s="88"/>
      <c r="AF348" s="89"/>
      <c r="AG348" s="92">
        <f t="shared" ref="AG348:AG356" si="386">(IF(AE348="u",0.333333333,IF(AE348="W",0,IF(AE348="C",AG348,IF(AE348="op",AG348,(AF348-AE348))))))</f>
        <v>0</v>
      </c>
      <c r="AH348" s="88" t="s">
        <v>111</v>
      </c>
      <c r="AI348" s="89"/>
      <c r="AJ348" s="92">
        <f t="shared" ref="AJ348:AJ356" si="387">(IF(AH348="u",0.333333333,IF(AH348="W",0,IF(AH348="C",AJ348,IF(AH348="op",AJ348,(AI348-AH348))))))</f>
        <v>0</v>
      </c>
      <c r="AK348" s="88">
        <v>0.16666666666666666</v>
      </c>
      <c r="AL348" s="89">
        <v>0.66666666666666663</v>
      </c>
      <c r="AM348" s="92">
        <f t="shared" ref="AM348:AM356" si="388">(IF(AK348="u",0.333333333,IF(AK348="W",0,IF(AK348="C",AM348,IF(AK348="op",AM348,(AL348-AK348))))))</f>
        <v>0.5</v>
      </c>
      <c r="AN348" s="86">
        <v>6</v>
      </c>
      <c r="AO348" s="87" t="s">
        <v>6</v>
      </c>
    </row>
    <row r="349" spans="2:42" ht="15" customHeight="1">
      <c r="B349" s="118">
        <v>7</v>
      </c>
      <c r="C349" s="113" t="s">
        <v>7</v>
      </c>
      <c r="D349" s="119" t="s">
        <v>111</v>
      </c>
      <c r="E349" s="120"/>
      <c r="F349" s="128">
        <f t="shared" ref="F349:F356" si="389">(IF(D349="u",0.333333333,IF(D349="W",0,IF(D349="C",F349,IF(D349="op",F349,(E349-D349))))))</f>
        <v>0</v>
      </c>
      <c r="G349" s="119" t="s">
        <v>111</v>
      </c>
      <c r="H349" s="120"/>
      <c r="I349" s="128">
        <f t="shared" si="378"/>
        <v>0</v>
      </c>
      <c r="J349" s="119" t="s">
        <v>111</v>
      </c>
      <c r="K349" s="120"/>
      <c r="L349" s="128">
        <f t="shared" si="379"/>
        <v>0</v>
      </c>
      <c r="M349" s="119" t="s">
        <v>111</v>
      </c>
      <c r="N349" s="120"/>
      <c r="O349" s="128">
        <f t="shared" si="380"/>
        <v>0</v>
      </c>
      <c r="P349" s="119">
        <v>0.66666666666666663</v>
      </c>
      <c r="Q349" s="120">
        <v>1.1666666666666667</v>
      </c>
      <c r="R349" s="128">
        <f t="shared" si="381"/>
        <v>0.50000000000000011</v>
      </c>
      <c r="S349" s="119" t="s">
        <v>111</v>
      </c>
      <c r="T349" s="120"/>
      <c r="U349" s="128">
        <f t="shared" si="382"/>
        <v>0</v>
      </c>
      <c r="V349" s="119" t="s">
        <v>111</v>
      </c>
      <c r="W349" s="120"/>
      <c r="X349" s="128">
        <f t="shared" si="383"/>
        <v>0</v>
      </c>
      <c r="Y349" s="119"/>
      <c r="Z349" s="120"/>
      <c r="AA349" s="128">
        <f t="shared" si="384"/>
        <v>0</v>
      </c>
      <c r="AB349" s="119" t="s">
        <v>111</v>
      </c>
      <c r="AC349" s="120"/>
      <c r="AD349" s="128">
        <f t="shared" si="385"/>
        <v>0</v>
      </c>
      <c r="AE349" s="119">
        <v>0.33333333333333331</v>
      </c>
      <c r="AF349" s="120">
        <v>0.625</v>
      </c>
      <c r="AG349" s="128">
        <f t="shared" si="386"/>
        <v>0.29166666666666669</v>
      </c>
      <c r="AH349" s="119" t="s">
        <v>111</v>
      </c>
      <c r="AI349" s="120"/>
      <c r="AJ349" s="128">
        <f t="shared" si="387"/>
        <v>0</v>
      </c>
      <c r="AK349" s="119" t="s">
        <v>111</v>
      </c>
      <c r="AL349" s="120"/>
      <c r="AM349" s="128">
        <f t="shared" si="388"/>
        <v>0</v>
      </c>
      <c r="AN349" s="118">
        <v>7</v>
      </c>
      <c r="AO349" s="113" t="s">
        <v>7</v>
      </c>
    </row>
    <row r="350" spans="2:42" ht="15" customHeight="1">
      <c r="B350" s="118">
        <v>8</v>
      </c>
      <c r="C350" s="113" t="s">
        <v>8</v>
      </c>
      <c r="D350" s="119" t="s">
        <v>111</v>
      </c>
      <c r="E350" s="120"/>
      <c r="F350" s="128">
        <f t="shared" si="389"/>
        <v>0</v>
      </c>
      <c r="G350" s="119" t="s">
        <v>111</v>
      </c>
      <c r="H350" s="120"/>
      <c r="I350" s="128">
        <f t="shared" si="378"/>
        <v>0</v>
      </c>
      <c r="J350" s="119" t="s">
        <v>111</v>
      </c>
      <c r="K350" s="120"/>
      <c r="L350" s="128">
        <f t="shared" si="379"/>
        <v>0</v>
      </c>
      <c r="M350" s="119" t="s">
        <v>111</v>
      </c>
      <c r="N350" s="120"/>
      <c r="O350" s="128">
        <f t="shared" si="380"/>
        <v>0</v>
      </c>
      <c r="P350" s="119" t="s">
        <v>111</v>
      </c>
      <c r="Q350" s="120"/>
      <c r="R350" s="128">
        <f t="shared" si="381"/>
        <v>0</v>
      </c>
      <c r="S350" s="119" t="s">
        <v>111</v>
      </c>
      <c r="T350" s="120"/>
      <c r="U350" s="128">
        <f t="shared" si="382"/>
        <v>0</v>
      </c>
      <c r="V350" s="119" t="s">
        <v>111</v>
      </c>
      <c r="W350" s="120"/>
      <c r="X350" s="128">
        <f t="shared" si="383"/>
        <v>0</v>
      </c>
      <c r="Y350" s="119"/>
      <c r="Z350" s="120"/>
      <c r="AA350" s="128">
        <f t="shared" si="384"/>
        <v>0</v>
      </c>
      <c r="AB350" s="119" t="s">
        <v>111</v>
      </c>
      <c r="AC350" s="120"/>
      <c r="AD350" s="128">
        <f t="shared" si="385"/>
        <v>0</v>
      </c>
      <c r="AE350" s="119">
        <v>0.33333333333333331</v>
      </c>
      <c r="AF350" s="120">
        <v>0.625</v>
      </c>
      <c r="AG350" s="128">
        <f t="shared" si="386"/>
        <v>0.29166666666666669</v>
      </c>
      <c r="AH350" s="119" t="s">
        <v>111</v>
      </c>
      <c r="AI350" s="120"/>
      <c r="AJ350" s="128">
        <f t="shared" si="387"/>
        <v>0</v>
      </c>
      <c r="AK350" s="119" t="s">
        <v>111</v>
      </c>
      <c r="AL350" s="120"/>
      <c r="AM350" s="128">
        <f t="shared" si="388"/>
        <v>0</v>
      </c>
      <c r="AN350" s="118">
        <v>8</v>
      </c>
      <c r="AO350" s="113" t="s">
        <v>8</v>
      </c>
    </row>
    <row r="351" spans="2:42" ht="15" customHeight="1">
      <c r="B351" s="118">
        <v>9</v>
      </c>
      <c r="C351" s="113" t="s">
        <v>12</v>
      </c>
      <c r="D351" s="119">
        <v>0.125</v>
      </c>
      <c r="E351" s="120">
        <v>0.58333333333333337</v>
      </c>
      <c r="F351" s="128">
        <f t="shared" si="389"/>
        <v>0.45833333333333337</v>
      </c>
      <c r="G351" s="119" t="s">
        <v>111</v>
      </c>
      <c r="H351" s="120"/>
      <c r="I351" s="128">
        <f t="shared" si="378"/>
        <v>0</v>
      </c>
      <c r="J351" s="119" t="s">
        <v>111</v>
      </c>
      <c r="K351" s="120"/>
      <c r="L351" s="128">
        <f t="shared" si="379"/>
        <v>0</v>
      </c>
      <c r="M351" s="119" t="s">
        <v>111</v>
      </c>
      <c r="N351" s="120"/>
      <c r="O351" s="128">
        <f t="shared" si="380"/>
        <v>0</v>
      </c>
      <c r="P351" s="119"/>
      <c r="Q351" s="120"/>
      <c r="R351" s="128">
        <f t="shared" si="381"/>
        <v>0</v>
      </c>
      <c r="S351" s="119" t="s">
        <v>111</v>
      </c>
      <c r="T351" s="120"/>
      <c r="U351" s="128">
        <f t="shared" si="382"/>
        <v>0</v>
      </c>
      <c r="V351" s="119" t="s">
        <v>111</v>
      </c>
      <c r="W351" s="120"/>
      <c r="X351" s="128">
        <f t="shared" si="383"/>
        <v>0</v>
      </c>
      <c r="Y351" s="119"/>
      <c r="Z351" s="120"/>
      <c r="AA351" s="128">
        <f t="shared" si="384"/>
        <v>0</v>
      </c>
      <c r="AB351" s="119" t="s">
        <v>111</v>
      </c>
      <c r="AC351" s="120"/>
      <c r="AD351" s="128">
        <f t="shared" si="385"/>
        <v>0</v>
      </c>
      <c r="AE351" s="119">
        <v>0.33333333333333331</v>
      </c>
      <c r="AF351" s="120">
        <v>0.625</v>
      </c>
      <c r="AG351" s="128">
        <f t="shared" si="386"/>
        <v>0.29166666666666669</v>
      </c>
      <c r="AH351" s="119" t="s">
        <v>111</v>
      </c>
      <c r="AI351" s="120"/>
      <c r="AJ351" s="128">
        <f t="shared" si="387"/>
        <v>0</v>
      </c>
      <c r="AK351" s="119" t="s">
        <v>111</v>
      </c>
      <c r="AL351" s="120"/>
      <c r="AM351" s="128">
        <f t="shared" si="388"/>
        <v>0</v>
      </c>
      <c r="AN351" s="118">
        <v>9</v>
      </c>
      <c r="AO351" s="113" t="s">
        <v>12</v>
      </c>
    </row>
    <row r="352" spans="2:42" ht="15" customHeight="1">
      <c r="B352" s="118">
        <v>10</v>
      </c>
      <c r="C352" s="113" t="s">
        <v>85</v>
      </c>
      <c r="D352" s="119" t="s">
        <v>111</v>
      </c>
      <c r="E352" s="120"/>
      <c r="F352" s="128">
        <f t="shared" si="389"/>
        <v>0</v>
      </c>
      <c r="G352" s="119" t="s">
        <v>111</v>
      </c>
      <c r="H352" s="120"/>
      <c r="I352" s="128">
        <f t="shared" si="378"/>
        <v>0</v>
      </c>
      <c r="J352" s="119" t="s">
        <v>111</v>
      </c>
      <c r="K352" s="120"/>
      <c r="L352" s="128">
        <f t="shared" si="379"/>
        <v>0</v>
      </c>
      <c r="M352" s="119" t="s">
        <v>111</v>
      </c>
      <c r="N352" s="120"/>
      <c r="O352" s="128">
        <f t="shared" si="380"/>
        <v>0</v>
      </c>
      <c r="P352" s="119" t="s">
        <v>111</v>
      </c>
      <c r="Q352" s="120"/>
      <c r="R352" s="128">
        <f t="shared" si="381"/>
        <v>0</v>
      </c>
      <c r="S352" s="119" t="s">
        <v>111</v>
      </c>
      <c r="T352" s="120"/>
      <c r="U352" s="128">
        <f t="shared" si="382"/>
        <v>0</v>
      </c>
      <c r="V352" s="119" t="s">
        <v>111</v>
      </c>
      <c r="W352" s="120"/>
      <c r="X352" s="128">
        <f t="shared" si="383"/>
        <v>0</v>
      </c>
      <c r="Y352" s="119"/>
      <c r="Z352" s="120"/>
      <c r="AA352" s="128">
        <f t="shared" si="384"/>
        <v>0</v>
      </c>
      <c r="AB352" s="119" t="s">
        <v>111</v>
      </c>
      <c r="AC352" s="120"/>
      <c r="AD352" s="128">
        <f t="shared" si="385"/>
        <v>0</v>
      </c>
      <c r="AE352" s="119">
        <v>0.33333333333333331</v>
      </c>
      <c r="AF352" s="120">
        <v>0.625</v>
      </c>
      <c r="AG352" s="128">
        <f t="shared" si="386"/>
        <v>0.29166666666666669</v>
      </c>
      <c r="AH352" s="119" t="s">
        <v>111</v>
      </c>
      <c r="AI352" s="120"/>
      <c r="AJ352" s="128">
        <f t="shared" si="387"/>
        <v>0</v>
      </c>
      <c r="AK352" s="119" t="s">
        <v>111</v>
      </c>
      <c r="AL352" s="120"/>
      <c r="AM352" s="128">
        <f t="shared" si="388"/>
        <v>0</v>
      </c>
      <c r="AN352" s="118">
        <v>10</v>
      </c>
      <c r="AO352" s="113" t="s">
        <v>85</v>
      </c>
    </row>
    <row r="353" spans="2:41" ht="15" customHeight="1">
      <c r="B353" s="118">
        <v>11</v>
      </c>
      <c r="C353" s="113" t="s">
        <v>4</v>
      </c>
      <c r="D353" s="119">
        <v>0.125</v>
      </c>
      <c r="E353" s="120">
        <v>0.54166666666666663</v>
      </c>
      <c r="F353" s="128">
        <f t="shared" si="389"/>
        <v>0.41666666666666663</v>
      </c>
      <c r="G353" s="119"/>
      <c r="H353" s="120"/>
      <c r="I353" s="128">
        <f t="shared" si="378"/>
        <v>0</v>
      </c>
      <c r="J353" s="119" t="s">
        <v>111</v>
      </c>
      <c r="K353" s="120"/>
      <c r="L353" s="128">
        <f t="shared" si="379"/>
        <v>0</v>
      </c>
      <c r="M353" s="119" t="s">
        <v>111</v>
      </c>
      <c r="N353" s="120"/>
      <c r="O353" s="128">
        <f t="shared" si="380"/>
        <v>0</v>
      </c>
      <c r="P353" s="119" t="s">
        <v>111</v>
      </c>
      <c r="Q353" s="120"/>
      <c r="R353" s="128">
        <f t="shared" si="381"/>
        <v>0</v>
      </c>
      <c r="S353" s="119" t="s">
        <v>111</v>
      </c>
      <c r="T353" s="120"/>
      <c r="U353" s="128">
        <f t="shared" si="382"/>
        <v>0</v>
      </c>
      <c r="V353" s="119">
        <v>0.125</v>
      </c>
      <c r="W353" s="120">
        <v>0.54166666666666663</v>
      </c>
      <c r="X353" s="128">
        <f t="shared" si="383"/>
        <v>0.41666666666666663</v>
      </c>
      <c r="Y353" s="119"/>
      <c r="Z353" s="120"/>
      <c r="AA353" s="128">
        <f t="shared" si="384"/>
        <v>0</v>
      </c>
      <c r="AB353" s="119"/>
      <c r="AC353" s="120"/>
      <c r="AD353" s="128">
        <f t="shared" si="385"/>
        <v>0</v>
      </c>
      <c r="AE353" s="119">
        <v>0.33333333333333331</v>
      </c>
      <c r="AF353" s="120">
        <v>0.625</v>
      </c>
      <c r="AG353" s="128">
        <f t="shared" si="386"/>
        <v>0.29166666666666669</v>
      </c>
      <c r="AH353" s="119">
        <v>0.66666666666666663</v>
      </c>
      <c r="AI353" s="120">
        <v>1.1666666666666667</v>
      </c>
      <c r="AJ353" s="128">
        <f t="shared" si="387"/>
        <v>0.50000000000000011</v>
      </c>
      <c r="AK353" s="119" t="s">
        <v>111</v>
      </c>
      <c r="AL353" s="120"/>
      <c r="AM353" s="128">
        <f t="shared" si="388"/>
        <v>0</v>
      </c>
      <c r="AN353" s="118">
        <v>11</v>
      </c>
      <c r="AO353" s="113" t="s">
        <v>4</v>
      </c>
    </row>
    <row r="354" spans="2:41" ht="15" customHeight="1">
      <c r="B354" s="86">
        <v>12</v>
      </c>
      <c r="C354" s="87" t="s">
        <v>5</v>
      </c>
      <c r="D354" s="88" t="s">
        <v>111</v>
      </c>
      <c r="E354" s="89"/>
      <c r="F354" s="92">
        <f t="shared" si="389"/>
        <v>0</v>
      </c>
      <c r="G354" s="88"/>
      <c r="H354" s="89"/>
      <c r="I354" s="92">
        <f t="shared" si="378"/>
        <v>0</v>
      </c>
      <c r="J354" s="88"/>
      <c r="K354" s="89"/>
      <c r="L354" s="92">
        <f t="shared" si="379"/>
        <v>0</v>
      </c>
      <c r="M354" s="88" t="s">
        <v>111</v>
      </c>
      <c r="N354" s="89"/>
      <c r="O354" s="92">
        <f t="shared" si="380"/>
        <v>0</v>
      </c>
      <c r="P354" s="88" t="s">
        <v>111</v>
      </c>
      <c r="Q354" s="89"/>
      <c r="R354" s="92">
        <f t="shared" si="381"/>
        <v>0</v>
      </c>
      <c r="S354" s="88"/>
      <c r="T354" s="89"/>
      <c r="U354" s="92">
        <f t="shared" si="382"/>
        <v>0</v>
      </c>
      <c r="V354" s="88">
        <v>0.125</v>
      </c>
      <c r="W354" s="89">
        <v>0.54166666666666663</v>
      </c>
      <c r="X354" s="92">
        <f t="shared" si="383"/>
        <v>0.41666666666666663</v>
      </c>
      <c r="Y354" s="88"/>
      <c r="Z354" s="89"/>
      <c r="AA354" s="92">
        <f t="shared" si="384"/>
        <v>0</v>
      </c>
      <c r="AB354" s="88">
        <v>0.41666666666666669</v>
      </c>
      <c r="AC354" s="89">
        <v>0.83333333333333337</v>
      </c>
      <c r="AD354" s="92">
        <f t="shared" si="385"/>
        <v>0.41666666666666669</v>
      </c>
      <c r="AE354" s="88"/>
      <c r="AF354" s="89"/>
      <c r="AG354" s="92">
        <f t="shared" si="386"/>
        <v>0</v>
      </c>
      <c r="AH354" s="88"/>
      <c r="AI354" s="89"/>
      <c r="AJ354" s="92">
        <f t="shared" si="387"/>
        <v>0</v>
      </c>
      <c r="AK354" s="88">
        <v>0.41666666666666669</v>
      </c>
      <c r="AL354" s="89">
        <v>0.83333333333333337</v>
      </c>
      <c r="AM354" s="92">
        <f t="shared" si="388"/>
        <v>0.41666666666666669</v>
      </c>
      <c r="AN354" s="86">
        <v>12</v>
      </c>
      <c r="AO354" s="87" t="s">
        <v>5</v>
      </c>
    </row>
    <row r="355" spans="2:41" ht="15" customHeight="1">
      <c r="B355" s="86">
        <v>13</v>
      </c>
      <c r="C355" s="87" t="s">
        <v>6</v>
      </c>
      <c r="D355" s="88">
        <v>0.66666666666666663</v>
      </c>
      <c r="E355" s="89">
        <v>1.1666666666666667</v>
      </c>
      <c r="F355" s="92">
        <f t="shared" si="389"/>
        <v>0.50000000000000011</v>
      </c>
      <c r="G355" s="88">
        <v>0.66666666666666663</v>
      </c>
      <c r="H355" s="89">
        <v>1.1666666666666667</v>
      </c>
      <c r="I355" s="92">
        <f t="shared" si="378"/>
        <v>0.50000000000000011</v>
      </c>
      <c r="J355" s="88"/>
      <c r="K355" s="89"/>
      <c r="L355" s="92">
        <f t="shared" si="379"/>
        <v>0</v>
      </c>
      <c r="M355" s="88" t="s">
        <v>111</v>
      </c>
      <c r="N355" s="89"/>
      <c r="O355" s="92">
        <f t="shared" si="380"/>
        <v>0</v>
      </c>
      <c r="P355" s="88" t="s">
        <v>111</v>
      </c>
      <c r="Q355" s="89"/>
      <c r="R355" s="92">
        <f t="shared" si="381"/>
        <v>0</v>
      </c>
      <c r="S355" s="88">
        <v>0.5</v>
      </c>
      <c r="T355" s="89">
        <v>0.91666666666666663</v>
      </c>
      <c r="U355" s="92">
        <f t="shared" si="382"/>
        <v>0.41666666666666663</v>
      </c>
      <c r="V355" s="88"/>
      <c r="W355" s="89"/>
      <c r="X355" s="92">
        <f t="shared" si="383"/>
        <v>0</v>
      </c>
      <c r="Y355" s="88"/>
      <c r="Z355" s="89"/>
      <c r="AA355" s="92">
        <f t="shared" si="384"/>
        <v>0</v>
      </c>
      <c r="AB355" s="88"/>
      <c r="AC355" s="89"/>
      <c r="AD355" s="92">
        <f t="shared" si="385"/>
        <v>0</v>
      </c>
      <c r="AE355" s="88"/>
      <c r="AF355" s="89"/>
      <c r="AG355" s="92">
        <f t="shared" si="386"/>
        <v>0</v>
      </c>
      <c r="AH355" s="88">
        <v>0.5</v>
      </c>
      <c r="AI355" s="89">
        <v>0.91666666666666663</v>
      </c>
      <c r="AJ355" s="92">
        <f t="shared" si="387"/>
        <v>0.41666666666666663</v>
      </c>
      <c r="AK355" s="88">
        <v>0.66666666666666663</v>
      </c>
      <c r="AL355" s="89">
        <v>1.1666666666666667</v>
      </c>
      <c r="AM355" s="92">
        <f t="shared" si="388"/>
        <v>0.50000000000000011</v>
      </c>
      <c r="AN355" s="86">
        <v>13</v>
      </c>
      <c r="AO355" s="87" t="s">
        <v>6</v>
      </c>
    </row>
    <row r="356" spans="2:41" ht="15" customHeight="1">
      <c r="B356" s="118">
        <v>14</v>
      </c>
      <c r="C356" s="113" t="s">
        <v>7</v>
      </c>
      <c r="D356" s="119" t="s">
        <v>111</v>
      </c>
      <c r="E356" s="120"/>
      <c r="F356" s="128">
        <f t="shared" si="389"/>
        <v>0</v>
      </c>
      <c r="G356" s="119" t="s">
        <v>111</v>
      </c>
      <c r="H356" s="120"/>
      <c r="I356" s="128">
        <f t="shared" si="378"/>
        <v>0</v>
      </c>
      <c r="J356" s="119" t="s">
        <v>111</v>
      </c>
      <c r="K356" s="120"/>
      <c r="L356" s="128">
        <f t="shared" si="379"/>
        <v>0</v>
      </c>
      <c r="M356" s="119">
        <v>0.125</v>
      </c>
      <c r="N356" s="120">
        <v>0.54166666666666663</v>
      </c>
      <c r="O356" s="128">
        <f t="shared" si="380"/>
        <v>0.41666666666666663</v>
      </c>
      <c r="P356" s="119"/>
      <c r="Q356" s="120"/>
      <c r="R356" s="128">
        <f t="shared" si="381"/>
        <v>0</v>
      </c>
      <c r="S356" s="119"/>
      <c r="T356" s="120"/>
      <c r="U356" s="128">
        <f t="shared" si="382"/>
        <v>0</v>
      </c>
      <c r="V356" s="119" t="s">
        <v>111</v>
      </c>
      <c r="W356" s="120"/>
      <c r="X356" s="128">
        <f t="shared" si="383"/>
        <v>0</v>
      </c>
      <c r="Y356" s="119"/>
      <c r="Z356" s="120"/>
      <c r="AA356" s="128">
        <f t="shared" si="384"/>
        <v>0</v>
      </c>
      <c r="AB356" s="119" t="s">
        <v>111</v>
      </c>
      <c r="AC356" s="120"/>
      <c r="AD356" s="128">
        <f t="shared" si="385"/>
        <v>0</v>
      </c>
      <c r="AE356" s="119">
        <v>0.33333333333333331</v>
      </c>
      <c r="AF356" s="120">
        <v>0.625</v>
      </c>
      <c r="AG356" s="128">
        <f t="shared" si="386"/>
        <v>0.29166666666666669</v>
      </c>
      <c r="AH356" s="119"/>
      <c r="AI356" s="120"/>
      <c r="AJ356" s="128">
        <f t="shared" si="387"/>
        <v>0</v>
      </c>
      <c r="AK356" s="119" t="s">
        <v>111</v>
      </c>
      <c r="AL356" s="120"/>
      <c r="AM356" s="128">
        <f t="shared" si="388"/>
        <v>0</v>
      </c>
      <c r="AN356" s="118">
        <v>14</v>
      </c>
      <c r="AO356" s="113" t="s">
        <v>7</v>
      </c>
    </row>
    <row r="357" spans="2:41" ht="15" customHeight="1">
      <c r="B357" s="118">
        <v>15</v>
      </c>
      <c r="C357" s="113" t="s">
        <v>8</v>
      </c>
      <c r="D357" s="119" t="s">
        <v>111</v>
      </c>
      <c r="E357" s="120"/>
      <c r="F357" s="128">
        <f>(IF(D357="u",0.333333333,IF(D357="W",0,IF(D357="C",F357,IF(D357="op",F357,(E357-D357))))))</f>
        <v>0</v>
      </c>
      <c r="G357" s="119" t="s">
        <v>111</v>
      </c>
      <c r="H357" s="120"/>
      <c r="I357" s="128">
        <f>(IF(G357="u",0.333333333,IF(G357="W",0,IF(G357="C",I357,IF(G357="op",I357,(H357-G357))))))</f>
        <v>0</v>
      </c>
      <c r="J357" s="119" t="s">
        <v>111</v>
      </c>
      <c r="K357" s="120"/>
      <c r="L357" s="128">
        <f>(IF(J357="u",0.333333333,IF(J357="W",0,IF(J357="C",L357,IF(J357="op",L357,(K357-J357))))))</f>
        <v>0</v>
      </c>
      <c r="M357" s="119" t="s">
        <v>111</v>
      </c>
      <c r="N357" s="120"/>
      <c r="O357" s="128">
        <f>(IF(M357="u",0.333333333,IF(M357="W",0,IF(M357="C",O357,IF(M357="op",O357,(N357-M357))))))</f>
        <v>0</v>
      </c>
      <c r="P357" s="119" t="s">
        <v>111</v>
      </c>
      <c r="Q357" s="120"/>
      <c r="R357" s="128">
        <f>(IF(P357="u",0.333333333,IF(P357="W",0,IF(P357="C",R357,IF(P357="op",R357,(Q357-P357))))))</f>
        <v>0</v>
      </c>
      <c r="S357" s="119" t="s">
        <v>111</v>
      </c>
      <c r="T357" s="120"/>
      <c r="U357" s="128">
        <f>(IF(S357="u",0.333333333,IF(S357="W",0,IF(S357="C",U357,IF(S357="op",U357,(T357-S357))))))</f>
        <v>0</v>
      </c>
      <c r="V357" s="119" t="s">
        <v>111</v>
      </c>
      <c r="W357" s="120"/>
      <c r="X357" s="128">
        <f>(IF(V357="u",0.333333333,IF(V357="W",0,IF(V357="C",X357,IF(V357="op",X357,(W357-V357))))))</f>
        <v>0</v>
      </c>
      <c r="Y357" s="119"/>
      <c r="Z357" s="120"/>
      <c r="AA357" s="128">
        <f>(IF(Y357="u",0.333333333,IF(Y357="W",0,IF(Y357="C",AA357,IF(Y357="op",AA357,(Z357-Y357))))))</f>
        <v>0</v>
      </c>
      <c r="AB357" s="119" t="s">
        <v>111</v>
      </c>
      <c r="AC357" s="120"/>
      <c r="AD357" s="128">
        <f>(IF(AB357="u",0.333333333,IF(AB357="W",0,IF(AB357="C",AD357,IF(AB357="op",AD357,(AC357-AB357))))))</f>
        <v>0</v>
      </c>
      <c r="AE357" s="119">
        <v>0.33333333333333331</v>
      </c>
      <c r="AF357" s="120">
        <v>0.625</v>
      </c>
      <c r="AG357" s="128">
        <f>(IF(AE357="u",0.333333333,IF(AE357="W",0,IF(AE357="C",AG357,IF(AE357="op",AG357,(AF357-AE357))))))</f>
        <v>0.29166666666666669</v>
      </c>
      <c r="AH357" s="119">
        <v>0.125</v>
      </c>
      <c r="AI357" s="120">
        <v>0.58333333333333337</v>
      </c>
      <c r="AJ357" s="128">
        <f>(IF(AH357="u",0.333333333,IF(AH357="W",0,IF(AH357="C",AJ357,IF(AH357="op",AJ357,(AI357-AH357))))))</f>
        <v>0.45833333333333337</v>
      </c>
      <c r="AK357" s="119" t="s">
        <v>111</v>
      </c>
      <c r="AL357" s="120"/>
      <c r="AM357" s="128">
        <f>(IF(AK357="u",0.333333333,IF(AK357="W",0,IF(AK357="C",AM357,IF(AK357="op",AM357,(AL357-AK357))))))</f>
        <v>0</v>
      </c>
      <c r="AN357" s="118">
        <v>15</v>
      </c>
      <c r="AO357" s="113" t="s">
        <v>8</v>
      </c>
    </row>
    <row r="358" spans="2:41" ht="15" customHeight="1">
      <c r="B358" s="118">
        <v>16</v>
      </c>
      <c r="C358" s="113" t="s">
        <v>12</v>
      </c>
      <c r="D358" s="119" t="s">
        <v>111</v>
      </c>
      <c r="E358" s="120"/>
      <c r="F358" s="128">
        <f t="shared" ref="F358:F373" si="390">(IF(D358="u",0.333333333,IF(D358="W",0,IF(D358="C",F358,IF(D358="op",F358,(E358-D358))))))</f>
        <v>0</v>
      </c>
      <c r="G358" s="119" t="s">
        <v>111</v>
      </c>
      <c r="H358" s="120"/>
      <c r="I358" s="128">
        <f t="shared" ref="I358:I373" si="391">(IF(G358="u",0.333333333,IF(G358="W",0,IF(G358="C",I358,IF(G358="op",I358,(H358-G358))))))</f>
        <v>0</v>
      </c>
      <c r="J358" s="119" t="s">
        <v>111</v>
      </c>
      <c r="K358" s="120"/>
      <c r="L358" s="128">
        <f t="shared" ref="L358:L373" si="392">(IF(J358="u",0.333333333,IF(J358="W",0,IF(J358="C",L358,IF(J358="op",L358,(K358-J358))))))</f>
        <v>0</v>
      </c>
      <c r="M358" s="119" t="s">
        <v>111</v>
      </c>
      <c r="N358" s="120"/>
      <c r="O358" s="128">
        <f t="shared" ref="O358:O373" si="393">(IF(M358="u",0.333333333,IF(M358="W",0,IF(M358="C",O358,IF(M358="op",O358,(N358-M358))))))</f>
        <v>0</v>
      </c>
      <c r="P358" s="119"/>
      <c r="Q358" s="120"/>
      <c r="R358" s="128">
        <f t="shared" ref="R358:R373" si="394">(IF(P358="u",0.333333333,IF(P358="W",0,IF(P358="C",R358,IF(P358="op",R358,(Q358-P358))))))</f>
        <v>0</v>
      </c>
      <c r="S358" s="119" t="s">
        <v>111</v>
      </c>
      <c r="T358" s="120"/>
      <c r="U358" s="128">
        <f t="shared" ref="U358:U373" si="395">(IF(S358="u",0.333333333,IF(S358="W",0,IF(S358="C",U358,IF(S358="op",U358,(T358-S358))))))</f>
        <v>0</v>
      </c>
      <c r="V358" s="119" t="s">
        <v>111</v>
      </c>
      <c r="W358" s="120"/>
      <c r="X358" s="128">
        <f t="shared" ref="X358:X373" si="396">(IF(V358="u",0.333333333,IF(V358="W",0,IF(V358="C",X358,IF(V358="op",X358,(W358-V358))))))</f>
        <v>0</v>
      </c>
      <c r="Y358" s="119"/>
      <c r="Z358" s="120"/>
      <c r="AA358" s="128">
        <f t="shared" ref="AA358:AA373" si="397">(IF(Y358="u",0.333333333,IF(Y358="W",0,IF(Y358="C",AA358,IF(Y358="op",AA358,(Z358-Y358))))))</f>
        <v>0</v>
      </c>
      <c r="AB358" s="119" t="s">
        <v>111</v>
      </c>
      <c r="AC358" s="120"/>
      <c r="AD358" s="128">
        <f t="shared" ref="AD358:AD373" si="398">(IF(AB358="u",0.333333333,IF(AB358="W",0,IF(AB358="C",AD358,IF(AB358="op",AD358,(AC358-AB358))))))</f>
        <v>0</v>
      </c>
      <c r="AE358" s="119">
        <v>0.33333333333333331</v>
      </c>
      <c r="AF358" s="120">
        <v>0.625</v>
      </c>
      <c r="AG358" s="128">
        <f t="shared" ref="AG358:AG373" si="399">(IF(AE358="u",0.333333333,IF(AE358="W",0,IF(AE358="C",AG358,IF(AE358="op",AG358,(AF358-AE358))))))</f>
        <v>0.29166666666666669</v>
      </c>
      <c r="AH358" s="119" t="s">
        <v>111</v>
      </c>
      <c r="AI358" s="120"/>
      <c r="AJ358" s="128">
        <f t="shared" ref="AJ358:AJ373" si="400">(IF(AH358="u",0.333333333,IF(AH358="W",0,IF(AH358="C",AJ358,IF(AH358="op",AJ358,(AI358-AH358))))))</f>
        <v>0</v>
      </c>
      <c r="AK358" s="119" t="s">
        <v>111</v>
      </c>
      <c r="AL358" s="120"/>
      <c r="AM358" s="128">
        <f t="shared" ref="AM358:AM373" si="401">(IF(AK358="u",0.333333333,IF(AK358="W",0,IF(AK358="C",AM358,IF(AK358="op",AM358,(AL358-AK358))))))</f>
        <v>0</v>
      </c>
      <c r="AN358" s="118">
        <v>16</v>
      </c>
      <c r="AO358" s="113" t="s">
        <v>12</v>
      </c>
    </row>
    <row r="359" spans="2:41" ht="15" customHeight="1">
      <c r="B359" s="118">
        <v>17</v>
      </c>
      <c r="C359" s="113" t="s">
        <v>85</v>
      </c>
      <c r="D359" s="119" t="s">
        <v>111</v>
      </c>
      <c r="E359" s="120"/>
      <c r="F359" s="128">
        <f t="shared" si="390"/>
        <v>0</v>
      </c>
      <c r="G359" s="119" t="s">
        <v>111</v>
      </c>
      <c r="H359" s="120"/>
      <c r="I359" s="128">
        <f t="shared" si="391"/>
        <v>0</v>
      </c>
      <c r="J359" s="119">
        <v>0.125</v>
      </c>
      <c r="K359" s="120">
        <v>0.58333333333333337</v>
      </c>
      <c r="L359" s="128">
        <f t="shared" si="392"/>
        <v>0.45833333333333337</v>
      </c>
      <c r="M359" s="119" t="s">
        <v>111</v>
      </c>
      <c r="N359" s="120"/>
      <c r="O359" s="128">
        <f t="shared" si="393"/>
        <v>0</v>
      </c>
      <c r="P359" s="119" t="s">
        <v>111</v>
      </c>
      <c r="Q359" s="120"/>
      <c r="R359" s="128">
        <f t="shared" si="394"/>
        <v>0</v>
      </c>
      <c r="S359" s="119" t="s">
        <v>111</v>
      </c>
      <c r="T359" s="120"/>
      <c r="U359" s="128">
        <f t="shared" si="395"/>
        <v>0</v>
      </c>
      <c r="V359" s="119" t="s">
        <v>111</v>
      </c>
      <c r="W359" s="120"/>
      <c r="X359" s="128">
        <f t="shared" si="396"/>
        <v>0</v>
      </c>
      <c r="Y359" s="119"/>
      <c r="Z359" s="120"/>
      <c r="AA359" s="128">
        <f t="shared" si="397"/>
        <v>0</v>
      </c>
      <c r="AB359" s="119" t="s">
        <v>111</v>
      </c>
      <c r="AC359" s="120"/>
      <c r="AD359" s="128">
        <f t="shared" si="398"/>
        <v>0</v>
      </c>
      <c r="AE359" s="119">
        <v>0.33333333333333331</v>
      </c>
      <c r="AF359" s="120">
        <v>0.625</v>
      </c>
      <c r="AG359" s="128">
        <f t="shared" si="399"/>
        <v>0.29166666666666669</v>
      </c>
      <c r="AH359" s="119" t="s">
        <v>111</v>
      </c>
      <c r="AI359" s="120"/>
      <c r="AJ359" s="128">
        <f t="shared" si="400"/>
        <v>0</v>
      </c>
      <c r="AK359" s="119" t="s">
        <v>111</v>
      </c>
      <c r="AL359" s="120"/>
      <c r="AM359" s="128">
        <f t="shared" si="401"/>
        <v>0</v>
      </c>
      <c r="AN359" s="118">
        <v>17</v>
      </c>
      <c r="AO359" s="113" t="s">
        <v>85</v>
      </c>
    </row>
    <row r="360" spans="2:41" ht="15" customHeight="1">
      <c r="B360" s="118">
        <v>18</v>
      </c>
      <c r="C360" s="113" t="s">
        <v>4</v>
      </c>
      <c r="D360" s="119" t="s">
        <v>111</v>
      </c>
      <c r="E360" s="120"/>
      <c r="F360" s="128">
        <f t="shared" si="390"/>
        <v>0</v>
      </c>
      <c r="G360" s="119"/>
      <c r="H360" s="120"/>
      <c r="I360" s="128">
        <f t="shared" si="391"/>
        <v>0</v>
      </c>
      <c r="J360" s="119"/>
      <c r="K360" s="120"/>
      <c r="L360" s="128">
        <f t="shared" si="392"/>
        <v>0</v>
      </c>
      <c r="M360" s="119" t="s">
        <v>111</v>
      </c>
      <c r="N360" s="120"/>
      <c r="O360" s="128">
        <f t="shared" si="393"/>
        <v>0</v>
      </c>
      <c r="P360" s="119" t="s">
        <v>111</v>
      </c>
      <c r="Q360" s="120"/>
      <c r="R360" s="128">
        <f t="shared" si="394"/>
        <v>0</v>
      </c>
      <c r="S360" s="119" t="s">
        <v>111</v>
      </c>
      <c r="T360" s="120"/>
      <c r="U360" s="128">
        <f t="shared" si="395"/>
        <v>0</v>
      </c>
      <c r="V360" s="119">
        <v>0.125</v>
      </c>
      <c r="W360" s="120">
        <v>0.54166666666666663</v>
      </c>
      <c r="X360" s="128">
        <f t="shared" si="396"/>
        <v>0.41666666666666663</v>
      </c>
      <c r="Y360" s="119"/>
      <c r="Z360" s="120"/>
      <c r="AA360" s="128">
        <f t="shared" si="397"/>
        <v>0</v>
      </c>
      <c r="AB360" s="119"/>
      <c r="AC360" s="120"/>
      <c r="AD360" s="128">
        <f t="shared" si="398"/>
        <v>0</v>
      </c>
      <c r="AE360" s="119">
        <v>0.33333333333333331</v>
      </c>
      <c r="AF360" s="120">
        <v>0.625</v>
      </c>
      <c r="AG360" s="128">
        <f t="shared" si="399"/>
        <v>0.29166666666666669</v>
      </c>
      <c r="AH360" s="119" t="s">
        <v>111</v>
      </c>
      <c r="AI360" s="120"/>
      <c r="AJ360" s="128">
        <f t="shared" si="400"/>
        <v>0</v>
      </c>
      <c r="AK360" s="119">
        <v>0.125</v>
      </c>
      <c r="AL360" s="120">
        <v>0.54166666666666663</v>
      </c>
      <c r="AM360" s="128">
        <f t="shared" si="401"/>
        <v>0.41666666666666663</v>
      </c>
      <c r="AN360" s="118">
        <v>18</v>
      </c>
      <c r="AO360" s="113" t="s">
        <v>4</v>
      </c>
    </row>
    <row r="361" spans="2:41" ht="15" customHeight="1">
      <c r="B361" s="86">
        <v>19</v>
      </c>
      <c r="C361" s="87" t="s">
        <v>5</v>
      </c>
      <c r="D361" s="88"/>
      <c r="E361" s="89"/>
      <c r="F361" s="92">
        <f t="shared" si="390"/>
        <v>0</v>
      </c>
      <c r="G361" s="88">
        <v>0.66666666666666663</v>
      </c>
      <c r="H361" s="89">
        <v>1.1666666666666667</v>
      </c>
      <c r="I361" s="92">
        <f t="shared" si="391"/>
        <v>0.50000000000000011</v>
      </c>
      <c r="J361" s="88"/>
      <c r="K361" s="89"/>
      <c r="L361" s="92">
        <f t="shared" si="392"/>
        <v>0</v>
      </c>
      <c r="M361" s="88" t="s">
        <v>140</v>
      </c>
      <c r="N361" s="89"/>
      <c r="O361" s="92">
        <f t="shared" si="393"/>
        <v>0</v>
      </c>
      <c r="P361" s="88" t="s">
        <v>111</v>
      </c>
      <c r="Q361" s="89"/>
      <c r="R361" s="92">
        <f t="shared" si="394"/>
        <v>0</v>
      </c>
      <c r="S361" s="88"/>
      <c r="T361" s="89"/>
      <c r="U361" s="92">
        <f t="shared" si="395"/>
        <v>0</v>
      </c>
      <c r="V361" s="88">
        <v>0.16666666666666666</v>
      </c>
      <c r="W361" s="89">
        <v>0.66666666666666663</v>
      </c>
      <c r="X361" s="92">
        <f t="shared" si="396"/>
        <v>0.5</v>
      </c>
      <c r="Y361" s="88"/>
      <c r="Z361" s="89"/>
      <c r="AA361" s="92">
        <f t="shared" si="397"/>
        <v>0</v>
      </c>
      <c r="AB361" s="88" t="s">
        <v>111</v>
      </c>
      <c r="AC361" s="89"/>
      <c r="AD361" s="92">
        <f t="shared" si="398"/>
        <v>0</v>
      </c>
      <c r="AE361" s="88"/>
      <c r="AF361" s="89"/>
      <c r="AG361" s="92">
        <f t="shared" si="399"/>
        <v>0</v>
      </c>
      <c r="AH361" s="88"/>
      <c r="AI361" s="89"/>
      <c r="AJ361" s="92">
        <f t="shared" si="400"/>
        <v>0</v>
      </c>
      <c r="AK361" s="88"/>
      <c r="AL361" s="89"/>
      <c r="AM361" s="92">
        <f t="shared" si="401"/>
        <v>0</v>
      </c>
      <c r="AN361" s="86">
        <v>19</v>
      </c>
      <c r="AO361" s="87" t="s">
        <v>5</v>
      </c>
    </row>
    <row r="362" spans="2:41" ht="15" customHeight="1">
      <c r="B362" s="86">
        <v>20</v>
      </c>
      <c r="C362" s="87" t="s">
        <v>6</v>
      </c>
      <c r="D362" s="88">
        <v>0.5</v>
      </c>
      <c r="E362" s="89">
        <v>0.91666666666666663</v>
      </c>
      <c r="F362" s="92">
        <f t="shared" si="390"/>
        <v>0.41666666666666663</v>
      </c>
      <c r="G362" s="88"/>
      <c r="H362" s="89"/>
      <c r="I362" s="92">
        <f t="shared" si="391"/>
        <v>0</v>
      </c>
      <c r="J362" s="88">
        <v>0.33333333333333331</v>
      </c>
      <c r="K362" s="89">
        <v>0.83333333333333337</v>
      </c>
      <c r="L362" s="92">
        <f t="shared" si="392"/>
        <v>0.5</v>
      </c>
      <c r="M362" s="88" t="s">
        <v>111</v>
      </c>
      <c r="N362" s="89"/>
      <c r="O362" s="92">
        <f t="shared" si="393"/>
        <v>0</v>
      </c>
      <c r="P362" s="88" t="s">
        <v>111</v>
      </c>
      <c r="Q362" s="89"/>
      <c r="R362" s="92">
        <f t="shared" si="394"/>
        <v>0</v>
      </c>
      <c r="S362" s="88">
        <v>0.125</v>
      </c>
      <c r="T362" s="89">
        <v>0.54166666666666663</v>
      </c>
      <c r="U362" s="92">
        <f t="shared" si="395"/>
        <v>0.41666666666666663</v>
      </c>
      <c r="V362" s="88">
        <v>0.16666666666666666</v>
      </c>
      <c r="W362" s="89">
        <v>0.66666666666666663</v>
      </c>
      <c r="X362" s="92">
        <f t="shared" si="396"/>
        <v>0.5</v>
      </c>
      <c r="Y362" s="88"/>
      <c r="Z362" s="89"/>
      <c r="AA362" s="92">
        <f t="shared" si="397"/>
        <v>0</v>
      </c>
      <c r="AB362" s="88">
        <v>0.29166666666666669</v>
      </c>
      <c r="AC362" s="89">
        <v>0.79166666666666663</v>
      </c>
      <c r="AD362" s="92">
        <f t="shared" si="398"/>
        <v>0.49999999999999994</v>
      </c>
      <c r="AE362" s="88"/>
      <c r="AF362" s="89"/>
      <c r="AG362" s="92">
        <f t="shared" si="399"/>
        <v>0</v>
      </c>
      <c r="AH362" s="88" t="s">
        <v>111</v>
      </c>
      <c r="AI362" s="89"/>
      <c r="AJ362" s="92">
        <f t="shared" si="400"/>
        <v>0</v>
      </c>
      <c r="AK362" s="88">
        <v>0.33333333333333331</v>
      </c>
      <c r="AL362" s="89">
        <v>0.83333333333333337</v>
      </c>
      <c r="AM362" s="92">
        <f t="shared" si="401"/>
        <v>0.5</v>
      </c>
      <c r="AN362" s="86">
        <v>20</v>
      </c>
      <c r="AO362" s="87" t="s">
        <v>6</v>
      </c>
    </row>
    <row r="363" spans="2:41" ht="15" customHeight="1">
      <c r="B363" s="118">
        <v>21</v>
      </c>
      <c r="C363" s="113" t="s">
        <v>7</v>
      </c>
      <c r="D363" s="119" t="s">
        <v>111</v>
      </c>
      <c r="E363" s="120"/>
      <c r="F363" s="128">
        <f t="shared" si="390"/>
        <v>0</v>
      </c>
      <c r="G363" s="119" t="s">
        <v>111</v>
      </c>
      <c r="H363" s="120"/>
      <c r="I363" s="128">
        <f t="shared" si="391"/>
        <v>0</v>
      </c>
      <c r="J363" s="119" t="s">
        <v>111</v>
      </c>
      <c r="K363" s="120"/>
      <c r="L363" s="128">
        <f t="shared" si="392"/>
        <v>0</v>
      </c>
      <c r="M363" s="119" t="s">
        <v>111</v>
      </c>
      <c r="N363" s="120"/>
      <c r="O363" s="128">
        <f t="shared" si="393"/>
        <v>0</v>
      </c>
      <c r="P363" s="119">
        <v>0.5</v>
      </c>
      <c r="Q363" s="120">
        <v>0.875</v>
      </c>
      <c r="R363" s="128">
        <f t="shared" si="394"/>
        <v>0.375</v>
      </c>
      <c r="S363" s="119" t="s">
        <v>111</v>
      </c>
      <c r="T363" s="120"/>
      <c r="U363" s="128">
        <f t="shared" si="395"/>
        <v>0</v>
      </c>
      <c r="V363" s="119" t="s">
        <v>111</v>
      </c>
      <c r="W363" s="120"/>
      <c r="X363" s="128">
        <f t="shared" si="396"/>
        <v>0</v>
      </c>
      <c r="Y363" s="119"/>
      <c r="Z363" s="120"/>
      <c r="AA363" s="128">
        <f t="shared" si="397"/>
        <v>0</v>
      </c>
      <c r="AB363" s="119" t="s">
        <v>111</v>
      </c>
      <c r="AC363" s="120"/>
      <c r="AD363" s="128">
        <f t="shared" si="398"/>
        <v>0</v>
      </c>
      <c r="AE363" s="119">
        <v>0.33333333333333331</v>
      </c>
      <c r="AF363" s="120">
        <v>0.625</v>
      </c>
      <c r="AG363" s="128">
        <f t="shared" si="399"/>
        <v>0.29166666666666669</v>
      </c>
      <c r="AH363" s="119" t="s">
        <v>111</v>
      </c>
      <c r="AI363" s="120"/>
      <c r="AJ363" s="128">
        <f t="shared" si="400"/>
        <v>0</v>
      </c>
      <c r="AK363" s="119" t="s">
        <v>111</v>
      </c>
      <c r="AL363" s="120"/>
      <c r="AM363" s="128">
        <f t="shared" si="401"/>
        <v>0</v>
      </c>
      <c r="AN363" s="118">
        <v>21</v>
      </c>
      <c r="AO363" s="113" t="s">
        <v>7</v>
      </c>
    </row>
    <row r="364" spans="2:41" ht="15" customHeight="1">
      <c r="B364" s="118">
        <v>22</v>
      </c>
      <c r="C364" s="113" t="s">
        <v>8</v>
      </c>
      <c r="D364" s="119" t="s">
        <v>111</v>
      </c>
      <c r="E364" s="120"/>
      <c r="F364" s="128">
        <f t="shared" si="390"/>
        <v>0</v>
      </c>
      <c r="G364" s="119" t="s">
        <v>111</v>
      </c>
      <c r="H364" s="120"/>
      <c r="I364" s="128">
        <f t="shared" si="391"/>
        <v>0</v>
      </c>
      <c r="J364" s="119" t="s">
        <v>111</v>
      </c>
      <c r="K364" s="120"/>
      <c r="L364" s="128">
        <f t="shared" si="392"/>
        <v>0</v>
      </c>
      <c r="M364" s="119" t="s">
        <v>111</v>
      </c>
      <c r="N364" s="120"/>
      <c r="O364" s="128">
        <f t="shared" si="393"/>
        <v>0</v>
      </c>
      <c r="P364" s="119" t="s">
        <v>111</v>
      </c>
      <c r="Q364" s="120"/>
      <c r="R364" s="128">
        <f t="shared" si="394"/>
        <v>0</v>
      </c>
      <c r="S364" s="119" t="s">
        <v>111</v>
      </c>
      <c r="T364" s="120"/>
      <c r="U364" s="128">
        <f t="shared" si="395"/>
        <v>0</v>
      </c>
      <c r="V364" s="119" t="s">
        <v>111</v>
      </c>
      <c r="W364" s="120"/>
      <c r="X364" s="128">
        <f t="shared" si="396"/>
        <v>0</v>
      </c>
      <c r="Y364" s="119"/>
      <c r="Z364" s="120"/>
      <c r="AA364" s="128">
        <f t="shared" si="397"/>
        <v>0</v>
      </c>
      <c r="AB364" s="119" t="s">
        <v>111</v>
      </c>
      <c r="AC364" s="120"/>
      <c r="AD364" s="128">
        <f t="shared" si="398"/>
        <v>0</v>
      </c>
      <c r="AE364" s="119">
        <v>0.33333333333333331</v>
      </c>
      <c r="AF364" s="120">
        <v>0.625</v>
      </c>
      <c r="AG364" s="128">
        <f t="shared" si="399"/>
        <v>0.29166666666666669</v>
      </c>
      <c r="AH364" s="119" t="s">
        <v>111</v>
      </c>
      <c r="AI364" s="120"/>
      <c r="AJ364" s="128">
        <f t="shared" si="400"/>
        <v>0</v>
      </c>
      <c r="AK364" s="119" t="s">
        <v>111</v>
      </c>
      <c r="AL364" s="120"/>
      <c r="AM364" s="128">
        <f t="shared" si="401"/>
        <v>0</v>
      </c>
      <c r="AN364" s="118">
        <v>22</v>
      </c>
      <c r="AO364" s="113" t="s">
        <v>8</v>
      </c>
    </row>
    <row r="365" spans="2:41" ht="15" customHeight="1">
      <c r="B365" s="118">
        <v>23</v>
      </c>
      <c r="C365" s="113" t="s">
        <v>12</v>
      </c>
      <c r="D365" s="119">
        <v>0.4375</v>
      </c>
      <c r="E365" s="120">
        <v>0.9375</v>
      </c>
      <c r="F365" s="128">
        <f t="shared" si="390"/>
        <v>0.5</v>
      </c>
      <c r="G365" s="119" t="s">
        <v>111</v>
      </c>
      <c r="H365" s="120"/>
      <c r="I365" s="128">
        <f t="shared" si="391"/>
        <v>0</v>
      </c>
      <c r="J365" s="119" t="s">
        <v>111</v>
      </c>
      <c r="K365" s="120"/>
      <c r="L365" s="128">
        <f t="shared" si="392"/>
        <v>0</v>
      </c>
      <c r="M365" s="119" t="s">
        <v>111</v>
      </c>
      <c r="N365" s="120"/>
      <c r="O365" s="128">
        <f t="shared" si="393"/>
        <v>0</v>
      </c>
      <c r="P365" s="119">
        <v>0.125</v>
      </c>
      <c r="Q365" s="120">
        <v>0.52083333333333337</v>
      </c>
      <c r="R365" s="128">
        <f t="shared" si="394"/>
        <v>0.39583333333333337</v>
      </c>
      <c r="S365" s="119" t="s">
        <v>111</v>
      </c>
      <c r="T365" s="120"/>
      <c r="U365" s="128">
        <f t="shared" si="395"/>
        <v>0</v>
      </c>
      <c r="V365" s="119" t="s">
        <v>111</v>
      </c>
      <c r="W365" s="120"/>
      <c r="X365" s="128">
        <f t="shared" si="396"/>
        <v>0</v>
      </c>
      <c r="Y365" s="119"/>
      <c r="Z365" s="120"/>
      <c r="AA365" s="128">
        <f t="shared" si="397"/>
        <v>0</v>
      </c>
      <c r="AB365" s="119" t="s">
        <v>111</v>
      </c>
      <c r="AC365" s="120"/>
      <c r="AD365" s="128">
        <f t="shared" si="398"/>
        <v>0</v>
      </c>
      <c r="AE365" s="119">
        <v>0.33333333333333331</v>
      </c>
      <c r="AF365" s="120">
        <v>0.625</v>
      </c>
      <c r="AG365" s="128">
        <f t="shared" si="399"/>
        <v>0.29166666666666669</v>
      </c>
      <c r="AH365" s="119" t="s">
        <v>111</v>
      </c>
      <c r="AI365" s="120"/>
      <c r="AJ365" s="128">
        <f t="shared" si="400"/>
        <v>0</v>
      </c>
      <c r="AK365" s="119" t="s">
        <v>111</v>
      </c>
      <c r="AL365" s="120"/>
      <c r="AM365" s="128">
        <f t="shared" si="401"/>
        <v>0</v>
      </c>
      <c r="AN365" s="118">
        <v>23</v>
      </c>
      <c r="AO365" s="113" t="s">
        <v>12</v>
      </c>
    </row>
    <row r="366" spans="2:41" ht="15" customHeight="1">
      <c r="B366" s="118">
        <v>24</v>
      </c>
      <c r="C366" s="113" t="s">
        <v>85</v>
      </c>
      <c r="D366" s="119" t="s">
        <v>111</v>
      </c>
      <c r="E366" s="120"/>
      <c r="F366" s="128">
        <f t="shared" si="390"/>
        <v>0</v>
      </c>
      <c r="G366" s="119" t="s">
        <v>111</v>
      </c>
      <c r="H366" s="120"/>
      <c r="I366" s="128">
        <f t="shared" si="391"/>
        <v>0</v>
      </c>
      <c r="J366" s="119">
        <v>0.125</v>
      </c>
      <c r="K366" s="120">
        <v>0.625</v>
      </c>
      <c r="L366" s="128">
        <f t="shared" si="392"/>
        <v>0.5</v>
      </c>
      <c r="M366" s="119" t="s">
        <v>111</v>
      </c>
      <c r="N366" s="120"/>
      <c r="O366" s="128">
        <f t="shared" si="393"/>
        <v>0</v>
      </c>
      <c r="P366" s="119">
        <v>0.4375</v>
      </c>
      <c r="Q366" s="120">
        <v>0.89583333333333337</v>
      </c>
      <c r="R366" s="128">
        <f t="shared" si="394"/>
        <v>0.45833333333333337</v>
      </c>
      <c r="S366" s="119" t="s">
        <v>111</v>
      </c>
      <c r="T366" s="120"/>
      <c r="U366" s="128">
        <f t="shared" si="395"/>
        <v>0</v>
      </c>
      <c r="V366" s="119" t="s">
        <v>111</v>
      </c>
      <c r="W366" s="120"/>
      <c r="X366" s="128">
        <f t="shared" si="396"/>
        <v>0</v>
      </c>
      <c r="Y366" s="119"/>
      <c r="Z366" s="120"/>
      <c r="AA366" s="128">
        <f t="shared" si="397"/>
        <v>0</v>
      </c>
      <c r="AB366" s="119" t="s">
        <v>111</v>
      </c>
      <c r="AC366" s="120"/>
      <c r="AD366" s="128">
        <f t="shared" si="398"/>
        <v>0</v>
      </c>
      <c r="AE366" s="119">
        <v>0.33333333333333331</v>
      </c>
      <c r="AF366" s="120">
        <v>0.625</v>
      </c>
      <c r="AG366" s="128">
        <f t="shared" si="399"/>
        <v>0.29166666666666669</v>
      </c>
      <c r="AH366" s="119" t="s">
        <v>111</v>
      </c>
      <c r="AI366" s="120"/>
      <c r="AJ366" s="128">
        <f t="shared" si="400"/>
        <v>0</v>
      </c>
      <c r="AK366" s="119" t="s">
        <v>111</v>
      </c>
      <c r="AL366" s="120"/>
      <c r="AM366" s="128">
        <f t="shared" si="401"/>
        <v>0</v>
      </c>
      <c r="AN366" s="118">
        <v>24</v>
      </c>
      <c r="AO366" s="113" t="s">
        <v>85</v>
      </c>
    </row>
    <row r="367" spans="2:41" ht="15" customHeight="1">
      <c r="B367" s="118">
        <v>25</v>
      </c>
      <c r="C367" s="113" t="s">
        <v>4</v>
      </c>
      <c r="D367" s="119">
        <v>0.16666666666666666</v>
      </c>
      <c r="E367" s="120">
        <v>0.66666666666666663</v>
      </c>
      <c r="F367" s="128">
        <f t="shared" si="390"/>
        <v>0.5</v>
      </c>
      <c r="G367" s="119"/>
      <c r="H367" s="120"/>
      <c r="I367" s="128">
        <f t="shared" si="391"/>
        <v>0</v>
      </c>
      <c r="J367" s="119"/>
      <c r="K367" s="120"/>
      <c r="L367" s="128">
        <f t="shared" si="392"/>
        <v>0</v>
      </c>
      <c r="M367" s="119" t="s">
        <v>111</v>
      </c>
      <c r="N367" s="120"/>
      <c r="O367" s="128">
        <f t="shared" si="393"/>
        <v>0</v>
      </c>
      <c r="P367" s="119" t="s">
        <v>111</v>
      </c>
      <c r="Q367" s="120"/>
      <c r="R367" s="128">
        <f t="shared" si="394"/>
        <v>0</v>
      </c>
      <c r="S367" s="119" t="s">
        <v>111</v>
      </c>
      <c r="T367" s="120"/>
      <c r="U367" s="128">
        <f t="shared" si="395"/>
        <v>0</v>
      </c>
      <c r="V367" s="119">
        <v>0.16666666666666666</v>
      </c>
      <c r="W367" s="120">
        <v>0.66666666666666663</v>
      </c>
      <c r="X367" s="128">
        <f t="shared" si="396"/>
        <v>0.5</v>
      </c>
      <c r="Y367" s="119"/>
      <c r="Z367" s="120"/>
      <c r="AA367" s="128">
        <f t="shared" si="397"/>
        <v>0</v>
      </c>
      <c r="AB367" s="119"/>
      <c r="AC367" s="120"/>
      <c r="AD367" s="128">
        <f t="shared" si="398"/>
        <v>0</v>
      </c>
      <c r="AE367" s="119">
        <v>0.33333333333333331</v>
      </c>
      <c r="AF367" s="120">
        <v>0.625</v>
      </c>
      <c r="AG367" s="128">
        <f t="shared" si="399"/>
        <v>0.29166666666666669</v>
      </c>
      <c r="AH367" s="119">
        <v>0.16666666666666666</v>
      </c>
      <c r="AI367" s="120">
        <v>0.66666666666666663</v>
      </c>
      <c r="AJ367" s="128">
        <f t="shared" si="400"/>
        <v>0.5</v>
      </c>
      <c r="AK367" s="119" t="s">
        <v>111</v>
      </c>
      <c r="AL367" s="120"/>
      <c r="AM367" s="128">
        <f t="shared" si="401"/>
        <v>0</v>
      </c>
      <c r="AN367" s="118">
        <v>25</v>
      </c>
      <c r="AO367" s="113" t="s">
        <v>4</v>
      </c>
    </row>
    <row r="368" spans="2:41" ht="15" customHeight="1">
      <c r="B368" s="86">
        <v>26</v>
      </c>
      <c r="C368" s="87" t="s">
        <v>5</v>
      </c>
      <c r="D368" s="88"/>
      <c r="E368" s="89"/>
      <c r="F368" s="92">
        <f t="shared" si="390"/>
        <v>0</v>
      </c>
      <c r="G368" s="88"/>
      <c r="H368" s="89"/>
      <c r="I368" s="92">
        <f t="shared" si="391"/>
        <v>0</v>
      </c>
      <c r="J368" s="88"/>
      <c r="K368" s="89"/>
      <c r="L368" s="92">
        <f t="shared" si="392"/>
        <v>0</v>
      </c>
      <c r="M368" s="88">
        <v>0.33333333333333331</v>
      </c>
      <c r="N368" s="89">
        <v>0.83333333333333337</v>
      </c>
      <c r="O368" s="92">
        <f t="shared" si="393"/>
        <v>0.5</v>
      </c>
      <c r="P368" s="88" t="s">
        <v>111</v>
      </c>
      <c r="Q368" s="89"/>
      <c r="R368" s="92">
        <f t="shared" si="394"/>
        <v>0</v>
      </c>
      <c r="S368" s="88" t="s">
        <v>111</v>
      </c>
      <c r="T368" s="89"/>
      <c r="U368" s="92">
        <f t="shared" si="395"/>
        <v>0</v>
      </c>
      <c r="V368" s="88"/>
      <c r="W368" s="89"/>
      <c r="X368" s="92">
        <f t="shared" si="396"/>
        <v>0</v>
      </c>
      <c r="Y368" s="88"/>
      <c r="Z368" s="89"/>
      <c r="AA368" s="92">
        <f t="shared" si="397"/>
        <v>0</v>
      </c>
      <c r="AB368" s="88" t="s">
        <v>111</v>
      </c>
      <c r="AC368" s="89"/>
      <c r="AD368" s="92">
        <f t="shared" si="398"/>
        <v>0</v>
      </c>
      <c r="AE368" s="88"/>
      <c r="AF368" s="89"/>
      <c r="AG368" s="92">
        <f t="shared" si="399"/>
        <v>0</v>
      </c>
      <c r="AH368" s="88"/>
      <c r="AI368" s="89"/>
      <c r="AJ368" s="92">
        <f t="shared" si="400"/>
        <v>0</v>
      </c>
      <c r="AK368" s="88"/>
      <c r="AL368" s="89"/>
      <c r="AM368" s="92">
        <f t="shared" si="401"/>
        <v>0</v>
      </c>
      <c r="AN368" s="86">
        <v>26</v>
      </c>
      <c r="AO368" s="87" t="s">
        <v>5</v>
      </c>
    </row>
    <row r="369" spans="2:41" ht="15" customHeight="1">
      <c r="B369" s="86">
        <v>27</v>
      </c>
      <c r="C369" s="87" t="s">
        <v>6</v>
      </c>
      <c r="D369" s="88"/>
      <c r="E369" s="89"/>
      <c r="F369" s="92">
        <f t="shared" si="390"/>
        <v>0</v>
      </c>
      <c r="G369" s="88"/>
      <c r="H369" s="89"/>
      <c r="I369" s="92">
        <f t="shared" si="391"/>
        <v>0</v>
      </c>
      <c r="J369" s="88">
        <v>0.125</v>
      </c>
      <c r="K369" s="89">
        <v>0.52083333333333337</v>
      </c>
      <c r="L369" s="92">
        <f t="shared" si="392"/>
        <v>0.39583333333333337</v>
      </c>
      <c r="M369" s="88" t="s">
        <v>111</v>
      </c>
      <c r="N369" s="89"/>
      <c r="O369" s="92">
        <f t="shared" si="393"/>
        <v>0</v>
      </c>
      <c r="P369" s="88" t="s">
        <v>111</v>
      </c>
      <c r="Q369" s="89"/>
      <c r="R369" s="92">
        <f t="shared" si="394"/>
        <v>0</v>
      </c>
      <c r="S369" s="88">
        <v>0.41666666666666669</v>
      </c>
      <c r="T369" s="89">
        <v>0.875</v>
      </c>
      <c r="U369" s="92">
        <f t="shared" si="395"/>
        <v>0.45833333333333331</v>
      </c>
      <c r="V369" s="88"/>
      <c r="W369" s="89"/>
      <c r="X369" s="92">
        <f t="shared" si="396"/>
        <v>0</v>
      </c>
      <c r="Y369" s="88"/>
      <c r="Z369" s="89"/>
      <c r="AA369" s="92">
        <f t="shared" si="397"/>
        <v>0</v>
      </c>
      <c r="AB369" s="88"/>
      <c r="AC369" s="89"/>
      <c r="AD369" s="92">
        <f t="shared" si="398"/>
        <v>0</v>
      </c>
      <c r="AE369" s="88"/>
      <c r="AF369" s="89"/>
      <c r="AG369" s="92">
        <f t="shared" si="399"/>
        <v>0</v>
      </c>
      <c r="AH369" s="88"/>
      <c r="AI369" s="89"/>
      <c r="AJ369" s="92">
        <f t="shared" si="400"/>
        <v>0</v>
      </c>
      <c r="AK369" s="88"/>
      <c r="AL369" s="89"/>
      <c r="AM369" s="92">
        <f t="shared" si="401"/>
        <v>0</v>
      </c>
      <c r="AN369" s="86">
        <v>27</v>
      </c>
      <c r="AO369" s="87" t="s">
        <v>6</v>
      </c>
    </row>
    <row r="370" spans="2:41" ht="15" customHeight="1">
      <c r="B370" s="118">
        <v>28</v>
      </c>
      <c r="C370" s="113" t="s">
        <v>7</v>
      </c>
      <c r="D370" s="119" t="s">
        <v>111</v>
      </c>
      <c r="E370" s="120"/>
      <c r="F370" s="128">
        <f t="shared" si="390"/>
        <v>0</v>
      </c>
      <c r="G370" s="119">
        <v>0.5</v>
      </c>
      <c r="H370" s="120">
        <v>0.875</v>
      </c>
      <c r="I370" s="128">
        <f t="shared" si="391"/>
        <v>0.375</v>
      </c>
      <c r="J370" s="119" t="s">
        <v>111</v>
      </c>
      <c r="K370" s="120"/>
      <c r="L370" s="128">
        <f t="shared" si="392"/>
        <v>0</v>
      </c>
      <c r="M370" s="119" t="s">
        <v>111</v>
      </c>
      <c r="N370" s="120"/>
      <c r="O370" s="128">
        <f t="shared" si="393"/>
        <v>0</v>
      </c>
      <c r="P370" s="119">
        <v>0.5</v>
      </c>
      <c r="Q370" s="120">
        <v>0.875</v>
      </c>
      <c r="R370" s="128">
        <f t="shared" si="394"/>
        <v>0.375</v>
      </c>
      <c r="S370" s="119" t="s">
        <v>111</v>
      </c>
      <c r="T370" s="120"/>
      <c r="U370" s="128">
        <f t="shared" si="395"/>
        <v>0</v>
      </c>
      <c r="V370" s="119" t="s">
        <v>111</v>
      </c>
      <c r="W370" s="120"/>
      <c r="X370" s="128">
        <f t="shared" si="396"/>
        <v>0</v>
      </c>
      <c r="Y370" s="119"/>
      <c r="Z370" s="120"/>
      <c r="AA370" s="128">
        <f t="shared" si="397"/>
        <v>0</v>
      </c>
      <c r="AB370" s="119" t="s">
        <v>111</v>
      </c>
      <c r="AC370" s="120"/>
      <c r="AD370" s="128">
        <f t="shared" si="398"/>
        <v>0</v>
      </c>
      <c r="AE370" s="119"/>
      <c r="AF370" s="120"/>
      <c r="AG370" s="128">
        <f t="shared" si="399"/>
        <v>0</v>
      </c>
      <c r="AH370" s="119">
        <v>0.125</v>
      </c>
      <c r="AI370" s="120">
        <v>0.52083333333333337</v>
      </c>
      <c r="AJ370" s="128">
        <f t="shared" si="400"/>
        <v>0.39583333333333337</v>
      </c>
      <c r="AK370" s="119" t="s">
        <v>111</v>
      </c>
      <c r="AL370" s="120"/>
      <c r="AM370" s="128">
        <f t="shared" si="401"/>
        <v>0</v>
      </c>
      <c r="AN370" s="118">
        <v>28</v>
      </c>
      <c r="AO370" s="113" t="s">
        <v>7</v>
      </c>
    </row>
    <row r="371" spans="2:41" ht="15" customHeight="1">
      <c r="B371" s="118">
        <v>29</v>
      </c>
      <c r="C371" s="113" t="s">
        <v>8</v>
      </c>
      <c r="D371" s="119" t="s">
        <v>111</v>
      </c>
      <c r="E371" s="120"/>
      <c r="F371" s="128">
        <f t="shared" si="390"/>
        <v>0</v>
      </c>
      <c r="G371" s="119" t="s">
        <v>111</v>
      </c>
      <c r="H371" s="120"/>
      <c r="I371" s="128">
        <f t="shared" si="391"/>
        <v>0</v>
      </c>
      <c r="J371" s="119" t="s">
        <v>111</v>
      </c>
      <c r="K371" s="120"/>
      <c r="L371" s="128">
        <f t="shared" si="392"/>
        <v>0</v>
      </c>
      <c r="M371" s="119" t="s">
        <v>111</v>
      </c>
      <c r="N371" s="120"/>
      <c r="O371" s="128">
        <f t="shared" si="393"/>
        <v>0</v>
      </c>
      <c r="P371" s="119" t="s">
        <v>111</v>
      </c>
      <c r="Q371" s="120"/>
      <c r="R371" s="128">
        <f t="shared" si="394"/>
        <v>0</v>
      </c>
      <c r="S371" s="119" t="s">
        <v>111</v>
      </c>
      <c r="T371" s="120"/>
      <c r="U371" s="128">
        <f t="shared" si="395"/>
        <v>0</v>
      </c>
      <c r="V371" s="119" t="s">
        <v>111</v>
      </c>
      <c r="W371" s="120"/>
      <c r="X371" s="128">
        <f t="shared" si="396"/>
        <v>0</v>
      </c>
      <c r="Y371" s="119"/>
      <c r="Z371" s="120"/>
      <c r="AA371" s="128">
        <f t="shared" si="397"/>
        <v>0</v>
      </c>
      <c r="AB371" s="119" t="s">
        <v>111</v>
      </c>
      <c r="AC371" s="120"/>
      <c r="AD371" s="128">
        <f t="shared" si="398"/>
        <v>0</v>
      </c>
      <c r="AE371" s="119"/>
      <c r="AF371" s="120"/>
      <c r="AG371" s="128">
        <f t="shared" si="399"/>
        <v>0</v>
      </c>
      <c r="AH371" s="119">
        <v>0.16666666666666666</v>
      </c>
      <c r="AI371" s="120">
        <v>0.66666666666666663</v>
      </c>
      <c r="AJ371" s="128">
        <f t="shared" si="400"/>
        <v>0.5</v>
      </c>
      <c r="AK371" s="119" t="s">
        <v>111</v>
      </c>
      <c r="AL371" s="120"/>
      <c r="AM371" s="128">
        <f t="shared" si="401"/>
        <v>0</v>
      </c>
      <c r="AN371" s="118">
        <v>29</v>
      </c>
      <c r="AO371" s="113" t="s">
        <v>8</v>
      </c>
    </row>
    <row r="372" spans="2:41" ht="15" customHeight="1">
      <c r="B372" s="118">
        <v>30</v>
      </c>
      <c r="C372" s="113" t="s">
        <v>12</v>
      </c>
      <c r="D372" s="119" t="s">
        <v>111</v>
      </c>
      <c r="E372" s="120"/>
      <c r="F372" s="128">
        <f t="shared" si="390"/>
        <v>0</v>
      </c>
      <c r="G372" s="119" t="s">
        <v>111</v>
      </c>
      <c r="H372" s="120"/>
      <c r="I372" s="128">
        <f t="shared" si="391"/>
        <v>0</v>
      </c>
      <c r="J372" s="119" t="s">
        <v>111</v>
      </c>
      <c r="K372" s="120"/>
      <c r="L372" s="128">
        <f t="shared" si="392"/>
        <v>0</v>
      </c>
      <c r="M372" s="119" t="s">
        <v>111</v>
      </c>
      <c r="N372" s="120"/>
      <c r="O372" s="128">
        <f t="shared" si="393"/>
        <v>0</v>
      </c>
      <c r="P372" s="119">
        <v>0.125</v>
      </c>
      <c r="Q372" s="120">
        <v>0.52083333333333337</v>
      </c>
      <c r="R372" s="128">
        <f t="shared" si="394"/>
        <v>0.39583333333333337</v>
      </c>
      <c r="S372" s="119" t="s">
        <v>111</v>
      </c>
      <c r="T372" s="120"/>
      <c r="U372" s="128">
        <f t="shared" si="395"/>
        <v>0</v>
      </c>
      <c r="V372" s="119" t="s">
        <v>111</v>
      </c>
      <c r="W372" s="120"/>
      <c r="X372" s="128">
        <f t="shared" si="396"/>
        <v>0</v>
      </c>
      <c r="Y372" s="119"/>
      <c r="Z372" s="120"/>
      <c r="AA372" s="128">
        <f t="shared" si="397"/>
        <v>0</v>
      </c>
      <c r="AB372" s="119" t="s">
        <v>111</v>
      </c>
      <c r="AC372" s="120"/>
      <c r="AD372" s="128">
        <f t="shared" si="398"/>
        <v>0</v>
      </c>
      <c r="AE372" s="119"/>
      <c r="AF372" s="120"/>
      <c r="AG372" s="128">
        <f t="shared" si="399"/>
        <v>0</v>
      </c>
      <c r="AH372" s="119" t="s">
        <v>111</v>
      </c>
      <c r="AI372" s="120"/>
      <c r="AJ372" s="128">
        <f t="shared" si="400"/>
        <v>0</v>
      </c>
      <c r="AK372" s="119" t="s">
        <v>111</v>
      </c>
      <c r="AL372" s="120"/>
      <c r="AM372" s="128">
        <f t="shared" si="401"/>
        <v>0</v>
      </c>
      <c r="AN372" s="118">
        <v>30</v>
      </c>
      <c r="AO372" s="113" t="s">
        <v>12</v>
      </c>
    </row>
    <row r="373" spans="2:41" ht="15" customHeight="1">
      <c r="B373" s="118">
        <v>31</v>
      </c>
      <c r="C373" s="113" t="s">
        <v>85</v>
      </c>
      <c r="D373" s="119" t="s">
        <v>111</v>
      </c>
      <c r="E373" s="120"/>
      <c r="F373" s="128">
        <f t="shared" si="390"/>
        <v>0</v>
      </c>
      <c r="G373" s="119" t="s">
        <v>111</v>
      </c>
      <c r="H373" s="120"/>
      <c r="I373" s="128">
        <f t="shared" si="391"/>
        <v>0</v>
      </c>
      <c r="J373" s="119">
        <v>0.125</v>
      </c>
      <c r="K373" s="120">
        <v>0.52083333333333337</v>
      </c>
      <c r="L373" s="128">
        <f t="shared" si="392"/>
        <v>0.39583333333333337</v>
      </c>
      <c r="M373" s="119" t="s">
        <v>111</v>
      </c>
      <c r="N373" s="120"/>
      <c r="O373" s="128">
        <f t="shared" si="393"/>
        <v>0</v>
      </c>
      <c r="P373" s="119">
        <v>0.125</v>
      </c>
      <c r="Q373" s="120">
        <v>0.52083333333333337</v>
      </c>
      <c r="R373" s="128">
        <f t="shared" si="394"/>
        <v>0.39583333333333337</v>
      </c>
      <c r="S373" s="119" t="s">
        <v>111</v>
      </c>
      <c r="T373" s="120"/>
      <c r="U373" s="128">
        <f t="shared" si="395"/>
        <v>0</v>
      </c>
      <c r="V373" s="119" t="s">
        <v>111</v>
      </c>
      <c r="W373" s="120"/>
      <c r="X373" s="128">
        <f t="shared" si="396"/>
        <v>0</v>
      </c>
      <c r="Y373" s="119"/>
      <c r="Z373" s="120"/>
      <c r="AA373" s="128">
        <f t="shared" si="397"/>
        <v>0</v>
      </c>
      <c r="AB373" s="119" t="s">
        <v>111</v>
      </c>
      <c r="AC373" s="120"/>
      <c r="AD373" s="128">
        <f t="shared" si="398"/>
        <v>0</v>
      </c>
      <c r="AE373" s="119"/>
      <c r="AF373" s="120"/>
      <c r="AG373" s="128">
        <f t="shared" si="399"/>
        <v>0</v>
      </c>
      <c r="AH373" s="119" t="s">
        <v>111</v>
      </c>
      <c r="AI373" s="120"/>
      <c r="AJ373" s="128">
        <f t="shared" si="400"/>
        <v>0</v>
      </c>
      <c r="AK373" s="119" t="s">
        <v>111</v>
      </c>
      <c r="AL373" s="120"/>
      <c r="AM373" s="128">
        <f t="shared" si="401"/>
        <v>0</v>
      </c>
      <c r="AN373" s="118">
        <v>31</v>
      </c>
      <c r="AO373" s="113" t="s">
        <v>85</v>
      </c>
    </row>
    <row r="374" spans="2:41" ht="15" customHeight="1" thickBot="1">
      <c r="B374" s="85"/>
      <c r="C374" s="39"/>
      <c r="D374" s="77"/>
      <c r="E374" s="78"/>
      <c r="F374" s="50"/>
      <c r="G374" s="77"/>
      <c r="H374" s="78"/>
      <c r="I374" s="50"/>
      <c r="J374" s="77"/>
      <c r="K374" s="78"/>
      <c r="L374" s="50"/>
      <c r="M374" s="77"/>
      <c r="N374" s="78"/>
      <c r="O374" s="50"/>
      <c r="P374" s="77"/>
      <c r="Q374" s="78"/>
      <c r="R374" s="50"/>
      <c r="S374" s="77"/>
      <c r="T374" s="78"/>
      <c r="U374" s="50"/>
      <c r="V374" s="77"/>
      <c r="W374" s="78"/>
      <c r="X374" s="50"/>
      <c r="Y374" s="77"/>
      <c r="Z374" s="78"/>
      <c r="AA374" s="50"/>
      <c r="AB374" s="77"/>
      <c r="AC374" s="78"/>
      <c r="AD374" s="50"/>
      <c r="AE374" s="77"/>
      <c r="AF374" s="78"/>
      <c r="AG374" s="50"/>
      <c r="AH374" s="77"/>
      <c r="AI374" s="78"/>
      <c r="AJ374" s="50"/>
      <c r="AK374" s="77"/>
      <c r="AL374" s="78"/>
      <c r="AM374" s="50"/>
      <c r="AN374" s="85"/>
      <c r="AO374" s="39"/>
    </row>
    <row r="375" spans="2:41" ht="15" customHeight="1" thickBot="1">
      <c r="B375" s="172"/>
      <c r="C375" s="174"/>
      <c r="D375" s="218" t="s">
        <v>82</v>
      </c>
      <c r="E375" s="219"/>
      <c r="F375" s="220"/>
      <c r="G375" s="218" t="s">
        <v>83</v>
      </c>
      <c r="H375" s="219"/>
      <c r="I375" s="220"/>
      <c r="J375" s="218" t="s">
        <v>84</v>
      </c>
      <c r="K375" s="219"/>
      <c r="L375" s="220"/>
      <c r="M375" s="218" t="s">
        <v>96</v>
      </c>
      <c r="N375" s="219"/>
      <c r="O375" s="220"/>
      <c r="P375" s="218" t="s">
        <v>97</v>
      </c>
      <c r="Q375" s="219"/>
      <c r="R375" s="220"/>
      <c r="S375" s="234" t="s">
        <v>99</v>
      </c>
      <c r="T375" s="235"/>
      <c r="U375" s="236"/>
      <c r="V375" s="218" t="s">
        <v>101</v>
      </c>
      <c r="W375" s="219"/>
      <c r="X375" s="220"/>
      <c r="Y375" s="218"/>
      <c r="Z375" s="219"/>
      <c r="AA375" s="220"/>
      <c r="AB375" s="175" t="s">
        <v>102</v>
      </c>
      <c r="AC375" s="176"/>
      <c r="AD375" s="177"/>
      <c r="AE375" s="330" t="s">
        <v>148</v>
      </c>
      <c r="AF375" s="331"/>
      <c r="AG375" s="332"/>
      <c r="AH375" s="218" t="s">
        <v>90</v>
      </c>
      <c r="AI375" s="219"/>
      <c r="AJ375" s="220"/>
      <c r="AK375" s="218" t="s">
        <v>109</v>
      </c>
      <c r="AL375" s="219"/>
      <c r="AM375" s="220"/>
      <c r="AN375" s="168" t="s">
        <v>0</v>
      </c>
      <c r="AO375" s="168" t="s">
        <v>1</v>
      </c>
    </row>
    <row r="376" spans="2:41" ht="15" customHeight="1" thickBot="1">
      <c r="B376" s="172"/>
      <c r="C376" s="172"/>
      <c r="D376" s="221"/>
      <c r="E376" s="222"/>
      <c r="F376" s="223"/>
      <c r="G376" s="221"/>
      <c r="H376" s="222"/>
      <c r="I376" s="223"/>
      <c r="J376" s="221"/>
      <c r="K376" s="222"/>
      <c r="L376" s="223"/>
      <c r="M376" s="221"/>
      <c r="N376" s="222"/>
      <c r="O376" s="223"/>
      <c r="P376" s="221"/>
      <c r="Q376" s="222"/>
      <c r="R376" s="223"/>
      <c r="S376" s="237"/>
      <c r="T376" s="238"/>
      <c r="U376" s="239"/>
      <c r="V376" s="221"/>
      <c r="W376" s="222"/>
      <c r="X376" s="223"/>
      <c r="Y376" s="221"/>
      <c r="Z376" s="222"/>
      <c r="AA376" s="223"/>
      <c r="AB376" s="178"/>
      <c r="AC376" s="179"/>
      <c r="AD376" s="180"/>
      <c r="AE376" s="333"/>
      <c r="AF376" s="334"/>
      <c r="AG376" s="335"/>
      <c r="AH376" s="221"/>
      <c r="AI376" s="222"/>
      <c r="AJ376" s="223"/>
      <c r="AK376" s="221"/>
      <c r="AL376" s="222"/>
      <c r="AM376" s="223"/>
      <c r="AN376" s="168"/>
      <c r="AO376" s="168"/>
    </row>
    <row r="377" spans="2:41" ht="15" customHeight="1" thickBot="1">
      <c r="B377" s="172"/>
      <c r="C377" s="172"/>
      <c r="D377" s="169"/>
      <c r="E377" s="170"/>
      <c r="F377" s="171"/>
      <c r="G377" s="169"/>
      <c r="H377" s="170"/>
      <c r="I377" s="171"/>
      <c r="J377" s="169"/>
      <c r="K377" s="170"/>
      <c r="L377" s="171"/>
      <c r="M377" s="169"/>
      <c r="N377" s="170"/>
      <c r="O377" s="171"/>
      <c r="P377" s="169"/>
      <c r="Q377" s="170"/>
      <c r="R377" s="171"/>
      <c r="S377" s="169"/>
      <c r="T377" s="170"/>
      <c r="U377" s="171"/>
      <c r="V377" s="169"/>
      <c r="W377" s="170"/>
      <c r="X377" s="171"/>
      <c r="Y377" s="169"/>
      <c r="Z377" s="170"/>
      <c r="AA377" s="171"/>
      <c r="AB377" s="169"/>
      <c r="AC377" s="170"/>
      <c r="AD377" s="171"/>
      <c r="AE377" s="169"/>
      <c r="AF377" s="170"/>
      <c r="AG377" s="171"/>
      <c r="AH377" s="169"/>
      <c r="AI377" s="170"/>
      <c r="AJ377" s="171"/>
      <c r="AK377" s="169"/>
      <c r="AL377" s="170"/>
      <c r="AM377" s="171"/>
      <c r="AN377" s="168"/>
      <c r="AO377" s="168"/>
    </row>
    <row r="378" spans="2:41" ht="15" customHeight="1" thickBot="1">
      <c r="B378" s="173"/>
      <c r="C378" s="173"/>
      <c r="D378" s="9"/>
      <c r="E378" s="6"/>
      <c r="F378" s="7"/>
      <c r="G378" s="9"/>
      <c r="H378" s="6"/>
      <c r="I378" s="7"/>
      <c r="J378" s="9"/>
      <c r="K378" s="6"/>
      <c r="L378" s="7"/>
      <c r="M378" s="9"/>
      <c r="N378" s="6"/>
      <c r="O378" s="7"/>
      <c r="P378" s="9"/>
      <c r="Q378" s="6"/>
      <c r="R378" s="7"/>
      <c r="S378" s="5"/>
      <c r="T378" s="6"/>
      <c r="U378" s="7"/>
      <c r="V378" s="9"/>
      <c r="W378" s="6"/>
      <c r="X378" s="7"/>
      <c r="Y378" s="9"/>
      <c r="Z378" s="6"/>
      <c r="AA378" s="7"/>
      <c r="AB378" s="5"/>
      <c r="AC378" s="6"/>
      <c r="AD378" s="7"/>
      <c r="AE378" s="9"/>
      <c r="AF378" s="6"/>
      <c r="AG378" s="7"/>
      <c r="AH378" s="9"/>
      <c r="AI378" s="6"/>
      <c r="AJ378" s="7"/>
      <c r="AK378" s="9"/>
      <c r="AL378" s="6"/>
      <c r="AM378" s="7"/>
      <c r="AN378" s="168"/>
      <c r="AO378" s="168"/>
    </row>
    <row r="379" spans="2:41" ht="15" customHeight="1" thickBot="1"/>
    <row r="380" spans="2:41" ht="15" customHeight="1" thickBot="1">
      <c r="B380" s="168" t="s">
        <v>0</v>
      </c>
      <c r="C380" s="168" t="s">
        <v>1</v>
      </c>
      <c r="D380" s="175" t="s">
        <v>116</v>
      </c>
      <c r="E380" s="176"/>
      <c r="F380" s="177"/>
      <c r="G380" s="175" t="s">
        <v>117</v>
      </c>
      <c r="H380" s="176"/>
      <c r="I380" s="177"/>
      <c r="J380" s="175" t="s">
        <v>118</v>
      </c>
      <c r="K380" s="176"/>
      <c r="L380" s="177"/>
      <c r="M380" s="175" t="s">
        <v>119</v>
      </c>
      <c r="N380" s="176"/>
      <c r="O380" s="177"/>
      <c r="P380" s="175" t="s">
        <v>120</v>
      </c>
      <c r="Q380" s="176"/>
      <c r="R380" s="177"/>
      <c r="S380" s="181" t="s">
        <v>122</v>
      </c>
      <c r="T380" s="182"/>
      <c r="U380" s="183"/>
      <c r="V380" s="187" t="s">
        <v>126</v>
      </c>
      <c r="W380" s="188"/>
      <c r="X380" s="189"/>
      <c r="Y380" s="187" t="s">
        <v>128</v>
      </c>
      <c r="Z380" s="188"/>
      <c r="AA380" s="189"/>
      <c r="AB380" s="196" t="s">
        <v>129</v>
      </c>
      <c r="AC380" s="197"/>
      <c r="AD380" s="198"/>
      <c r="AE380" s="202" t="s">
        <v>130</v>
      </c>
      <c r="AF380" s="203"/>
      <c r="AG380" s="204"/>
      <c r="AH380" s="196" t="s">
        <v>131</v>
      </c>
      <c r="AI380" s="197"/>
      <c r="AJ380" s="198"/>
      <c r="AK380" s="196" t="s">
        <v>132</v>
      </c>
      <c r="AL380" s="197"/>
      <c r="AM380" s="198"/>
      <c r="AN380" s="168" t="s">
        <v>0</v>
      </c>
      <c r="AO380" s="168" t="s">
        <v>1</v>
      </c>
    </row>
    <row r="381" spans="2:41" ht="15" customHeight="1" thickBot="1">
      <c r="B381" s="168"/>
      <c r="C381" s="168"/>
      <c r="D381" s="178"/>
      <c r="E381" s="179"/>
      <c r="F381" s="180"/>
      <c r="G381" s="178"/>
      <c r="H381" s="179"/>
      <c r="I381" s="180"/>
      <c r="J381" s="178"/>
      <c r="K381" s="179"/>
      <c r="L381" s="180"/>
      <c r="M381" s="178"/>
      <c r="N381" s="179"/>
      <c r="O381" s="180"/>
      <c r="P381" s="178"/>
      <c r="Q381" s="179"/>
      <c r="R381" s="180"/>
      <c r="S381" s="184"/>
      <c r="T381" s="185"/>
      <c r="U381" s="186"/>
      <c r="V381" s="190"/>
      <c r="W381" s="191"/>
      <c r="X381" s="192"/>
      <c r="Y381" s="190"/>
      <c r="Z381" s="191"/>
      <c r="AA381" s="192"/>
      <c r="AB381" s="199"/>
      <c r="AC381" s="200"/>
      <c r="AD381" s="201"/>
      <c r="AE381" s="205"/>
      <c r="AF381" s="206"/>
      <c r="AG381" s="207"/>
      <c r="AH381" s="199"/>
      <c r="AI381" s="200"/>
      <c r="AJ381" s="201"/>
      <c r="AK381" s="199"/>
      <c r="AL381" s="200"/>
      <c r="AM381" s="201"/>
      <c r="AN381" s="168"/>
      <c r="AO381" s="168"/>
    </row>
    <row r="382" spans="2:41" ht="15" customHeight="1" thickBot="1">
      <c r="B382" s="168"/>
      <c r="C382" s="208"/>
      <c r="D382" s="169">
        <v>109</v>
      </c>
      <c r="E382" s="170"/>
      <c r="F382" s="171"/>
      <c r="G382" s="169">
        <v>110</v>
      </c>
      <c r="H382" s="170"/>
      <c r="I382" s="171"/>
      <c r="J382" s="169">
        <v>111</v>
      </c>
      <c r="K382" s="170"/>
      <c r="L382" s="171"/>
      <c r="M382" s="169">
        <v>112</v>
      </c>
      <c r="N382" s="170"/>
      <c r="O382" s="171"/>
      <c r="P382" s="169">
        <v>113</v>
      </c>
      <c r="Q382" s="170"/>
      <c r="R382" s="171"/>
      <c r="S382" s="169">
        <v>114</v>
      </c>
      <c r="T382" s="170"/>
      <c r="U382" s="171"/>
      <c r="V382" s="169">
        <v>115</v>
      </c>
      <c r="W382" s="170"/>
      <c r="X382" s="171"/>
      <c r="Y382" s="169">
        <v>116</v>
      </c>
      <c r="Z382" s="170"/>
      <c r="AA382" s="171"/>
      <c r="AB382" s="169">
        <v>117</v>
      </c>
      <c r="AC382" s="170"/>
      <c r="AD382" s="171"/>
      <c r="AE382" s="169">
        <v>118</v>
      </c>
      <c r="AF382" s="170"/>
      <c r="AG382" s="171"/>
      <c r="AH382" s="169">
        <v>119</v>
      </c>
      <c r="AI382" s="170"/>
      <c r="AJ382" s="171"/>
      <c r="AK382" s="169">
        <v>120</v>
      </c>
      <c r="AL382" s="170"/>
      <c r="AM382" s="171"/>
      <c r="AN382" s="168"/>
      <c r="AO382" s="168"/>
    </row>
    <row r="383" spans="2:41" ht="15" customHeight="1" thickBot="1">
      <c r="B383" s="168"/>
      <c r="C383" s="208"/>
      <c r="D383" s="2"/>
      <c r="E383" s="3"/>
      <c r="F383" s="4"/>
      <c r="G383" s="2"/>
      <c r="H383" s="3"/>
      <c r="I383" s="4"/>
      <c r="J383" s="2"/>
      <c r="K383" s="3"/>
      <c r="L383" s="4"/>
      <c r="M383" s="2"/>
      <c r="N383" s="3"/>
      <c r="O383" s="4"/>
      <c r="P383" s="2"/>
      <c r="Q383" s="3"/>
      <c r="R383" s="4"/>
      <c r="S383" s="2"/>
      <c r="T383" s="3"/>
      <c r="U383" s="4"/>
      <c r="V383" s="5"/>
      <c r="W383" s="6"/>
      <c r="X383" s="7"/>
      <c r="Y383" s="2"/>
      <c r="Z383" s="3"/>
      <c r="AA383" s="4"/>
      <c r="AB383" s="2"/>
      <c r="AC383" s="3"/>
      <c r="AD383" s="4"/>
      <c r="AE383" s="5"/>
      <c r="AF383" s="6"/>
      <c r="AG383" s="7"/>
      <c r="AH383" s="2"/>
      <c r="AI383" s="3"/>
      <c r="AJ383" s="4"/>
      <c r="AK383" s="5"/>
      <c r="AL383" s="6"/>
      <c r="AM383" s="7"/>
      <c r="AN383" s="168"/>
      <c r="AO383" s="168"/>
    </row>
    <row r="384" spans="2:41" ht="15" customHeight="1" thickBot="1">
      <c r="B384" s="45"/>
      <c r="C384" s="34"/>
      <c r="D384" s="162">
        <f>SUM(F385:F415)</f>
        <v>0.5</v>
      </c>
      <c r="E384" s="163"/>
      <c r="F384" s="164"/>
      <c r="G384" s="193">
        <f>SUM(I385:I415)</f>
        <v>6.0624999999999991</v>
      </c>
      <c r="H384" s="194"/>
      <c r="I384" s="195"/>
      <c r="J384" s="162">
        <f>SUM(L385:L415)</f>
        <v>2.2708333333333335</v>
      </c>
      <c r="K384" s="163"/>
      <c r="L384" s="164"/>
      <c r="M384" s="165">
        <f t="shared" ref="M384" si="402">SUM(O385:O415)</f>
        <v>0.8125</v>
      </c>
      <c r="N384" s="165"/>
      <c r="O384" s="166"/>
      <c r="P384" s="167">
        <f t="shared" ref="P384" si="403">SUM(R385:R415)</f>
        <v>5.2708333333333321</v>
      </c>
      <c r="Q384" s="165"/>
      <c r="R384" s="166"/>
      <c r="S384" s="167">
        <f t="shared" ref="S384" si="404">SUM(U385:U415)</f>
        <v>3.6458333333333339</v>
      </c>
      <c r="T384" s="165"/>
      <c r="U384" s="166"/>
      <c r="V384" s="167">
        <f t="shared" ref="V384" si="405">SUM(X385:X415)</f>
        <v>7.895833333333333</v>
      </c>
      <c r="W384" s="165"/>
      <c r="X384" s="166"/>
      <c r="Y384" s="167">
        <f t="shared" ref="Y384" si="406">SUM(AA385:AA415)</f>
        <v>1.3958333333333335</v>
      </c>
      <c r="Z384" s="165"/>
      <c r="AA384" s="166"/>
      <c r="AB384" s="167">
        <f t="shared" ref="AB384" si="407">SUM(AD385:AD415)</f>
        <v>4.0833333333333348</v>
      </c>
      <c r="AC384" s="165"/>
      <c r="AD384" s="166"/>
      <c r="AE384" s="167">
        <f t="shared" ref="AE384" si="408">SUM(AG385:AG415)</f>
        <v>4.083333333333333</v>
      </c>
      <c r="AF384" s="165"/>
      <c r="AG384" s="166"/>
      <c r="AH384" s="167">
        <f t="shared" ref="AH384" si="409">SUM(AJ385:AJ415)</f>
        <v>4.083333333333333</v>
      </c>
      <c r="AI384" s="165"/>
      <c r="AJ384" s="166"/>
      <c r="AK384" s="167">
        <f t="shared" ref="AK384" si="410">SUM(AM385:AM415)</f>
        <v>4.0833333333333339</v>
      </c>
      <c r="AL384" s="165"/>
      <c r="AM384" s="166"/>
      <c r="AN384" s="8"/>
      <c r="AO384" s="1"/>
    </row>
    <row r="385" spans="2:41" ht="15" customHeight="1">
      <c r="B385" s="112">
        <v>1</v>
      </c>
      <c r="C385" s="113" t="s">
        <v>8</v>
      </c>
      <c r="D385" s="114"/>
      <c r="E385" s="115"/>
      <c r="F385" s="127">
        <f>(IF(D385="u",0.333333333,IF(D385="W",0,IF(D385="C",F385,IF(D385="op",F385,(E385-D385))))))</f>
        <v>0</v>
      </c>
      <c r="G385" s="114">
        <v>0.14583333333333334</v>
      </c>
      <c r="H385" s="115">
        <v>0.64583333333333337</v>
      </c>
      <c r="I385" s="127">
        <f>(IF(G385="u",0.333333333,IF(G385="W",0,IF(G385="C",I385,IF(G385="op",I385,(H385-G385))))))</f>
        <v>0.5</v>
      </c>
      <c r="J385" s="114" t="s">
        <v>111</v>
      </c>
      <c r="K385" s="115"/>
      <c r="L385" s="127">
        <f>(IF(J385="u",0.333333333,IF(J385="W",0,IF(J385="C",L385,IF(J385="op",L385,(K385-J385))))))</f>
        <v>0</v>
      </c>
      <c r="M385" s="114" t="s">
        <v>111</v>
      </c>
      <c r="N385" s="115"/>
      <c r="O385" s="127">
        <f>(IF(M385="u",0.333333333,IF(M385="W",0,IF(M385="C",O385,IF(M385="op",O385,(N385-M385))))))</f>
        <v>0</v>
      </c>
      <c r="P385" s="114">
        <v>0.66666666666666663</v>
      </c>
      <c r="Q385" s="115">
        <v>1.1666666666666667</v>
      </c>
      <c r="R385" s="127">
        <f>(IF(P385="u",0.333333333,IF(P385="W",0,IF(P385="C",R385,IF(P385="op",R385,(Q385-P385))))))</f>
        <v>0.50000000000000011</v>
      </c>
      <c r="S385" s="114" t="s">
        <v>111</v>
      </c>
      <c r="T385" s="115"/>
      <c r="U385" s="127">
        <f>(IF(S385="u",0.333333333,IF(S385="W",0,IF(S385="C",U385,IF(S385="op",U385,(T385-S385))))))</f>
        <v>0</v>
      </c>
      <c r="V385" s="114">
        <v>0.125</v>
      </c>
      <c r="W385" s="115">
        <v>0.58333333333333337</v>
      </c>
      <c r="X385" s="127">
        <f>(IF(V385="u",0.333333333,IF(V385="W",0,IF(V385="C",X385,IF(V385="op",X385,(W385-V385))))))</f>
        <v>0.45833333333333337</v>
      </c>
      <c r="Y385" s="114" t="s">
        <v>111</v>
      </c>
      <c r="Z385" s="115"/>
      <c r="AA385" s="127">
        <f>(IF(Y385="u",0.333333333,IF(Y385="W",0,IF(Y385="C",AA385,IF(Y385="op",AA385,(Z385-Y385))))))</f>
        <v>0</v>
      </c>
      <c r="AB385" s="143">
        <v>0.54166666666666663</v>
      </c>
      <c r="AC385" s="144">
        <v>0.83333333333333337</v>
      </c>
      <c r="AD385" s="127">
        <f>(IF(AB385="u",0.333333333,IF(AB385="W",0,IF(AB385="C",AD385,IF(AB385="op",AD385,(AC385-AB385))))))</f>
        <v>0.29166666666666674</v>
      </c>
      <c r="AE385" s="143">
        <v>0.29166666666666669</v>
      </c>
      <c r="AF385" s="144">
        <v>0.58333333333333337</v>
      </c>
      <c r="AG385" s="127">
        <f>(IF(AE385="u",0.333333333,IF(AE385="W",0,IF(AE385="C",AG385,IF(AE385="op",AG385,(AF385-AE385))))))</f>
        <v>0.29166666666666669</v>
      </c>
      <c r="AH385" s="143">
        <v>0.54166666666666663</v>
      </c>
      <c r="AI385" s="144">
        <v>0.83333333333333337</v>
      </c>
      <c r="AJ385" s="127">
        <f>(IF(AH385="u",0.333333333,IF(AH385="W",0,IF(AH385="C",AJ385,IF(AH385="op",AJ385,(AI385-AH385))))))</f>
        <v>0.29166666666666674</v>
      </c>
      <c r="AK385" s="143">
        <v>0.29166666666666669</v>
      </c>
      <c r="AL385" s="144">
        <v>0.58333333333333337</v>
      </c>
      <c r="AM385" s="127">
        <f>(IF(AK385="u",0.333333333,IF(AK385="W",0,IF(AK385="C",AM385,IF(AK385="op",AM385,(AL385-AK385))))))</f>
        <v>0.29166666666666669</v>
      </c>
      <c r="AN385" s="112">
        <v>1</v>
      </c>
      <c r="AO385" s="113" t="s">
        <v>8</v>
      </c>
    </row>
    <row r="386" spans="2:41" ht="15" customHeight="1">
      <c r="B386" s="118">
        <v>2</v>
      </c>
      <c r="C386" s="113" t="s">
        <v>12</v>
      </c>
      <c r="D386" s="119"/>
      <c r="E386" s="120"/>
      <c r="F386" s="128">
        <f>(IF(D386="u",0.333333333,IF(D386="W",0,IF(D386="C",F386,IF(D386="op",F386,(E386-D386))))))</f>
        <v>0</v>
      </c>
      <c r="G386" s="119" t="s">
        <v>111</v>
      </c>
      <c r="H386" s="120"/>
      <c r="I386" s="128">
        <f>(IF(G386="u",0.333333333,IF(G386="W",0,IF(G386="C",I386,IF(G386="op",I386,(H386-G386))))))</f>
        <v>0</v>
      </c>
      <c r="J386" s="119"/>
      <c r="K386" s="120"/>
      <c r="L386" s="128">
        <f>(IF(J386="u",0.333333333,IF(J386="W",0,IF(J386="C",L386,IF(J386="op",L386,(K386-J386))))))</f>
        <v>0</v>
      </c>
      <c r="M386" s="119" t="s">
        <v>111</v>
      </c>
      <c r="N386" s="120"/>
      <c r="O386" s="128">
        <f>(IF(M386="u",0.333333333,IF(M386="W",0,IF(M386="C",O386,IF(M386="op",O386,(N386-M386))))))</f>
        <v>0</v>
      </c>
      <c r="P386" s="119" t="s">
        <v>111</v>
      </c>
      <c r="Q386" s="120"/>
      <c r="R386" s="128">
        <f>(IF(P386="u",0.333333333,IF(P386="W",0,IF(P386="C",R386,IF(P386="op",R386,(Q386-P386))))))</f>
        <v>0</v>
      </c>
      <c r="S386" s="119" t="s">
        <v>111</v>
      </c>
      <c r="T386" s="120"/>
      <c r="U386" s="128">
        <f>(IF(S386="u",0.333333333,IF(S386="W",0,IF(S386="C",U386,IF(S386="op",U386,(T386-S386))))))</f>
        <v>0</v>
      </c>
      <c r="V386" s="119">
        <v>0.125</v>
      </c>
      <c r="W386" s="120">
        <v>0.58333333333333337</v>
      </c>
      <c r="X386" s="128">
        <f>(IF(V386="u",0.333333333,IF(V386="W",0,IF(V386="C",X386,IF(V386="op",X386,(W386-V386))))))</f>
        <v>0.45833333333333337</v>
      </c>
      <c r="Y386" s="119" t="s">
        <v>111</v>
      </c>
      <c r="Z386" s="120"/>
      <c r="AA386" s="128">
        <f>(IF(Y386="u",0.333333333,IF(Y386="W",0,IF(Y386="C",AA386,IF(Y386="op",AA386,(Z386-Y386))))))</f>
        <v>0</v>
      </c>
      <c r="AB386" s="143">
        <v>0.54166666666666663</v>
      </c>
      <c r="AC386" s="144">
        <v>0.83333333333333337</v>
      </c>
      <c r="AD386" s="128">
        <f>(IF(AB386="u",0.333333333,IF(AB386="W",0,IF(AB386="C",AD386,IF(AB386="op",AD386,(AC386-AB386))))))</f>
        <v>0.29166666666666674</v>
      </c>
      <c r="AE386" s="143">
        <v>0.54166666666666663</v>
      </c>
      <c r="AF386" s="144">
        <v>0.83333333333333337</v>
      </c>
      <c r="AG386" s="128">
        <f>(IF(AE386="u",0.333333333,IF(AE386="W",0,IF(AE386="C",AG386,IF(AE386="op",AG386,(AF386-AE386))))))</f>
        <v>0.29166666666666674</v>
      </c>
      <c r="AH386" s="143">
        <v>0.29166666666666669</v>
      </c>
      <c r="AI386" s="144">
        <v>0.58333333333333337</v>
      </c>
      <c r="AJ386" s="128">
        <f>(IF(AH386="u",0.333333333,IF(AH386="W",0,IF(AH386="C",AJ386,IF(AH386="op",AJ386,(AI386-AH386))))))</f>
        <v>0.29166666666666669</v>
      </c>
      <c r="AK386" s="143">
        <v>0.29166666666666669</v>
      </c>
      <c r="AL386" s="144">
        <v>0.58333333333333337</v>
      </c>
      <c r="AM386" s="128">
        <f>(IF(AK386="u",0.333333333,IF(AK386="W",0,IF(AK386="C",AM386,IF(AK386="op",AM386,(AL386-AK386))))))</f>
        <v>0.29166666666666669</v>
      </c>
      <c r="AN386" s="118">
        <v>2</v>
      </c>
      <c r="AO386" s="113" t="s">
        <v>12</v>
      </c>
    </row>
    <row r="387" spans="2:41" ht="15" customHeight="1">
      <c r="B387" s="118">
        <v>3</v>
      </c>
      <c r="C387" s="113" t="s">
        <v>85</v>
      </c>
      <c r="D387" s="119"/>
      <c r="E387" s="120"/>
      <c r="F387" s="128">
        <f t="shared" ref="F387:F388" si="411">(IF(D387="u",0.333333333,IF(D387="W",0,IF(D387="C",F387,IF(D387="op",F387,(E387-D387))))))</f>
        <v>0</v>
      </c>
      <c r="G387" s="119" t="s">
        <v>111</v>
      </c>
      <c r="H387" s="120"/>
      <c r="I387" s="128">
        <f t="shared" ref="I387:I388" si="412">(IF(G387="u",0.333333333,IF(G387="W",0,IF(G387="C",I387,IF(G387="op",I387,(H387-G387))))))</f>
        <v>0</v>
      </c>
      <c r="J387" s="119">
        <v>0.66666666666666663</v>
      </c>
      <c r="K387" s="120">
        <v>1.1666666666666667</v>
      </c>
      <c r="L387" s="128">
        <f t="shared" ref="L387:L388" si="413">(IF(J387="u",0.333333333,IF(J387="W",0,IF(J387="C",L387,IF(J387="op",L387,(K387-J387))))))</f>
        <v>0.50000000000000011</v>
      </c>
      <c r="M387" s="119" t="s">
        <v>111</v>
      </c>
      <c r="N387" s="120"/>
      <c r="O387" s="128">
        <f t="shared" ref="O387:O388" si="414">(IF(M387="u",0.333333333,IF(M387="W",0,IF(M387="C",O387,IF(M387="op",O387,(N387-M387))))))</f>
        <v>0</v>
      </c>
      <c r="P387" s="119">
        <v>0.14583333333333334</v>
      </c>
      <c r="Q387" s="120">
        <v>0.64583333333333337</v>
      </c>
      <c r="R387" s="128">
        <f t="shared" ref="R387:R388" si="415">(IF(P387="u",0.333333333,IF(P387="W",0,IF(P387="C",R387,IF(P387="op",R387,(Q387-P387))))))</f>
        <v>0.5</v>
      </c>
      <c r="S387" s="119" t="s">
        <v>111</v>
      </c>
      <c r="T387" s="120"/>
      <c r="U387" s="128">
        <f t="shared" ref="U387:U388" si="416">(IF(S387="u",0.333333333,IF(S387="W",0,IF(S387="C",U387,IF(S387="op",U387,(T387-S387))))))</f>
        <v>0</v>
      </c>
      <c r="V387" s="119">
        <v>0.125</v>
      </c>
      <c r="W387" s="120">
        <v>0.58333333333333337</v>
      </c>
      <c r="X387" s="128">
        <f t="shared" ref="X387:X388" si="417">(IF(V387="u",0.333333333,IF(V387="W",0,IF(V387="C",X387,IF(V387="op",X387,(W387-V387))))))</f>
        <v>0.45833333333333337</v>
      </c>
      <c r="Y387" s="119" t="s">
        <v>111</v>
      </c>
      <c r="Z387" s="120"/>
      <c r="AA387" s="128">
        <f t="shared" ref="AA387:AA388" si="418">(IF(Y387="u",0.333333333,IF(Y387="W",0,IF(Y387="C",AA387,IF(Y387="op",AA387,(Z387-Y387))))))</f>
        <v>0</v>
      </c>
      <c r="AB387" s="143">
        <v>0.54166666666666663</v>
      </c>
      <c r="AC387" s="144">
        <v>0.83333333333333337</v>
      </c>
      <c r="AD387" s="128">
        <f t="shared" ref="AD387:AD388" si="419">(IF(AB387="u",0.333333333,IF(AB387="W",0,IF(AB387="C",AD387,IF(AB387="op",AD387,(AC387-AB387))))))</f>
        <v>0.29166666666666674</v>
      </c>
      <c r="AE387" s="143">
        <v>0.29166666666666669</v>
      </c>
      <c r="AF387" s="144">
        <v>0.58333333333333337</v>
      </c>
      <c r="AG387" s="128">
        <f t="shared" ref="AG387:AG388" si="420">(IF(AE387="u",0.333333333,IF(AE387="W",0,IF(AE387="C",AG387,IF(AE387="op",AG387,(AF387-AE387))))))</f>
        <v>0.29166666666666669</v>
      </c>
      <c r="AH387" s="143">
        <v>0.54166666666666663</v>
      </c>
      <c r="AI387" s="144">
        <v>0.83333333333333337</v>
      </c>
      <c r="AJ387" s="128">
        <f t="shared" ref="AJ387:AJ388" si="421">(IF(AH387="u",0.333333333,IF(AH387="W",0,IF(AH387="C",AJ387,IF(AH387="op",AJ387,(AI387-AH387))))))</f>
        <v>0.29166666666666674</v>
      </c>
      <c r="AK387" s="143">
        <v>0.29166666666666669</v>
      </c>
      <c r="AL387" s="144">
        <v>0.58333333333333337</v>
      </c>
      <c r="AM387" s="128">
        <f t="shared" ref="AM387:AM388" si="422">(IF(AK387="u",0.333333333,IF(AK387="W",0,IF(AK387="C",AM387,IF(AK387="op",AM387,(AL387-AK387))))))</f>
        <v>0.29166666666666669</v>
      </c>
      <c r="AN387" s="118">
        <v>3</v>
      </c>
      <c r="AO387" s="113" t="s">
        <v>85</v>
      </c>
    </row>
    <row r="388" spans="2:41" ht="15" customHeight="1">
      <c r="B388" s="118">
        <v>4</v>
      </c>
      <c r="C388" s="113" t="s">
        <v>4</v>
      </c>
      <c r="D388" s="119"/>
      <c r="E388" s="120"/>
      <c r="F388" s="128">
        <f t="shared" si="411"/>
        <v>0</v>
      </c>
      <c r="G388" s="119" t="s">
        <v>111</v>
      </c>
      <c r="H388" s="120"/>
      <c r="I388" s="128">
        <f t="shared" si="412"/>
        <v>0</v>
      </c>
      <c r="J388" s="119" t="s">
        <v>111</v>
      </c>
      <c r="K388" s="120"/>
      <c r="L388" s="128">
        <f t="shared" si="413"/>
        <v>0</v>
      </c>
      <c r="M388" s="119"/>
      <c r="N388" s="120"/>
      <c r="O388" s="128">
        <f t="shared" si="414"/>
        <v>0</v>
      </c>
      <c r="P388" s="119">
        <v>0.125</v>
      </c>
      <c r="Q388" s="120">
        <v>0.54166666666666663</v>
      </c>
      <c r="R388" s="128">
        <f t="shared" si="415"/>
        <v>0.41666666666666663</v>
      </c>
      <c r="S388" s="119">
        <v>0.125</v>
      </c>
      <c r="T388" s="120">
        <v>0.54166666666666663</v>
      </c>
      <c r="U388" s="128">
        <f t="shared" si="416"/>
        <v>0.41666666666666663</v>
      </c>
      <c r="V388" s="119" t="s">
        <v>111</v>
      </c>
      <c r="W388" s="120"/>
      <c r="X388" s="128">
        <f t="shared" si="417"/>
        <v>0</v>
      </c>
      <c r="Y388" s="119" t="s">
        <v>111</v>
      </c>
      <c r="Z388" s="120"/>
      <c r="AA388" s="128">
        <f t="shared" si="418"/>
        <v>0</v>
      </c>
      <c r="AB388" s="143">
        <v>0.54166666666666663</v>
      </c>
      <c r="AC388" s="144">
        <v>0.83333333333333337</v>
      </c>
      <c r="AD388" s="128">
        <f t="shared" si="419"/>
        <v>0.29166666666666674</v>
      </c>
      <c r="AE388" s="143">
        <v>0.54166666666666663</v>
      </c>
      <c r="AF388" s="144">
        <v>0.83333333333333337</v>
      </c>
      <c r="AG388" s="128">
        <f t="shared" si="420"/>
        <v>0.29166666666666674</v>
      </c>
      <c r="AH388" s="143">
        <v>0.29166666666666669</v>
      </c>
      <c r="AI388" s="144">
        <v>0.58333333333333337</v>
      </c>
      <c r="AJ388" s="128">
        <f t="shared" si="421"/>
        <v>0.29166666666666669</v>
      </c>
      <c r="AK388" s="143">
        <v>0.29166666666666669</v>
      </c>
      <c r="AL388" s="144">
        <v>0.58333333333333337</v>
      </c>
      <c r="AM388" s="128">
        <f t="shared" si="422"/>
        <v>0.29166666666666669</v>
      </c>
      <c r="AN388" s="118">
        <v>4</v>
      </c>
      <c r="AO388" s="113" t="s">
        <v>4</v>
      </c>
    </row>
    <row r="389" spans="2:41" ht="15" customHeight="1">
      <c r="B389" s="86">
        <v>5</v>
      </c>
      <c r="C389" s="87" t="s">
        <v>5</v>
      </c>
      <c r="D389" s="88"/>
      <c r="E389" s="89"/>
      <c r="F389" s="92">
        <f>(IF(D389="u",0.333333333,IF(D389="W",0,IF(D389="C",F389,IF(D389="op",F389,(E389-D389))))))</f>
        <v>0</v>
      </c>
      <c r="G389" s="88"/>
      <c r="H389" s="89"/>
      <c r="I389" s="92">
        <f>(IF(G389="u",0.333333333,IF(G389="W",0,IF(G389="C",I389,IF(G389="op",I389,(H389-G389))))))</f>
        <v>0</v>
      </c>
      <c r="J389" s="88"/>
      <c r="K389" s="89"/>
      <c r="L389" s="92">
        <f>(IF(J389="u",0.333333333,IF(J389="W",0,IF(J389="C",L389,IF(J389="op",L389,(K389-J389))))))</f>
        <v>0</v>
      </c>
      <c r="M389" s="88"/>
      <c r="N389" s="89"/>
      <c r="O389" s="92">
        <f>(IF(M389="u",0.333333333,IF(M389="W",0,IF(M389="C",O389,IF(M389="op",O389,(N389-M389))))))</f>
        <v>0</v>
      </c>
      <c r="P389" s="88" t="s">
        <v>111</v>
      </c>
      <c r="Q389" s="89"/>
      <c r="R389" s="92">
        <f>(IF(P389="u",0.333333333,IF(P389="W",0,IF(P389="C",R389,IF(P389="op",R389,(Q389-P389))))))</f>
        <v>0</v>
      </c>
      <c r="S389" s="88"/>
      <c r="T389" s="89"/>
      <c r="U389" s="92">
        <f>(IF(S389="u",0.333333333,IF(S389="W",0,IF(S389="C",U389,IF(S389="op",U389,(T389-S389))))))</f>
        <v>0</v>
      </c>
      <c r="V389" s="88"/>
      <c r="W389" s="89"/>
      <c r="X389" s="92">
        <f>(IF(V389="u",0.333333333,IF(V389="W",0,IF(V389="C",X389,IF(V389="op",X389,(W389-V389))))))</f>
        <v>0</v>
      </c>
      <c r="Y389" s="88">
        <v>0.33333333333333331</v>
      </c>
      <c r="Z389" s="89">
        <v>0.83333333333333337</v>
      </c>
      <c r="AA389" s="92">
        <f>(IF(Y389="u",0.333333333,IF(Y389="W",0,IF(Y389="C",AA389,IF(Y389="op",AA389,(Z389-Y389))))))</f>
        <v>0.5</v>
      </c>
      <c r="AB389" s="88"/>
      <c r="AC389" s="89"/>
      <c r="AD389" s="92">
        <f>(IF(AB389="u",0.333333333,IF(AB389="W",0,IF(AB389="C",AD389,IF(AB389="op",AD389,(AC389-AB389))))))</f>
        <v>0</v>
      </c>
      <c r="AE389" s="88"/>
      <c r="AF389" s="89"/>
      <c r="AG389" s="92">
        <f>(IF(AE389="u",0.333333333,IF(AE389="W",0,IF(AE389="C",AG389,IF(AE389="op",AG389,(AF389-AE389))))))</f>
        <v>0</v>
      </c>
      <c r="AH389" s="88"/>
      <c r="AI389" s="89"/>
      <c r="AJ389" s="92">
        <f>(IF(AH389="u",0.333333333,IF(AH389="W",0,IF(AH389="C",AJ389,IF(AH389="op",AJ389,(AI389-AH389))))))</f>
        <v>0</v>
      </c>
      <c r="AK389" s="88"/>
      <c r="AL389" s="89"/>
      <c r="AM389" s="92">
        <f>(IF(AK389="u",0.333333333,IF(AK389="W",0,IF(AK389="C",AM389,IF(AK389="op",AM389,(AL389-AK389))))))</f>
        <v>0</v>
      </c>
      <c r="AN389" s="86">
        <v>5</v>
      </c>
      <c r="AO389" s="87" t="s">
        <v>5</v>
      </c>
    </row>
    <row r="390" spans="2:41" ht="15" customHeight="1">
      <c r="B390" s="86">
        <v>6</v>
      </c>
      <c r="C390" s="87" t="s">
        <v>6</v>
      </c>
      <c r="D390" s="88"/>
      <c r="E390" s="89"/>
      <c r="F390" s="92">
        <f>(IF(D390="u",0.333333333,IF(D390="W",0,IF(D390="C",F390,IF(D390="op",F390,(E390-D390))))))</f>
        <v>0</v>
      </c>
      <c r="G390" s="88">
        <v>0.66666666666666663</v>
      </c>
      <c r="H390" s="89">
        <v>1.1666666666666667</v>
      </c>
      <c r="I390" s="92">
        <f t="shared" ref="I390:I398" si="423">(IF(G390="u",0.333333333,IF(G390="W",0,IF(G390="C",I390,IF(G390="op",I390,(H390-G390))))))</f>
        <v>0.50000000000000011</v>
      </c>
      <c r="J390" s="88" t="s">
        <v>111</v>
      </c>
      <c r="K390" s="89"/>
      <c r="L390" s="92">
        <f t="shared" ref="L390:L399" si="424">(IF(J390="u",0.333333333,IF(J390="W",0,IF(J390="C",L390,IF(J390="op",L390,(K390-J390))))))</f>
        <v>0</v>
      </c>
      <c r="M390" s="88"/>
      <c r="N390" s="89"/>
      <c r="O390" s="92">
        <f>(IF(M390="u",0.333333333,IF(M390="W",0,IF(M390="C",O390,IF(M390="op",O390,(N390-M390))))))</f>
        <v>0</v>
      </c>
      <c r="P390" s="88"/>
      <c r="Q390" s="89"/>
      <c r="R390" s="92">
        <f t="shared" ref="R390:R398" si="425">(IF(P390="u",0.333333333,IF(P390="W",0,IF(P390="C",R390,IF(P390="op",R390,(Q390-P390))))))</f>
        <v>0</v>
      </c>
      <c r="S390" s="88">
        <v>0.66666666666666663</v>
      </c>
      <c r="T390" s="89">
        <v>1.1666666666666667</v>
      </c>
      <c r="U390" s="92">
        <f t="shared" ref="U390:U398" si="426">(IF(S390="u",0.333333333,IF(S390="W",0,IF(S390="C",U390,IF(S390="op",U390,(T390-S390))))))</f>
        <v>0.50000000000000011</v>
      </c>
      <c r="V390" s="88">
        <v>0.16666666666666666</v>
      </c>
      <c r="W390" s="89">
        <v>0.66666666666666663</v>
      </c>
      <c r="X390" s="92">
        <f t="shared" ref="X390:X398" si="427">(IF(V390="u",0.333333333,IF(V390="W",0,IF(V390="C",X390,IF(V390="op",X390,(W390-V390))))))</f>
        <v>0.5</v>
      </c>
      <c r="Y390" s="88"/>
      <c r="Z390" s="89"/>
      <c r="AA390" s="92">
        <f t="shared" ref="AA390:AA398" si="428">(IF(Y390="u",0.333333333,IF(Y390="W",0,IF(Y390="C",AA390,IF(Y390="op",AA390,(Z390-Y390))))))</f>
        <v>0</v>
      </c>
      <c r="AB390" s="88"/>
      <c r="AC390" s="89"/>
      <c r="AD390" s="92">
        <f t="shared" ref="AD390:AD396" si="429">(IF(AB390="u",0.333333333,IF(AB390="W",0,IF(AB390="C",AD390,IF(AB390="op",AD390,(AC390-AB390))))))</f>
        <v>0</v>
      </c>
      <c r="AE390" s="88"/>
      <c r="AF390" s="89"/>
      <c r="AG390" s="92">
        <f t="shared" ref="AG390:AG398" si="430">(IF(AE390="u",0.333333333,IF(AE390="W",0,IF(AE390="C",AG390,IF(AE390="op",AG390,(AF390-AE390))))))</f>
        <v>0</v>
      </c>
      <c r="AH390" s="88"/>
      <c r="AI390" s="89"/>
      <c r="AJ390" s="92">
        <f t="shared" ref="AJ390:AJ398" si="431">(IF(AH390="u",0.333333333,IF(AH390="W",0,IF(AH390="C",AJ390,IF(AH390="op",AJ390,(AI390-AH390))))))</f>
        <v>0</v>
      </c>
      <c r="AK390" s="88"/>
      <c r="AL390" s="89"/>
      <c r="AM390" s="92">
        <f t="shared" ref="AM390:AM398" si="432">(IF(AK390="u",0.333333333,IF(AK390="W",0,IF(AK390="C",AM390,IF(AK390="op",AM390,(AL390-AK390))))))</f>
        <v>0</v>
      </c>
      <c r="AN390" s="86">
        <v>6</v>
      </c>
      <c r="AO390" s="87" t="s">
        <v>6</v>
      </c>
    </row>
    <row r="391" spans="2:41" ht="15" customHeight="1">
      <c r="B391" s="118">
        <v>7</v>
      </c>
      <c r="C391" s="113" t="s">
        <v>7</v>
      </c>
      <c r="D391" s="119"/>
      <c r="E391" s="120"/>
      <c r="F391" s="128">
        <f t="shared" ref="F391:F398" si="433">(IF(D391="u",0.333333333,IF(D391="W",0,IF(D391="C",F391,IF(D391="op",F391,(E391-D391))))))</f>
        <v>0</v>
      </c>
      <c r="G391" s="119" t="s">
        <v>111</v>
      </c>
      <c r="H391" s="120"/>
      <c r="I391" s="128">
        <f t="shared" si="423"/>
        <v>0</v>
      </c>
      <c r="J391" s="119" t="s">
        <v>111</v>
      </c>
      <c r="K391" s="120"/>
      <c r="L391" s="128">
        <f t="shared" si="424"/>
        <v>0</v>
      </c>
      <c r="M391" s="119" t="s">
        <v>111</v>
      </c>
      <c r="N391" s="120"/>
      <c r="O391" s="128">
        <f t="shared" ref="O391:O398" si="434">(IF(M391="u",0.333333333,IF(M391="W",0,IF(M391="C",O391,IF(M391="op",O391,(N391-M391))))))</f>
        <v>0</v>
      </c>
      <c r="P391" s="119" t="s">
        <v>111</v>
      </c>
      <c r="Q391" s="120"/>
      <c r="R391" s="128">
        <f t="shared" si="425"/>
        <v>0</v>
      </c>
      <c r="S391" s="119" t="s">
        <v>111</v>
      </c>
      <c r="T391" s="120"/>
      <c r="U391" s="128">
        <f t="shared" si="426"/>
        <v>0</v>
      </c>
      <c r="V391" s="119">
        <v>0.66666666666666663</v>
      </c>
      <c r="W391" s="120">
        <v>1.1666666666666667</v>
      </c>
      <c r="X391" s="128">
        <f t="shared" si="427"/>
        <v>0.50000000000000011</v>
      </c>
      <c r="Y391" s="119" t="s">
        <v>111</v>
      </c>
      <c r="Z391" s="120"/>
      <c r="AA391" s="128">
        <f t="shared" si="428"/>
        <v>0</v>
      </c>
      <c r="AB391" s="143">
        <v>0.29166666666666669</v>
      </c>
      <c r="AC391" s="144">
        <v>0.58333333333333337</v>
      </c>
      <c r="AD391" s="128">
        <f t="shared" si="429"/>
        <v>0.29166666666666669</v>
      </c>
      <c r="AE391" s="143">
        <v>0.54166666666666663</v>
      </c>
      <c r="AF391" s="144">
        <v>0.83333333333333337</v>
      </c>
      <c r="AG391" s="128">
        <f t="shared" si="430"/>
        <v>0.29166666666666674</v>
      </c>
      <c r="AH391" s="143">
        <v>0.29166666666666669</v>
      </c>
      <c r="AI391" s="144">
        <v>0.58333333333333337</v>
      </c>
      <c r="AJ391" s="128">
        <f t="shared" si="431"/>
        <v>0.29166666666666669</v>
      </c>
      <c r="AK391" s="143">
        <v>0.54166666666666663</v>
      </c>
      <c r="AL391" s="144">
        <v>0.83333333333333337</v>
      </c>
      <c r="AM391" s="128">
        <f t="shared" si="432"/>
        <v>0.29166666666666674</v>
      </c>
      <c r="AN391" s="118">
        <v>7</v>
      </c>
      <c r="AO391" s="113" t="s">
        <v>7</v>
      </c>
    </row>
    <row r="392" spans="2:41" ht="15" customHeight="1">
      <c r="B392" s="118">
        <v>8</v>
      </c>
      <c r="C392" s="113" t="s">
        <v>8</v>
      </c>
      <c r="D392" s="119">
        <v>0.14583333333333334</v>
      </c>
      <c r="E392" s="120">
        <v>0.64583333333333337</v>
      </c>
      <c r="F392" s="128">
        <f t="shared" si="433"/>
        <v>0.5</v>
      </c>
      <c r="G392" s="119"/>
      <c r="H392" s="120"/>
      <c r="I392" s="128">
        <f t="shared" si="423"/>
        <v>0</v>
      </c>
      <c r="J392" s="119" t="s">
        <v>111</v>
      </c>
      <c r="K392" s="120"/>
      <c r="L392" s="128">
        <f t="shared" si="424"/>
        <v>0</v>
      </c>
      <c r="M392" s="119" t="s">
        <v>111</v>
      </c>
      <c r="N392" s="120"/>
      <c r="O392" s="128">
        <f t="shared" si="434"/>
        <v>0</v>
      </c>
      <c r="P392" s="119">
        <v>0.16666666666666666</v>
      </c>
      <c r="Q392" s="120">
        <v>0.66666666666666663</v>
      </c>
      <c r="R392" s="128">
        <f t="shared" si="425"/>
        <v>0.5</v>
      </c>
      <c r="S392" s="119" t="s">
        <v>111</v>
      </c>
      <c r="T392" s="120"/>
      <c r="U392" s="128">
        <f t="shared" si="426"/>
        <v>0</v>
      </c>
      <c r="V392" s="119">
        <v>0.66666666666666663</v>
      </c>
      <c r="W392" s="120">
        <v>1.1666666666666667</v>
      </c>
      <c r="X392" s="128">
        <f t="shared" si="427"/>
        <v>0.50000000000000011</v>
      </c>
      <c r="Y392" s="119" t="s">
        <v>111</v>
      </c>
      <c r="Z392" s="120"/>
      <c r="AA392" s="128">
        <f t="shared" si="428"/>
        <v>0</v>
      </c>
      <c r="AB392" s="143">
        <v>0.29166666666666669</v>
      </c>
      <c r="AC392" s="144">
        <v>0.58333333333333337</v>
      </c>
      <c r="AD392" s="128">
        <f t="shared" si="429"/>
        <v>0.29166666666666669</v>
      </c>
      <c r="AE392" s="143">
        <v>0.29166666666666669</v>
      </c>
      <c r="AF392" s="144">
        <v>0.58333333333333337</v>
      </c>
      <c r="AG392" s="128">
        <f t="shared" si="430"/>
        <v>0.29166666666666669</v>
      </c>
      <c r="AH392" s="143">
        <v>0.54166666666666663</v>
      </c>
      <c r="AI392" s="144">
        <v>0.83333333333333337</v>
      </c>
      <c r="AJ392" s="128">
        <f t="shared" si="431"/>
        <v>0.29166666666666674</v>
      </c>
      <c r="AK392" s="143">
        <v>0.54166666666666663</v>
      </c>
      <c r="AL392" s="144">
        <v>0.83333333333333337</v>
      </c>
      <c r="AM392" s="128">
        <f t="shared" si="432"/>
        <v>0.29166666666666674</v>
      </c>
      <c r="AN392" s="118">
        <v>8</v>
      </c>
      <c r="AO392" s="113" t="s">
        <v>8</v>
      </c>
    </row>
    <row r="393" spans="2:41" ht="15" customHeight="1">
      <c r="B393" s="118">
        <v>9</v>
      </c>
      <c r="C393" s="113" t="s">
        <v>12</v>
      </c>
      <c r="D393" s="119"/>
      <c r="E393" s="120"/>
      <c r="F393" s="128">
        <f t="shared" si="433"/>
        <v>0</v>
      </c>
      <c r="G393" s="119" t="s">
        <v>111</v>
      </c>
      <c r="H393" s="120"/>
      <c r="I393" s="128">
        <f t="shared" si="423"/>
        <v>0</v>
      </c>
      <c r="J393" s="119" t="s">
        <v>111</v>
      </c>
      <c r="K393" s="120"/>
      <c r="L393" s="128">
        <f t="shared" si="424"/>
        <v>0</v>
      </c>
      <c r="M393" s="119" t="s">
        <v>111</v>
      </c>
      <c r="N393" s="120"/>
      <c r="O393" s="128">
        <f t="shared" si="434"/>
        <v>0</v>
      </c>
      <c r="P393" s="119" t="s">
        <v>111</v>
      </c>
      <c r="Q393" s="120"/>
      <c r="R393" s="128">
        <f t="shared" si="425"/>
        <v>0</v>
      </c>
      <c r="S393" s="119" t="s">
        <v>111</v>
      </c>
      <c r="T393" s="120"/>
      <c r="U393" s="128">
        <f t="shared" si="426"/>
        <v>0</v>
      </c>
      <c r="V393" s="119" t="s">
        <v>111</v>
      </c>
      <c r="W393" s="120"/>
      <c r="X393" s="128">
        <f t="shared" si="427"/>
        <v>0</v>
      </c>
      <c r="Y393" s="119" t="s">
        <v>111</v>
      </c>
      <c r="Z393" s="120"/>
      <c r="AA393" s="128">
        <f t="shared" si="428"/>
        <v>0</v>
      </c>
      <c r="AB393" s="143">
        <v>0.29166666666666669</v>
      </c>
      <c r="AC393" s="144">
        <v>0.58333333333333337</v>
      </c>
      <c r="AD393" s="128">
        <f t="shared" si="429"/>
        <v>0.29166666666666669</v>
      </c>
      <c r="AE393" s="143">
        <v>0.54166666666666663</v>
      </c>
      <c r="AF393" s="144">
        <v>0.83333333333333337</v>
      </c>
      <c r="AG393" s="128">
        <f t="shared" si="430"/>
        <v>0.29166666666666674</v>
      </c>
      <c r="AH393" s="143">
        <v>0.29166666666666669</v>
      </c>
      <c r="AI393" s="144">
        <v>0.58333333333333337</v>
      </c>
      <c r="AJ393" s="128">
        <f t="shared" si="431"/>
        <v>0.29166666666666669</v>
      </c>
      <c r="AK393" s="143">
        <v>0.54166666666666663</v>
      </c>
      <c r="AL393" s="144">
        <v>0.83333333333333337</v>
      </c>
      <c r="AM393" s="128">
        <f t="shared" si="432"/>
        <v>0.29166666666666674</v>
      </c>
      <c r="AN393" s="118">
        <v>9</v>
      </c>
      <c r="AO393" s="113" t="s">
        <v>12</v>
      </c>
    </row>
    <row r="394" spans="2:41" ht="15" customHeight="1">
      <c r="B394" s="118">
        <v>10</v>
      </c>
      <c r="C394" s="113" t="s">
        <v>85</v>
      </c>
      <c r="D394" s="119"/>
      <c r="E394" s="120"/>
      <c r="F394" s="128">
        <f t="shared" si="433"/>
        <v>0</v>
      </c>
      <c r="G394" s="119">
        <v>0.125</v>
      </c>
      <c r="H394" s="120">
        <v>0.58333333333333337</v>
      </c>
      <c r="I394" s="128">
        <f t="shared" si="423"/>
        <v>0.45833333333333337</v>
      </c>
      <c r="J394" s="119" t="s">
        <v>111</v>
      </c>
      <c r="K394" s="120"/>
      <c r="L394" s="128">
        <f t="shared" si="424"/>
        <v>0</v>
      </c>
      <c r="M394" s="119" t="s">
        <v>111</v>
      </c>
      <c r="N394" s="120"/>
      <c r="O394" s="128">
        <f t="shared" si="434"/>
        <v>0</v>
      </c>
      <c r="P394" s="119">
        <v>0.125</v>
      </c>
      <c r="Q394" s="120">
        <v>0.58333333333333337</v>
      </c>
      <c r="R394" s="128">
        <f t="shared" si="425"/>
        <v>0.45833333333333337</v>
      </c>
      <c r="S394" s="119" t="s">
        <v>111</v>
      </c>
      <c r="T394" s="120"/>
      <c r="U394" s="128">
        <f t="shared" si="426"/>
        <v>0</v>
      </c>
      <c r="V394" s="119" t="s">
        <v>111</v>
      </c>
      <c r="W394" s="120"/>
      <c r="X394" s="128">
        <f t="shared" si="427"/>
        <v>0</v>
      </c>
      <c r="Y394" s="119" t="s">
        <v>111</v>
      </c>
      <c r="Z394" s="120"/>
      <c r="AA394" s="128">
        <f t="shared" si="428"/>
        <v>0</v>
      </c>
      <c r="AB394" s="143">
        <v>0.29166666666666669</v>
      </c>
      <c r="AC394" s="144">
        <v>0.58333333333333337</v>
      </c>
      <c r="AD394" s="128">
        <f t="shared" si="429"/>
        <v>0.29166666666666669</v>
      </c>
      <c r="AE394" s="143">
        <v>0.29166666666666669</v>
      </c>
      <c r="AF394" s="144">
        <v>0.58333333333333337</v>
      </c>
      <c r="AG394" s="128">
        <f t="shared" si="430"/>
        <v>0.29166666666666669</v>
      </c>
      <c r="AH394" s="143">
        <v>0.54166666666666663</v>
      </c>
      <c r="AI394" s="144">
        <v>0.83333333333333337</v>
      </c>
      <c r="AJ394" s="128">
        <f t="shared" si="431"/>
        <v>0.29166666666666674</v>
      </c>
      <c r="AK394" s="143">
        <v>0.54166666666666663</v>
      </c>
      <c r="AL394" s="144">
        <v>0.83333333333333337</v>
      </c>
      <c r="AM394" s="128">
        <f t="shared" si="432"/>
        <v>0.29166666666666674</v>
      </c>
      <c r="AN394" s="118">
        <v>10</v>
      </c>
      <c r="AO394" s="113" t="s">
        <v>85</v>
      </c>
    </row>
    <row r="395" spans="2:41" ht="15" customHeight="1">
      <c r="B395" s="118">
        <v>11</v>
      </c>
      <c r="C395" s="113" t="s">
        <v>4</v>
      </c>
      <c r="D395" s="119"/>
      <c r="E395" s="120"/>
      <c r="F395" s="128">
        <f t="shared" si="433"/>
        <v>0</v>
      </c>
      <c r="G395" s="119">
        <v>0.125</v>
      </c>
      <c r="H395" s="120">
        <v>0.54166666666666663</v>
      </c>
      <c r="I395" s="128">
        <f t="shared" si="423"/>
        <v>0.41666666666666663</v>
      </c>
      <c r="J395" s="119" t="s">
        <v>111</v>
      </c>
      <c r="K395" s="120"/>
      <c r="L395" s="128">
        <f t="shared" si="424"/>
        <v>0</v>
      </c>
      <c r="M395" s="119" t="s">
        <v>111</v>
      </c>
      <c r="N395" s="120"/>
      <c r="O395" s="128">
        <f t="shared" si="434"/>
        <v>0</v>
      </c>
      <c r="P395" s="119">
        <v>0.125</v>
      </c>
      <c r="Q395" s="120">
        <v>0.54166666666666663</v>
      </c>
      <c r="R395" s="128">
        <f t="shared" si="425"/>
        <v>0.41666666666666663</v>
      </c>
      <c r="S395" s="119" t="s">
        <v>111</v>
      </c>
      <c r="T395" s="120"/>
      <c r="U395" s="128">
        <f t="shared" si="426"/>
        <v>0</v>
      </c>
      <c r="V395" s="119">
        <v>0.125</v>
      </c>
      <c r="W395" s="120">
        <v>0.54166666666666663</v>
      </c>
      <c r="X395" s="128">
        <f t="shared" si="427"/>
        <v>0.41666666666666663</v>
      </c>
      <c r="Y395" s="119" t="s">
        <v>111</v>
      </c>
      <c r="Z395" s="120"/>
      <c r="AA395" s="128">
        <f t="shared" si="428"/>
        <v>0</v>
      </c>
      <c r="AB395" s="143">
        <v>0.29166666666666669</v>
      </c>
      <c r="AC395" s="144">
        <v>0.58333333333333337</v>
      </c>
      <c r="AD395" s="128">
        <f t="shared" si="429"/>
        <v>0.29166666666666669</v>
      </c>
      <c r="AE395" s="143">
        <v>0.54166666666666663</v>
      </c>
      <c r="AF395" s="144">
        <v>0.83333333333333337</v>
      </c>
      <c r="AG395" s="128">
        <f t="shared" si="430"/>
        <v>0.29166666666666674</v>
      </c>
      <c r="AH395" s="143">
        <v>0.29166666666666669</v>
      </c>
      <c r="AI395" s="144">
        <v>0.58333333333333337</v>
      </c>
      <c r="AJ395" s="128">
        <f t="shared" si="431"/>
        <v>0.29166666666666669</v>
      </c>
      <c r="AK395" s="143">
        <v>0.54166666666666663</v>
      </c>
      <c r="AL395" s="144">
        <v>0.83333333333333337</v>
      </c>
      <c r="AM395" s="128">
        <f t="shared" si="432"/>
        <v>0.29166666666666674</v>
      </c>
      <c r="AN395" s="118">
        <v>11</v>
      </c>
      <c r="AO395" s="113" t="s">
        <v>4</v>
      </c>
    </row>
    <row r="396" spans="2:41" ht="15" customHeight="1">
      <c r="B396" s="86">
        <v>12</v>
      </c>
      <c r="C396" s="87" t="s">
        <v>5</v>
      </c>
      <c r="D396" s="88"/>
      <c r="E396" s="89"/>
      <c r="F396" s="92">
        <f t="shared" si="433"/>
        <v>0</v>
      </c>
      <c r="G396" s="88">
        <v>0.14583333333333334</v>
      </c>
      <c r="H396" s="89">
        <v>0.64583333333333337</v>
      </c>
      <c r="I396" s="92">
        <f t="shared" si="423"/>
        <v>0.5</v>
      </c>
      <c r="J396" s="88"/>
      <c r="K396" s="89"/>
      <c r="L396" s="92">
        <f t="shared" si="424"/>
        <v>0</v>
      </c>
      <c r="M396" s="88" t="s">
        <v>111</v>
      </c>
      <c r="N396" s="89"/>
      <c r="O396" s="92">
        <f t="shared" si="434"/>
        <v>0</v>
      </c>
      <c r="P396" s="88"/>
      <c r="Q396" s="89"/>
      <c r="R396" s="92">
        <f t="shared" si="425"/>
        <v>0</v>
      </c>
      <c r="S396" s="88"/>
      <c r="T396" s="89"/>
      <c r="U396" s="92">
        <f t="shared" si="426"/>
        <v>0</v>
      </c>
      <c r="V396" s="88"/>
      <c r="W396" s="89"/>
      <c r="X396" s="92">
        <f t="shared" si="427"/>
        <v>0</v>
      </c>
      <c r="Y396" s="88" t="s">
        <v>111</v>
      </c>
      <c r="Z396" s="89"/>
      <c r="AA396" s="92">
        <f t="shared" si="428"/>
        <v>0</v>
      </c>
      <c r="AB396" s="88"/>
      <c r="AC396" s="89"/>
      <c r="AD396" s="92">
        <f t="shared" si="429"/>
        <v>0</v>
      </c>
      <c r="AE396" s="88"/>
      <c r="AF396" s="89"/>
      <c r="AG396" s="92">
        <f t="shared" si="430"/>
        <v>0</v>
      </c>
      <c r="AH396" s="88"/>
      <c r="AI396" s="89"/>
      <c r="AJ396" s="92">
        <f t="shared" si="431"/>
        <v>0</v>
      </c>
      <c r="AK396" s="88"/>
      <c r="AL396" s="89"/>
      <c r="AM396" s="92">
        <f t="shared" si="432"/>
        <v>0</v>
      </c>
      <c r="AN396" s="86">
        <v>12</v>
      </c>
      <c r="AO396" s="87" t="s">
        <v>5</v>
      </c>
    </row>
    <row r="397" spans="2:41" ht="15" customHeight="1">
      <c r="B397" s="86">
        <v>13</v>
      </c>
      <c r="C397" s="87" t="s">
        <v>6</v>
      </c>
      <c r="D397" s="88"/>
      <c r="E397" s="89"/>
      <c r="F397" s="92">
        <f t="shared" si="433"/>
        <v>0</v>
      </c>
      <c r="G397" s="88">
        <v>0.66666666666666663</v>
      </c>
      <c r="H397" s="89">
        <v>1.1666666666666667</v>
      </c>
      <c r="I397" s="92">
        <f t="shared" si="423"/>
        <v>0.50000000000000011</v>
      </c>
      <c r="J397" s="88">
        <v>0.125</v>
      </c>
      <c r="K397" s="89">
        <v>0.54166666666666663</v>
      </c>
      <c r="L397" s="92">
        <f t="shared" si="424"/>
        <v>0.41666666666666663</v>
      </c>
      <c r="M397" s="88">
        <v>0.125</v>
      </c>
      <c r="N397" s="89">
        <v>0.54166666666666663</v>
      </c>
      <c r="O397" s="92">
        <f t="shared" si="434"/>
        <v>0.41666666666666663</v>
      </c>
      <c r="P397" s="88"/>
      <c r="Q397" s="89"/>
      <c r="R397" s="92">
        <f t="shared" si="425"/>
        <v>0</v>
      </c>
      <c r="S397" s="88">
        <v>0.66666666666666663</v>
      </c>
      <c r="T397" s="89">
        <v>1.1666666666666667</v>
      </c>
      <c r="U397" s="92">
        <f t="shared" si="426"/>
        <v>0.50000000000000011</v>
      </c>
      <c r="V397" s="88">
        <v>0.125</v>
      </c>
      <c r="W397" s="89">
        <v>0.54166666666666663</v>
      </c>
      <c r="X397" s="92">
        <f t="shared" si="427"/>
        <v>0.41666666666666663</v>
      </c>
      <c r="Y397" s="88" t="s">
        <v>111</v>
      </c>
      <c r="Z397" s="89"/>
      <c r="AA397" s="92">
        <f t="shared" si="428"/>
        <v>0</v>
      </c>
      <c r="AB397" s="88"/>
      <c r="AC397" s="89"/>
      <c r="AD397" s="92">
        <f>(IF(AB397="u",0.333333333,IF(AB397="W",0,IF(AB397="C",AD397,IF(AB397="op",AD397,(AC397-AB397))))))</f>
        <v>0</v>
      </c>
      <c r="AE397" s="88"/>
      <c r="AF397" s="89"/>
      <c r="AG397" s="92">
        <f t="shared" si="430"/>
        <v>0</v>
      </c>
      <c r="AH397" s="88"/>
      <c r="AI397" s="89"/>
      <c r="AJ397" s="92">
        <f t="shared" si="431"/>
        <v>0</v>
      </c>
      <c r="AK397" s="88"/>
      <c r="AL397" s="89"/>
      <c r="AM397" s="92">
        <f t="shared" si="432"/>
        <v>0</v>
      </c>
      <c r="AN397" s="86">
        <v>13</v>
      </c>
      <c r="AO397" s="87" t="s">
        <v>6</v>
      </c>
    </row>
    <row r="398" spans="2:41" ht="15" customHeight="1">
      <c r="B398" s="118">
        <v>14</v>
      </c>
      <c r="C398" s="113" t="s">
        <v>7</v>
      </c>
      <c r="D398" s="119"/>
      <c r="E398" s="120"/>
      <c r="F398" s="128">
        <f t="shared" si="433"/>
        <v>0</v>
      </c>
      <c r="G398" s="119"/>
      <c r="H398" s="120"/>
      <c r="I398" s="128">
        <f t="shared" si="423"/>
        <v>0</v>
      </c>
      <c r="J398" s="119" t="s">
        <v>111</v>
      </c>
      <c r="K398" s="120"/>
      <c r="L398" s="128">
        <f t="shared" si="424"/>
        <v>0</v>
      </c>
      <c r="M398" s="119" t="s">
        <v>111</v>
      </c>
      <c r="N398" s="120"/>
      <c r="O398" s="128">
        <f t="shared" si="434"/>
        <v>0</v>
      </c>
      <c r="P398" s="119"/>
      <c r="Q398" s="120"/>
      <c r="R398" s="128">
        <f t="shared" si="425"/>
        <v>0</v>
      </c>
      <c r="S398" s="119" t="s">
        <v>111</v>
      </c>
      <c r="T398" s="120"/>
      <c r="U398" s="128">
        <f t="shared" si="426"/>
        <v>0</v>
      </c>
      <c r="V398" s="119">
        <v>0.125</v>
      </c>
      <c r="W398" s="120">
        <v>0.54166666666666663</v>
      </c>
      <c r="X398" s="128">
        <f t="shared" si="427"/>
        <v>0.41666666666666663</v>
      </c>
      <c r="Y398" s="119" t="s">
        <v>111</v>
      </c>
      <c r="Z398" s="120"/>
      <c r="AA398" s="128">
        <f t="shared" si="428"/>
        <v>0</v>
      </c>
      <c r="AB398" s="143">
        <v>0.54166666666666663</v>
      </c>
      <c r="AC398" s="144">
        <v>0.83333333333333337</v>
      </c>
      <c r="AD398" s="128">
        <f>(IF(AB398="u",0.333333333,IF(AB398="W",0,IF(AB398="C",AD398,IF(AB398="op",AD398,(AC398-AB398))))))</f>
        <v>0.29166666666666674</v>
      </c>
      <c r="AE398" s="143">
        <v>0.29166666666666669</v>
      </c>
      <c r="AF398" s="144">
        <v>0.58333333333333337</v>
      </c>
      <c r="AG398" s="128">
        <f t="shared" si="430"/>
        <v>0.29166666666666669</v>
      </c>
      <c r="AH398" s="143">
        <v>0.54166666666666663</v>
      </c>
      <c r="AI398" s="144">
        <v>0.83333333333333337</v>
      </c>
      <c r="AJ398" s="128">
        <f t="shared" si="431"/>
        <v>0.29166666666666674</v>
      </c>
      <c r="AK398" s="143">
        <v>0.29166666666666669</v>
      </c>
      <c r="AL398" s="144">
        <v>0.58333333333333337</v>
      </c>
      <c r="AM398" s="128">
        <f t="shared" si="432"/>
        <v>0.29166666666666669</v>
      </c>
      <c r="AN398" s="118">
        <v>14</v>
      </c>
      <c r="AO398" s="113" t="s">
        <v>7</v>
      </c>
    </row>
    <row r="399" spans="2:41" ht="15" customHeight="1">
      <c r="B399" s="118">
        <v>15</v>
      </c>
      <c r="C399" s="113" t="s">
        <v>8</v>
      </c>
      <c r="D399" s="119"/>
      <c r="E399" s="120"/>
      <c r="F399" s="128">
        <f t="shared" ref="F399" si="435">(IF(D399="u",0.333333333,IF(D399="W",0,IF(D399="C",F399,IF(D399="op",F399,(E399-D399))))))</f>
        <v>0</v>
      </c>
      <c r="G399" s="119" t="s">
        <v>111</v>
      </c>
      <c r="H399" s="120"/>
      <c r="I399" s="128">
        <f>(IF(G399="u",0.333333333,IF(G399="W",0,IF(G399="C",I399,IF(G399="op",I399,(H399-G399))))))</f>
        <v>0</v>
      </c>
      <c r="J399" s="119" t="s">
        <v>111</v>
      </c>
      <c r="K399" s="120"/>
      <c r="L399" s="128">
        <f t="shared" si="424"/>
        <v>0</v>
      </c>
      <c r="M399" s="119" t="s">
        <v>111</v>
      </c>
      <c r="N399" s="120"/>
      <c r="O399" s="128">
        <f>(IF(M399="u",0.333333333,IF(M399="W",0,IF(M399="C",O399,IF(M399="op",O399,(N399-M399))))))</f>
        <v>0</v>
      </c>
      <c r="P399" s="119">
        <v>0.14583333333333334</v>
      </c>
      <c r="Q399" s="120">
        <v>0.64583333333333337</v>
      </c>
      <c r="R399" s="128">
        <f>(IF(P399="u",0.333333333,IF(P399="W",0,IF(P399="C",R399,IF(P399="op",R399,(Q399-P399))))))</f>
        <v>0.5</v>
      </c>
      <c r="S399" s="119" t="s">
        <v>111</v>
      </c>
      <c r="T399" s="120"/>
      <c r="U399" s="128">
        <f>(IF(S399="u",0.333333333,IF(S399="W",0,IF(S399="C",U399,IF(S399="op",U399,(T399-S399))))))</f>
        <v>0</v>
      </c>
      <c r="V399" s="119">
        <v>0.625</v>
      </c>
      <c r="W399" s="120">
        <v>1.125</v>
      </c>
      <c r="X399" s="128">
        <f>(IF(V399="u",0.333333333,IF(V399="W",0,IF(V399="C",X399,IF(V399="op",X399,(W399-V399))))))</f>
        <v>0.5</v>
      </c>
      <c r="Y399" s="119" t="s">
        <v>111</v>
      </c>
      <c r="Z399" s="120"/>
      <c r="AA399" s="128">
        <f>(IF(Y399="u",0.333333333,IF(Y399="W",0,IF(Y399="C",AA399,IF(Y399="op",AA399,(Z399-Y399))))))</f>
        <v>0</v>
      </c>
      <c r="AB399" s="143">
        <v>0.54166666666666663</v>
      </c>
      <c r="AC399" s="144">
        <v>0.83333333333333337</v>
      </c>
      <c r="AD399" s="128">
        <f>(IF(AB399="u",0.333333333,IF(AB399="W",0,IF(AB399="C",AD399,IF(AB399="op",AD399,(AC399-AB399))))))</f>
        <v>0.29166666666666674</v>
      </c>
      <c r="AE399" s="143">
        <v>0.54166666666666663</v>
      </c>
      <c r="AF399" s="144">
        <v>0.83333333333333337</v>
      </c>
      <c r="AG399" s="128">
        <f>(IF(AE399="u",0.333333333,IF(AE399="W",0,IF(AE399="C",AG399,IF(AE399="op",AG399,(AF399-AE399))))))</f>
        <v>0.29166666666666674</v>
      </c>
      <c r="AH399" s="143">
        <v>0.29166666666666669</v>
      </c>
      <c r="AI399" s="144">
        <v>0.58333333333333337</v>
      </c>
      <c r="AJ399" s="128">
        <f>(IF(AH399="u",0.333333333,IF(AH399="W",0,IF(AH399="C",AJ399,IF(AH399="op",AJ399,(AI399-AH399))))))</f>
        <v>0.29166666666666669</v>
      </c>
      <c r="AK399" s="143">
        <v>0.29166666666666669</v>
      </c>
      <c r="AL399" s="144">
        <v>0.58333333333333337</v>
      </c>
      <c r="AM399" s="128">
        <f>(IF(AK399="u",0.333333333,IF(AK399="W",0,IF(AK399="C",AM399,IF(AK399="op",AM399,(AL399-AK399))))))</f>
        <v>0.29166666666666669</v>
      </c>
      <c r="AN399" s="118">
        <v>15</v>
      </c>
      <c r="AO399" s="113" t="s">
        <v>8</v>
      </c>
    </row>
    <row r="400" spans="2:41" ht="15" customHeight="1">
      <c r="B400" s="118">
        <v>16</v>
      </c>
      <c r="C400" s="113" t="s">
        <v>12</v>
      </c>
      <c r="D400" s="119"/>
      <c r="E400" s="120"/>
      <c r="F400" s="128">
        <f t="shared" ref="F400:F415" si="436">(IF(D400="u",0.333333333,IF(D400="W",0,IF(D400="C",F400,IF(D400="op",F400,(E400-D400))))))</f>
        <v>0</v>
      </c>
      <c r="G400" s="119" t="s">
        <v>111</v>
      </c>
      <c r="H400" s="120"/>
      <c r="I400" s="128">
        <f t="shared" ref="I400:I415" si="437">(IF(G400="u",0.333333333,IF(G400="W",0,IF(G400="C",I400,IF(G400="op",I400,(H400-G400))))))</f>
        <v>0</v>
      </c>
      <c r="J400" s="119" t="s">
        <v>111</v>
      </c>
      <c r="K400" s="120"/>
      <c r="L400" s="128">
        <f t="shared" ref="L400:L415" si="438">(IF(J400="u",0.333333333,IF(J400="W",0,IF(J400="C",L400,IF(J400="op",L400,(K400-J400))))))</f>
        <v>0</v>
      </c>
      <c r="M400" s="119" t="s">
        <v>111</v>
      </c>
      <c r="N400" s="120"/>
      <c r="O400" s="128">
        <f t="shared" ref="O400:O415" si="439">(IF(M400="u",0.333333333,IF(M400="W",0,IF(M400="C",O400,IF(M400="op",O400,(N400-M400))))))</f>
        <v>0</v>
      </c>
      <c r="P400" s="119" t="s">
        <v>111</v>
      </c>
      <c r="Q400" s="120"/>
      <c r="R400" s="128">
        <f t="shared" ref="R400:R415" si="440">(IF(P400="u",0.333333333,IF(P400="W",0,IF(P400="C",R400,IF(P400="op",R400,(Q400-P400))))))</f>
        <v>0</v>
      </c>
      <c r="S400" s="119" t="s">
        <v>111</v>
      </c>
      <c r="T400" s="120"/>
      <c r="U400" s="128">
        <f t="shared" ref="U400:U415" si="441">(IF(S400="u",0.333333333,IF(S400="W",0,IF(S400="C",U400,IF(S400="op",U400,(T400-S400))))))</f>
        <v>0</v>
      </c>
      <c r="V400" s="119"/>
      <c r="W400" s="120"/>
      <c r="X400" s="128">
        <f t="shared" ref="X400:X415" si="442">(IF(V400="u",0.333333333,IF(V400="W",0,IF(V400="C",X400,IF(V400="op",X400,(W400-V400))))))</f>
        <v>0</v>
      </c>
      <c r="Y400" s="119" t="s">
        <v>111</v>
      </c>
      <c r="Z400" s="120"/>
      <c r="AA400" s="128">
        <f t="shared" ref="AA400:AA415" si="443">(IF(Y400="u",0.333333333,IF(Y400="W",0,IF(Y400="C",AA400,IF(Y400="op",AA400,(Z400-Y400))))))</f>
        <v>0</v>
      </c>
      <c r="AB400" s="143">
        <v>0.54166666666666663</v>
      </c>
      <c r="AC400" s="144">
        <v>0.83333333333333337</v>
      </c>
      <c r="AD400" s="128">
        <f t="shared" ref="AD400:AD415" si="444">(IF(AB400="u",0.333333333,IF(AB400="W",0,IF(AB400="C",AD400,IF(AB400="op",AD400,(AC400-AB400))))))</f>
        <v>0.29166666666666674</v>
      </c>
      <c r="AE400" s="143">
        <v>0.29166666666666669</v>
      </c>
      <c r="AF400" s="144">
        <v>0.58333333333333337</v>
      </c>
      <c r="AG400" s="128">
        <f t="shared" ref="AG400:AG415" si="445">(IF(AE400="u",0.333333333,IF(AE400="W",0,IF(AE400="C",AG400,IF(AE400="op",AG400,(AF400-AE400))))))</f>
        <v>0.29166666666666669</v>
      </c>
      <c r="AH400" s="143">
        <v>0.54166666666666663</v>
      </c>
      <c r="AI400" s="144">
        <v>0.83333333333333337</v>
      </c>
      <c r="AJ400" s="128">
        <f t="shared" ref="AJ400:AJ415" si="446">(IF(AH400="u",0.333333333,IF(AH400="W",0,IF(AH400="C",AJ400,IF(AH400="op",AJ400,(AI400-AH400))))))</f>
        <v>0.29166666666666674</v>
      </c>
      <c r="AK400" s="143">
        <v>0.29166666666666669</v>
      </c>
      <c r="AL400" s="144">
        <v>0.58333333333333337</v>
      </c>
      <c r="AM400" s="128">
        <f t="shared" ref="AM400:AM415" si="447">(IF(AK400="u",0.333333333,IF(AK400="W",0,IF(AK400="C",AM400,IF(AK400="op",AM400,(AL400-AK400))))))</f>
        <v>0.29166666666666669</v>
      </c>
      <c r="AN400" s="118">
        <v>16</v>
      </c>
      <c r="AO400" s="113" t="s">
        <v>12</v>
      </c>
    </row>
    <row r="401" spans="2:41" ht="15" customHeight="1">
      <c r="B401" s="118">
        <v>17</v>
      </c>
      <c r="C401" s="113" t="s">
        <v>85</v>
      </c>
      <c r="D401" s="119"/>
      <c r="E401" s="120"/>
      <c r="F401" s="128">
        <f t="shared" si="436"/>
        <v>0</v>
      </c>
      <c r="G401" s="119" t="s">
        <v>111</v>
      </c>
      <c r="H401" s="120"/>
      <c r="I401" s="128">
        <f t="shared" si="437"/>
        <v>0</v>
      </c>
      <c r="J401" s="119" t="s">
        <v>111</v>
      </c>
      <c r="K401" s="120"/>
      <c r="L401" s="128">
        <f t="shared" si="438"/>
        <v>0</v>
      </c>
      <c r="M401" s="119" t="s">
        <v>111</v>
      </c>
      <c r="N401" s="120"/>
      <c r="O401" s="128">
        <f t="shared" si="439"/>
        <v>0</v>
      </c>
      <c r="P401" s="119" t="s">
        <v>111</v>
      </c>
      <c r="Q401" s="120"/>
      <c r="R401" s="128">
        <f t="shared" si="440"/>
        <v>0</v>
      </c>
      <c r="S401" s="119">
        <v>0.66666666666666663</v>
      </c>
      <c r="T401" s="120">
        <v>1.1666666666666667</v>
      </c>
      <c r="U401" s="128">
        <f t="shared" si="441"/>
        <v>0.50000000000000011</v>
      </c>
      <c r="V401" s="119">
        <v>0.66666666666666663</v>
      </c>
      <c r="W401" s="120">
        <v>1.1666666666666667</v>
      </c>
      <c r="X401" s="128">
        <f t="shared" si="442"/>
        <v>0.50000000000000011</v>
      </c>
      <c r="Y401" s="119" t="s">
        <v>111</v>
      </c>
      <c r="Z401" s="120"/>
      <c r="AA401" s="128">
        <f t="shared" si="443"/>
        <v>0</v>
      </c>
      <c r="AB401" s="143">
        <v>0.54166666666666663</v>
      </c>
      <c r="AC401" s="144">
        <v>0.83333333333333337</v>
      </c>
      <c r="AD401" s="128">
        <f t="shared" si="444"/>
        <v>0.29166666666666674</v>
      </c>
      <c r="AE401" s="143">
        <v>0.54166666666666663</v>
      </c>
      <c r="AF401" s="144">
        <v>0.83333333333333337</v>
      </c>
      <c r="AG401" s="128">
        <f t="shared" si="445"/>
        <v>0.29166666666666674</v>
      </c>
      <c r="AH401" s="143">
        <v>0.29166666666666669</v>
      </c>
      <c r="AI401" s="144">
        <v>0.58333333333333337</v>
      </c>
      <c r="AJ401" s="128">
        <f t="shared" si="446"/>
        <v>0.29166666666666669</v>
      </c>
      <c r="AK401" s="143">
        <v>0.29166666666666669</v>
      </c>
      <c r="AL401" s="144">
        <v>0.58333333333333337</v>
      </c>
      <c r="AM401" s="128">
        <f t="shared" si="447"/>
        <v>0.29166666666666669</v>
      </c>
      <c r="AN401" s="118">
        <v>17</v>
      </c>
      <c r="AO401" s="113" t="s">
        <v>85</v>
      </c>
    </row>
    <row r="402" spans="2:41" ht="15" customHeight="1">
      <c r="B402" s="118">
        <v>18</v>
      </c>
      <c r="C402" s="113" t="s">
        <v>4</v>
      </c>
      <c r="D402" s="119"/>
      <c r="E402" s="120"/>
      <c r="F402" s="128">
        <f t="shared" si="436"/>
        <v>0</v>
      </c>
      <c r="G402" s="119" t="s">
        <v>111</v>
      </c>
      <c r="H402" s="120"/>
      <c r="I402" s="128">
        <f t="shared" si="437"/>
        <v>0</v>
      </c>
      <c r="J402" s="119" t="s">
        <v>111</v>
      </c>
      <c r="K402" s="120"/>
      <c r="L402" s="128">
        <f t="shared" si="438"/>
        <v>0</v>
      </c>
      <c r="M402" s="119"/>
      <c r="N402" s="120"/>
      <c r="O402" s="128">
        <f t="shared" si="439"/>
        <v>0</v>
      </c>
      <c r="P402" s="119" t="s">
        <v>111</v>
      </c>
      <c r="Q402" s="120"/>
      <c r="R402" s="128">
        <f t="shared" si="440"/>
        <v>0</v>
      </c>
      <c r="S402" s="119"/>
      <c r="T402" s="120"/>
      <c r="U402" s="128">
        <f t="shared" si="441"/>
        <v>0</v>
      </c>
      <c r="V402" s="119"/>
      <c r="W402" s="120"/>
      <c r="X402" s="128">
        <f t="shared" si="442"/>
        <v>0</v>
      </c>
      <c r="Y402" s="119" t="s">
        <v>111</v>
      </c>
      <c r="Z402" s="120"/>
      <c r="AA402" s="128">
        <f t="shared" si="443"/>
        <v>0</v>
      </c>
      <c r="AB402" s="143">
        <v>0.54166666666666663</v>
      </c>
      <c r="AC402" s="144">
        <v>0.83333333333333337</v>
      </c>
      <c r="AD402" s="128">
        <f t="shared" ref="AD402" si="448">(IF(AB402="u",0.333333333,IF(AB402="W",0,IF(AB402="C",AD402,IF(AB402="op",AD402,(AC402-AB402))))))</f>
        <v>0.29166666666666674</v>
      </c>
      <c r="AE402" s="143">
        <v>0.29166666666666669</v>
      </c>
      <c r="AF402" s="144">
        <v>0.58333333333333337</v>
      </c>
      <c r="AG402" s="128">
        <f t="shared" si="445"/>
        <v>0.29166666666666669</v>
      </c>
      <c r="AH402" s="143">
        <v>0.54166666666666663</v>
      </c>
      <c r="AI402" s="144">
        <v>0.83333333333333337</v>
      </c>
      <c r="AJ402" s="128">
        <f t="shared" si="446"/>
        <v>0.29166666666666674</v>
      </c>
      <c r="AK402" s="143">
        <v>0.29166666666666669</v>
      </c>
      <c r="AL402" s="144">
        <v>0.58333333333333337</v>
      </c>
      <c r="AM402" s="128">
        <f t="shared" si="447"/>
        <v>0.29166666666666669</v>
      </c>
      <c r="AN402" s="118">
        <v>18</v>
      </c>
      <c r="AO402" s="113" t="s">
        <v>4</v>
      </c>
    </row>
    <row r="403" spans="2:41" ht="15" customHeight="1">
      <c r="B403" s="86">
        <v>19</v>
      </c>
      <c r="C403" s="87" t="s">
        <v>5</v>
      </c>
      <c r="D403" s="88"/>
      <c r="E403" s="89"/>
      <c r="F403" s="92">
        <f t="shared" si="436"/>
        <v>0</v>
      </c>
      <c r="G403" s="88"/>
      <c r="H403" s="89"/>
      <c r="I403" s="92">
        <f t="shared" si="437"/>
        <v>0</v>
      </c>
      <c r="J403" s="88"/>
      <c r="K403" s="89"/>
      <c r="L403" s="92">
        <f t="shared" si="438"/>
        <v>0</v>
      </c>
      <c r="M403" s="88"/>
      <c r="N403" s="89"/>
      <c r="O403" s="92">
        <f t="shared" si="439"/>
        <v>0</v>
      </c>
      <c r="P403" s="88" t="s">
        <v>111</v>
      </c>
      <c r="Q403" s="89"/>
      <c r="R403" s="92">
        <f t="shared" si="440"/>
        <v>0</v>
      </c>
      <c r="S403" s="88"/>
      <c r="T403" s="89"/>
      <c r="U403" s="92">
        <f t="shared" si="441"/>
        <v>0</v>
      </c>
      <c r="V403" s="88" t="s">
        <v>111</v>
      </c>
      <c r="W403" s="89"/>
      <c r="X403" s="92">
        <f t="shared" si="442"/>
        <v>0</v>
      </c>
      <c r="Y403" s="88"/>
      <c r="Z403" s="89"/>
      <c r="AA403" s="92">
        <f t="shared" si="443"/>
        <v>0</v>
      </c>
      <c r="AB403" s="88" t="s">
        <v>111</v>
      </c>
      <c r="AC403" s="89" t="s">
        <v>111</v>
      </c>
      <c r="AD403" s="92">
        <f t="shared" si="444"/>
        <v>0</v>
      </c>
      <c r="AE403" s="88" t="s">
        <v>111</v>
      </c>
      <c r="AF403" s="89" t="s">
        <v>111</v>
      </c>
      <c r="AG403" s="92">
        <f t="shared" si="445"/>
        <v>0</v>
      </c>
      <c r="AH403" s="88" t="s">
        <v>111</v>
      </c>
      <c r="AI403" s="89" t="s">
        <v>111</v>
      </c>
      <c r="AJ403" s="92">
        <f t="shared" si="446"/>
        <v>0</v>
      </c>
      <c r="AK403" s="88" t="s">
        <v>111</v>
      </c>
      <c r="AL403" s="89" t="s">
        <v>111</v>
      </c>
      <c r="AM403" s="92">
        <f t="shared" si="447"/>
        <v>0</v>
      </c>
      <c r="AN403" s="86">
        <v>19</v>
      </c>
      <c r="AO403" s="87" t="s">
        <v>5</v>
      </c>
    </row>
    <row r="404" spans="2:41" ht="15" customHeight="1">
      <c r="B404" s="86">
        <v>20</v>
      </c>
      <c r="C404" s="87" t="s">
        <v>6</v>
      </c>
      <c r="D404" s="88"/>
      <c r="E404" s="89"/>
      <c r="F404" s="92">
        <f t="shared" si="436"/>
        <v>0</v>
      </c>
      <c r="G404" s="88">
        <v>0.66666666666666663</v>
      </c>
      <c r="H404" s="89">
        <v>1.1666666666666667</v>
      </c>
      <c r="I404" s="92">
        <f t="shared" si="437"/>
        <v>0.50000000000000011</v>
      </c>
      <c r="J404" s="88" t="s">
        <v>111</v>
      </c>
      <c r="K404" s="89"/>
      <c r="L404" s="92">
        <f t="shared" si="438"/>
        <v>0</v>
      </c>
      <c r="M404" s="88" t="s">
        <v>111</v>
      </c>
      <c r="N404" s="89"/>
      <c r="O404" s="92">
        <f t="shared" si="439"/>
        <v>0</v>
      </c>
      <c r="P404" s="88" t="s">
        <v>111</v>
      </c>
      <c r="Q404" s="89"/>
      <c r="R404" s="92">
        <f t="shared" si="440"/>
        <v>0</v>
      </c>
      <c r="S404" s="88">
        <v>0.66666666666666663</v>
      </c>
      <c r="T404" s="89">
        <v>1.1666666666666667</v>
      </c>
      <c r="U404" s="92">
        <f t="shared" si="441"/>
        <v>0.50000000000000011</v>
      </c>
      <c r="V404" s="88" t="s">
        <v>111</v>
      </c>
      <c r="W404" s="89"/>
      <c r="X404" s="92">
        <f t="shared" si="442"/>
        <v>0</v>
      </c>
      <c r="Y404" s="88">
        <v>0.16666666666666666</v>
      </c>
      <c r="Z404" s="89">
        <v>0.66666666666666663</v>
      </c>
      <c r="AA404" s="92">
        <f t="shared" si="443"/>
        <v>0.5</v>
      </c>
      <c r="AB404" s="88" t="s">
        <v>111</v>
      </c>
      <c r="AC404" s="89" t="s">
        <v>111</v>
      </c>
      <c r="AD404" s="92">
        <f t="shared" si="444"/>
        <v>0</v>
      </c>
      <c r="AE404" s="88" t="s">
        <v>111</v>
      </c>
      <c r="AF404" s="89" t="s">
        <v>111</v>
      </c>
      <c r="AG404" s="92">
        <f t="shared" si="445"/>
        <v>0</v>
      </c>
      <c r="AH404" s="88" t="s">
        <v>111</v>
      </c>
      <c r="AI404" s="89" t="s">
        <v>111</v>
      </c>
      <c r="AJ404" s="92">
        <f t="shared" si="446"/>
        <v>0</v>
      </c>
      <c r="AK404" s="88" t="s">
        <v>111</v>
      </c>
      <c r="AL404" s="89" t="s">
        <v>111</v>
      </c>
      <c r="AM404" s="92">
        <f t="shared" si="447"/>
        <v>0</v>
      </c>
      <c r="AN404" s="86">
        <v>20</v>
      </c>
      <c r="AO404" s="87" t="s">
        <v>6</v>
      </c>
    </row>
    <row r="405" spans="2:41" ht="15" customHeight="1">
      <c r="B405" s="118">
        <v>21</v>
      </c>
      <c r="C405" s="113" t="s">
        <v>7</v>
      </c>
      <c r="D405" s="119"/>
      <c r="E405" s="120"/>
      <c r="F405" s="128">
        <f t="shared" si="436"/>
        <v>0</v>
      </c>
      <c r="G405" s="119">
        <v>0.75</v>
      </c>
      <c r="H405" s="120">
        <v>1.25</v>
      </c>
      <c r="I405" s="128">
        <f t="shared" si="437"/>
        <v>0.5</v>
      </c>
      <c r="J405" s="119" t="s">
        <v>111</v>
      </c>
      <c r="K405" s="120"/>
      <c r="L405" s="128">
        <f t="shared" si="438"/>
        <v>0</v>
      </c>
      <c r="M405" s="119" t="s">
        <v>111</v>
      </c>
      <c r="N405" s="120"/>
      <c r="O405" s="128">
        <f t="shared" si="439"/>
        <v>0</v>
      </c>
      <c r="P405" s="119" t="s">
        <v>111</v>
      </c>
      <c r="Q405" s="120"/>
      <c r="R405" s="128">
        <f t="shared" si="440"/>
        <v>0</v>
      </c>
      <c r="S405" s="119"/>
      <c r="T405" s="120"/>
      <c r="U405" s="128">
        <f t="shared" si="441"/>
        <v>0</v>
      </c>
      <c r="V405" s="119">
        <v>0.16666666666666666</v>
      </c>
      <c r="W405" s="120">
        <v>0.66666666666666663</v>
      </c>
      <c r="X405" s="128">
        <f t="shared" si="442"/>
        <v>0.5</v>
      </c>
      <c r="Y405" s="119" t="s">
        <v>111</v>
      </c>
      <c r="Z405" s="120"/>
      <c r="AA405" s="128">
        <f t="shared" si="443"/>
        <v>0</v>
      </c>
      <c r="AB405" s="119" t="s">
        <v>111</v>
      </c>
      <c r="AC405" s="120" t="s">
        <v>111</v>
      </c>
      <c r="AD405" s="128">
        <f t="shared" si="444"/>
        <v>0</v>
      </c>
      <c r="AE405" s="119" t="s">
        <v>111</v>
      </c>
      <c r="AF405" s="120" t="s">
        <v>111</v>
      </c>
      <c r="AG405" s="128">
        <f t="shared" si="445"/>
        <v>0</v>
      </c>
      <c r="AH405" s="119" t="s">
        <v>111</v>
      </c>
      <c r="AI405" s="120" t="s">
        <v>111</v>
      </c>
      <c r="AJ405" s="128">
        <f t="shared" si="446"/>
        <v>0</v>
      </c>
      <c r="AK405" s="119" t="s">
        <v>111</v>
      </c>
      <c r="AL405" s="120" t="s">
        <v>111</v>
      </c>
      <c r="AM405" s="128">
        <f t="shared" si="447"/>
        <v>0</v>
      </c>
      <c r="AN405" s="118">
        <v>21</v>
      </c>
      <c r="AO405" s="113" t="s">
        <v>7</v>
      </c>
    </row>
    <row r="406" spans="2:41" ht="15" customHeight="1">
      <c r="B406" s="118">
        <v>22</v>
      </c>
      <c r="C406" s="113" t="s">
        <v>8</v>
      </c>
      <c r="D406" s="119"/>
      <c r="E406" s="120"/>
      <c r="F406" s="128">
        <f t="shared" si="436"/>
        <v>0</v>
      </c>
      <c r="G406" s="119">
        <v>0.75</v>
      </c>
      <c r="H406" s="120">
        <v>1.25</v>
      </c>
      <c r="I406" s="128">
        <f t="shared" si="437"/>
        <v>0.5</v>
      </c>
      <c r="J406" s="119" t="s">
        <v>111</v>
      </c>
      <c r="K406" s="120"/>
      <c r="L406" s="128">
        <f t="shared" si="438"/>
        <v>0</v>
      </c>
      <c r="M406" s="119" t="s">
        <v>111</v>
      </c>
      <c r="N406" s="120"/>
      <c r="O406" s="128">
        <f t="shared" si="439"/>
        <v>0</v>
      </c>
      <c r="P406" s="119">
        <v>0.125</v>
      </c>
      <c r="Q406" s="120">
        <v>0.52083333333333337</v>
      </c>
      <c r="R406" s="128">
        <f t="shared" si="440"/>
        <v>0.39583333333333337</v>
      </c>
      <c r="S406" s="119" t="s">
        <v>111</v>
      </c>
      <c r="T406" s="120"/>
      <c r="U406" s="128">
        <f t="shared" si="441"/>
        <v>0</v>
      </c>
      <c r="V406" s="119">
        <v>0.125</v>
      </c>
      <c r="W406" s="120">
        <v>0.52083333333333337</v>
      </c>
      <c r="X406" s="128">
        <f t="shared" si="442"/>
        <v>0.39583333333333337</v>
      </c>
      <c r="Y406" s="119" t="s">
        <v>111</v>
      </c>
      <c r="Z406" s="120"/>
      <c r="AA406" s="128">
        <f t="shared" si="443"/>
        <v>0</v>
      </c>
      <c r="AB406" s="119" t="s">
        <v>111</v>
      </c>
      <c r="AC406" s="120" t="s">
        <v>111</v>
      </c>
      <c r="AD406" s="128">
        <f t="shared" si="444"/>
        <v>0</v>
      </c>
      <c r="AE406" s="119" t="s">
        <v>111</v>
      </c>
      <c r="AF406" s="120" t="s">
        <v>111</v>
      </c>
      <c r="AG406" s="128">
        <f t="shared" si="445"/>
        <v>0</v>
      </c>
      <c r="AH406" s="119" t="s">
        <v>111</v>
      </c>
      <c r="AI406" s="120" t="s">
        <v>111</v>
      </c>
      <c r="AJ406" s="128">
        <f t="shared" si="446"/>
        <v>0</v>
      </c>
      <c r="AK406" s="119" t="s">
        <v>111</v>
      </c>
      <c r="AL406" s="120" t="s">
        <v>111</v>
      </c>
      <c r="AM406" s="128">
        <f t="shared" si="447"/>
        <v>0</v>
      </c>
      <c r="AN406" s="118">
        <v>22</v>
      </c>
      <c r="AO406" s="113" t="s">
        <v>8</v>
      </c>
    </row>
    <row r="407" spans="2:41" ht="15" customHeight="1">
      <c r="B407" s="118">
        <v>23</v>
      </c>
      <c r="C407" s="113" t="s">
        <v>12</v>
      </c>
      <c r="D407" s="119"/>
      <c r="E407" s="120"/>
      <c r="F407" s="128">
        <f t="shared" si="436"/>
        <v>0</v>
      </c>
      <c r="G407" s="119">
        <v>0.79166666666666663</v>
      </c>
      <c r="H407" s="120">
        <v>1.25</v>
      </c>
      <c r="I407" s="128">
        <f t="shared" si="437"/>
        <v>0.45833333333333337</v>
      </c>
      <c r="J407" s="119" t="s">
        <v>111</v>
      </c>
      <c r="K407" s="120"/>
      <c r="L407" s="128">
        <f t="shared" si="438"/>
        <v>0</v>
      </c>
      <c r="M407" s="119" t="s">
        <v>111</v>
      </c>
      <c r="N407" s="120"/>
      <c r="O407" s="128">
        <f t="shared" si="439"/>
        <v>0</v>
      </c>
      <c r="P407" s="119" t="s">
        <v>111</v>
      </c>
      <c r="Q407" s="120"/>
      <c r="R407" s="128">
        <f t="shared" si="440"/>
        <v>0</v>
      </c>
      <c r="S407" s="119" t="s">
        <v>111</v>
      </c>
      <c r="T407" s="120"/>
      <c r="U407" s="128">
        <f t="shared" si="441"/>
        <v>0</v>
      </c>
      <c r="V407" s="119" t="s">
        <v>111</v>
      </c>
      <c r="W407" s="120"/>
      <c r="X407" s="128">
        <f t="shared" si="442"/>
        <v>0</v>
      </c>
      <c r="Y407" s="119" t="s">
        <v>111</v>
      </c>
      <c r="Z407" s="120"/>
      <c r="AA407" s="128">
        <f t="shared" si="443"/>
        <v>0</v>
      </c>
      <c r="AB407" s="119" t="s">
        <v>111</v>
      </c>
      <c r="AC407" s="120" t="s">
        <v>111</v>
      </c>
      <c r="AD407" s="128">
        <f t="shared" si="444"/>
        <v>0</v>
      </c>
      <c r="AE407" s="119" t="s">
        <v>111</v>
      </c>
      <c r="AF407" s="120" t="s">
        <v>111</v>
      </c>
      <c r="AG407" s="128">
        <f t="shared" si="445"/>
        <v>0</v>
      </c>
      <c r="AH407" s="119" t="s">
        <v>111</v>
      </c>
      <c r="AI407" s="120" t="s">
        <v>111</v>
      </c>
      <c r="AJ407" s="128">
        <f t="shared" si="446"/>
        <v>0</v>
      </c>
      <c r="AK407" s="119" t="s">
        <v>111</v>
      </c>
      <c r="AL407" s="120" t="s">
        <v>111</v>
      </c>
      <c r="AM407" s="128">
        <f t="shared" si="447"/>
        <v>0</v>
      </c>
      <c r="AN407" s="118">
        <v>23</v>
      </c>
      <c r="AO407" s="113" t="s">
        <v>12</v>
      </c>
    </row>
    <row r="408" spans="2:41" ht="15" customHeight="1">
      <c r="B408" s="118">
        <v>24</v>
      </c>
      <c r="C408" s="113" t="s">
        <v>85</v>
      </c>
      <c r="D408" s="119"/>
      <c r="E408" s="120"/>
      <c r="F408" s="128">
        <f t="shared" si="436"/>
        <v>0</v>
      </c>
      <c r="G408" s="119"/>
      <c r="H408" s="120"/>
      <c r="I408" s="128">
        <f t="shared" si="437"/>
        <v>0</v>
      </c>
      <c r="J408" s="119">
        <v>0.16666666666666666</v>
      </c>
      <c r="K408" s="120">
        <v>0.66666666666666663</v>
      </c>
      <c r="L408" s="128">
        <f t="shared" si="438"/>
        <v>0.5</v>
      </c>
      <c r="M408" s="119" t="s">
        <v>111</v>
      </c>
      <c r="N408" s="120"/>
      <c r="O408" s="128">
        <f t="shared" si="439"/>
        <v>0</v>
      </c>
      <c r="P408" s="119">
        <v>0.125</v>
      </c>
      <c r="Q408" s="120">
        <v>0.52083333333333337</v>
      </c>
      <c r="R408" s="128">
        <f t="shared" si="440"/>
        <v>0.39583333333333337</v>
      </c>
      <c r="S408" s="119"/>
      <c r="T408" s="120"/>
      <c r="U408" s="128">
        <f t="shared" si="441"/>
        <v>0</v>
      </c>
      <c r="V408" s="119" t="s">
        <v>111</v>
      </c>
      <c r="W408" s="120"/>
      <c r="X408" s="128">
        <f t="shared" si="442"/>
        <v>0</v>
      </c>
      <c r="Y408" s="119" t="s">
        <v>111</v>
      </c>
      <c r="Z408" s="120"/>
      <c r="AA408" s="128">
        <f t="shared" si="443"/>
        <v>0</v>
      </c>
      <c r="AB408" s="119" t="s">
        <v>111</v>
      </c>
      <c r="AC408" s="120" t="s">
        <v>111</v>
      </c>
      <c r="AD408" s="128">
        <f t="shared" si="444"/>
        <v>0</v>
      </c>
      <c r="AE408" s="119" t="s">
        <v>111</v>
      </c>
      <c r="AF408" s="120" t="s">
        <v>111</v>
      </c>
      <c r="AG408" s="128">
        <f t="shared" si="445"/>
        <v>0</v>
      </c>
      <c r="AH408" s="119" t="s">
        <v>111</v>
      </c>
      <c r="AI408" s="120" t="s">
        <v>111</v>
      </c>
      <c r="AJ408" s="128">
        <f t="shared" si="446"/>
        <v>0</v>
      </c>
      <c r="AK408" s="119" t="s">
        <v>111</v>
      </c>
      <c r="AL408" s="120" t="s">
        <v>111</v>
      </c>
      <c r="AM408" s="128">
        <f t="shared" si="447"/>
        <v>0</v>
      </c>
      <c r="AN408" s="118">
        <v>24</v>
      </c>
      <c r="AO408" s="113" t="s">
        <v>85</v>
      </c>
    </row>
    <row r="409" spans="2:41" ht="15" customHeight="1">
      <c r="B409" s="118">
        <v>25</v>
      </c>
      <c r="C409" s="113" t="s">
        <v>4</v>
      </c>
      <c r="D409" s="119"/>
      <c r="E409" s="120"/>
      <c r="F409" s="128">
        <f t="shared" si="436"/>
        <v>0</v>
      </c>
      <c r="G409" s="119">
        <v>0.125</v>
      </c>
      <c r="H409" s="120">
        <v>0.52083333333333337</v>
      </c>
      <c r="I409" s="128">
        <f t="shared" si="437"/>
        <v>0.39583333333333337</v>
      </c>
      <c r="J409" s="119" t="s">
        <v>111</v>
      </c>
      <c r="K409" s="120"/>
      <c r="L409" s="128">
        <f t="shared" si="438"/>
        <v>0</v>
      </c>
      <c r="M409" s="119" t="s">
        <v>111</v>
      </c>
      <c r="N409" s="120"/>
      <c r="O409" s="128">
        <f t="shared" si="439"/>
        <v>0</v>
      </c>
      <c r="P409" s="119">
        <v>0.125</v>
      </c>
      <c r="Q409" s="120">
        <v>0.52083333333333337</v>
      </c>
      <c r="R409" s="128">
        <f t="shared" si="440"/>
        <v>0.39583333333333337</v>
      </c>
      <c r="S409" s="119">
        <v>0.16666666666666666</v>
      </c>
      <c r="T409" s="120">
        <v>0.66666666666666663</v>
      </c>
      <c r="U409" s="128">
        <f t="shared" si="441"/>
        <v>0.5</v>
      </c>
      <c r="V409" s="119">
        <v>0.14583333333333334</v>
      </c>
      <c r="W409" s="120">
        <v>0.52083333333333337</v>
      </c>
      <c r="X409" s="128">
        <f t="shared" si="442"/>
        <v>0.375</v>
      </c>
      <c r="Y409" s="119" t="s">
        <v>111</v>
      </c>
      <c r="Z409" s="120"/>
      <c r="AA409" s="128">
        <f t="shared" si="443"/>
        <v>0</v>
      </c>
      <c r="AB409" s="119" t="s">
        <v>111</v>
      </c>
      <c r="AC409" s="120" t="s">
        <v>111</v>
      </c>
      <c r="AD409" s="128">
        <f t="shared" si="444"/>
        <v>0</v>
      </c>
      <c r="AE409" s="119" t="s">
        <v>111</v>
      </c>
      <c r="AF409" s="120" t="s">
        <v>111</v>
      </c>
      <c r="AG409" s="128">
        <f t="shared" si="445"/>
        <v>0</v>
      </c>
      <c r="AH409" s="119" t="s">
        <v>111</v>
      </c>
      <c r="AI409" s="120" t="s">
        <v>111</v>
      </c>
      <c r="AJ409" s="128">
        <f t="shared" si="446"/>
        <v>0</v>
      </c>
      <c r="AK409" s="119" t="s">
        <v>111</v>
      </c>
      <c r="AL409" s="120" t="s">
        <v>111</v>
      </c>
      <c r="AM409" s="128">
        <f t="shared" si="447"/>
        <v>0</v>
      </c>
      <c r="AN409" s="118">
        <v>25</v>
      </c>
      <c r="AO409" s="113" t="s">
        <v>4</v>
      </c>
    </row>
    <row r="410" spans="2:41" ht="15" customHeight="1">
      <c r="B410" s="86">
        <v>26</v>
      </c>
      <c r="C410" s="87" t="s">
        <v>5</v>
      </c>
      <c r="D410" s="88"/>
      <c r="E410" s="89"/>
      <c r="F410" s="92">
        <f t="shared" si="436"/>
        <v>0</v>
      </c>
      <c r="G410" s="88"/>
      <c r="H410" s="89"/>
      <c r="I410" s="92">
        <f t="shared" si="437"/>
        <v>0</v>
      </c>
      <c r="J410" s="88" t="s">
        <v>111</v>
      </c>
      <c r="K410" s="89"/>
      <c r="L410" s="92">
        <f t="shared" si="438"/>
        <v>0</v>
      </c>
      <c r="M410" s="88" t="s">
        <v>111</v>
      </c>
      <c r="N410" s="89"/>
      <c r="O410" s="92">
        <f t="shared" si="439"/>
        <v>0</v>
      </c>
      <c r="P410" s="88">
        <v>0.125</v>
      </c>
      <c r="Q410" s="89">
        <v>0.52083333333333337</v>
      </c>
      <c r="R410" s="92">
        <f t="shared" si="440"/>
        <v>0.39583333333333337</v>
      </c>
      <c r="S410" s="88">
        <v>0.125</v>
      </c>
      <c r="T410" s="89">
        <v>0.52083333333333337</v>
      </c>
      <c r="U410" s="92">
        <f t="shared" si="441"/>
        <v>0.39583333333333337</v>
      </c>
      <c r="V410" s="88"/>
      <c r="W410" s="89"/>
      <c r="X410" s="92">
        <f t="shared" si="442"/>
        <v>0</v>
      </c>
      <c r="Y410" s="88">
        <v>0.125</v>
      </c>
      <c r="Z410" s="89">
        <v>0.52083333333333337</v>
      </c>
      <c r="AA410" s="92">
        <f t="shared" si="443"/>
        <v>0.39583333333333337</v>
      </c>
      <c r="AB410" s="88" t="s">
        <v>111</v>
      </c>
      <c r="AC410" s="89" t="s">
        <v>111</v>
      </c>
      <c r="AD410" s="92">
        <f t="shared" si="444"/>
        <v>0</v>
      </c>
      <c r="AE410" s="88" t="s">
        <v>111</v>
      </c>
      <c r="AF410" s="89" t="s">
        <v>111</v>
      </c>
      <c r="AG410" s="92">
        <f t="shared" si="445"/>
        <v>0</v>
      </c>
      <c r="AH410" s="88" t="s">
        <v>111</v>
      </c>
      <c r="AI410" s="89" t="s">
        <v>111</v>
      </c>
      <c r="AJ410" s="92">
        <f t="shared" si="446"/>
        <v>0</v>
      </c>
      <c r="AK410" s="88" t="s">
        <v>111</v>
      </c>
      <c r="AL410" s="89" t="s">
        <v>111</v>
      </c>
      <c r="AM410" s="92">
        <f t="shared" si="447"/>
        <v>0</v>
      </c>
      <c r="AN410" s="86">
        <v>26</v>
      </c>
      <c r="AO410" s="87" t="s">
        <v>5</v>
      </c>
    </row>
    <row r="411" spans="2:41" ht="15" customHeight="1">
      <c r="B411" s="86">
        <v>27</v>
      </c>
      <c r="C411" s="87" t="s">
        <v>6</v>
      </c>
      <c r="D411" s="88"/>
      <c r="E411" s="89"/>
      <c r="F411" s="92">
        <f t="shared" si="436"/>
        <v>0</v>
      </c>
      <c r="G411" s="88"/>
      <c r="H411" s="89"/>
      <c r="I411" s="92">
        <f t="shared" si="437"/>
        <v>0</v>
      </c>
      <c r="J411" s="88">
        <v>0.41666666666666669</v>
      </c>
      <c r="K411" s="89">
        <v>0.875</v>
      </c>
      <c r="L411" s="92">
        <f t="shared" si="438"/>
        <v>0.45833333333333331</v>
      </c>
      <c r="M411" s="88">
        <v>0.125</v>
      </c>
      <c r="N411" s="89">
        <v>0.52083333333333337</v>
      </c>
      <c r="O411" s="92">
        <f t="shared" si="439"/>
        <v>0.39583333333333337</v>
      </c>
      <c r="P411" s="88"/>
      <c r="Q411" s="89"/>
      <c r="R411" s="92">
        <f t="shared" si="440"/>
        <v>0</v>
      </c>
      <c r="S411" s="88"/>
      <c r="T411" s="89"/>
      <c r="U411" s="92">
        <f t="shared" si="441"/>
        <v>0</v>
      </c>
      <c r="V411" s="88" t="s">
        <v>111</v>
      </c>
      <c r="W411" s="89"/>
      <c r="X411" s="92">
        <f t="shared" si="442"/>
        <v>0</v>
      </c>
      <c r="Y411" s="88"/>
      <c r="Z411" s="89"/>
      <c r="AA411" s="92">
        <f t="shared" si="443"/>
        <v>0</v>
      </c>
      <c r="AB411" s="88" t="s">
        <v>111</v>
      </c>
      <c r="AC411" s="89" t="s">
        <v>111</v>
      </c>
      <c r="AD411" s="92">
        <f t="shared" si="444"/>
        <v>0</v>
      </c>
      <c r="AE411" s="88" t="s">
        <v>111</v>
      </c>
      <c r="AF411" s="89" t="s">
        <v>111</v>
      </c>
      <c r="AG411" s="92">
        <f t="shared" si="445"/>
        <v>0</v>
      </c>
      <c r="AH411" s="88" t="s">
        <v>111</v>
      </c>
      <c r="AI411" s="89" t="s">
        <v>111</v>
      </c>
      <c r="AJ411" s="92">
        <f t="shared" si="446"/>
        <v>0</v>
      </c>
      <c r="AK411" s="88" t="s">
        <v>111</v>
      </c>
      <c r="AL411" s="89" t="s">
        <v>111</v>
      </c>
      <c r="AM411" s="92">
        <f t="shared" si="447"/>
        <v>0</v>
      </c>
      <c r="AN411" s="86">
        <v>27</v>
      </c>
      <c r="AO411" s="87" t="s">
        <v>6</v>
      </c>
    </row>
    <row r="412" spans="2:41" ht="15" customHeight="1">
      <c r="B412" s="118">
        <v>28</v>
      </c>
      <c r="C412" s="113" t="s">
        <v>7</v>
      </c>
      <c r="D412" s="119"/>
      <c r="E412" s="120"/>
      <c r="F412" s="128">
        <f t="shared" si="436"/>
        <v>0</v>
      </c>
      <c r="G412" s="119" t="s">
        <v>111</v>
      </c>
      <c r="H412" s="120"/>
      <c r="I412" s="128">
        <f t="shared" si="437"/>
        <v>0</v>
      </c>
      <c r="J412" s="119" t="s">
        <v>111</v>
      </c>
      <c r="K412" s="120"/>
      <c r="L412" s="128">
        <f t="shared" si="438"/>
        <v>0</v>
      </c>
      <c r="M412" s="119" t="s">
        <v>111</v>
      </c>
      <c r="N412" s="120"/>
      <c r="O412" s="128">
        <f t="shared" si="439"/>
        <v>0</v>
      </c>
      <c r="P412" s="119" t="s">
        <v>111</v>
      </c>
      <c r="Q412" s="120"/>
      <c r="R412" s="128">
        <f t="shared" si="440"/>
        <v>0</v>
      </c>
      <c r="S412" s="119">
        <v>0.54166666666666663</v>
      </c>
      <c r="T412" s="120">
        <v>0.875</v>
      </c>
      <c r="U412" s="128">
        <f t="shared" si="441"/>
        <v>0.33333333333333337</v>
      </c>
      <c r="V412" s="119">
        <v>0.75</v>
      </c>
      <c r="W412" s="120">
        <v>1.25</v>
      </c>
      <c r="X412" s="128">
        <f t="shared" si="442"/>
        <v>0.5</v>
      </c>
      <c r="Y412" s="119" t="s">
        <v>111</v>
      </c>
      <c r="Z412" s="120"/>
      <c r="AA412" s="128">
        <f t="shared" si="443"/>
        <v>0</v>
      </c>
      <c r="AB412" s="119" t="s">
        <v>111</v>
      </c>
      <c r="AC412" s="120" t="s">
        <v>111</v>
      </c>
      <c r="AD412" s="128">
        <f t="shared" si="444"/>
        <v>0</v>
      </c>
      <c r="AE412" s="119" t="s">
        <v>111</v>
      </c>
      <c r="AF412" s="120" t="s">
        <v>111</v>
      </c>
      <c r="AG412" s="128">
        <f t="shared" si="445"/>
        <v>0</v>
      </c>
      <c r="AH412" s="119" t="s">
        <v>111</v>
      </c>
      <c r="AI412" s="120" t="s">
        <v>111</v>
      </c>
      <c r="AJ412" s="128">
        <f t="shared" si="446"/>
        <v>0</v>
      </c>
      <c r="AK412" s="119" t="s">
        <v>111</v>
      </c>
      <c r="AL412" s="120" t="s">
        <v>111</v>
      </c>
      <c r="AM412" s="128">
        <f t="shared" si="447"/>
        <v>0</v>
      </c>
      <c r="AN412" s="118">
        <v>28</v>
      </c>
      <c r="AO412" s="113" t="s">
        <v>7</v>
      </c>
    </row>
    <row r="413" spans="2:41" ht="15" customHeight="1">
      <c r="B413" s="118">
        <v>29</v>
      </c>
      <c r="C413" s="113" t="s">
        <v>8</v>
      </c>
      <c r="D413" s="119"/>
      <c r="E413" s="120"/>
      <c r="F413" s="128">
        <f t="shared" si="436"/>
        <v>0</v>
      </c>
      <c r="G413" s="119">
        <v>0.75</v>
      </c>
      <c r="H413" s="120">
        <v>1.25</v>
      </c>
      <c r="I413" s="128">
        <f t="shared" si="437"/>
        <v>0.5</v>
      </c>
      <c r="J413" s="119" t="s">
        <v>111</v>
      </c>
      <c r="K413" s="120"/>
      <c r="L413" s="128">
        <f t="shared" si="438"/>
        <v>0</v>
      </c>
      <c r="M413" s="119" t="s">
        <v>111</v>
      </c>
      <c r="N413" s="120"/>
      <c r="O413" s="128">
        <f t="shared" si="439"/>
        <v>0</v>
      </c>
      <c r="P413" s="119" t="s">
        <v>111</v>
      </c>
      <c r="Q413" s="120"/>
      <c r="R413" s="128">
        <f t="shared" si="440"/>
        <v>0</v>
      </c>
      <c r="S413" s="119" t="s">
        <v>111</v>
      </c>
      <c r="T413" s="120"/>
      <c r="U413" s="128">
        <f t="shared" si="441"/>
        <v>0</v>
      </c>
      <c r="V413" s="119">
        <v>0.75</v>
      </c>
      <c r="W413" s="120">
        <v>1.25</v>
      </c>
      <c r="X413" s="128">
        <f t="shared" si="442"/>
        <v>0.5</v>
      </c>
      <c r="Y413" s="119" t="s">
        <v>111</v>
      </c>
      <c r="Z413" s="120"/>
      <c r="AA413" s="128">
        <f t="shared" si="443"/>
        <v>0</v>
      </c>
      <c r="AB413" s="119" t="s">
        <v>111</v>
      </c>
      <c r="AC413" s="120" t="s">
        <v>111</v>
      </c>
      <c r="AD413" s="128">
        <f t="shared" si="444"/>
        <v>0</v>
      </c>
      <c r="AE413" s="119" t="s">
        <v>111</v>
      </c>
      <c r="AF413" s="120" t="s">
        <v>111</v>
      </c>
      <c r="AG413" s="128">
        <f t="shared" si="445"/>
        <v>0</v>
      </c>
      <c r="AH413" s="119" t="s">
        <v>111</v>
      </c>
      <c r="AI413" s="120" t="s">
        <v>111</v>
      </c>
      <c r="AJ413" s="128">
        <f t="shared" si="446"/>
        <v>0</v>
      </c>
      <c r="AK413" s="119" t="s">
        <v>111</v>
      </c>
      <c r="AL413" s="120" t="s">
        <v>111</v>
      </c>
      <c r="AM413" s="128">
        <f t="shared" si="447"/>
        <v>0</v>
      </c>
      <c r="AN413" s="118">
        <v>29</v>
      </c>
      <c r="AO413" s="113" t="s">
        <v>8</v>
      </c>
    </row>
    <row r="414" spans="2:41" ht="15" customHeight="1">
      <c r="B414" s="118">
        <v>30</v>
      </c>
      <c r="C414" s="113" t="s">
        <v>12</v>
      </c>
      <c r="D414" s="119"/>
      <c r="E414" s="120"/>
      <c r="F414" s="128">
        <f t="shared" si="436"/>
        <v>0</v>
      </c>
      <c r="G414" s="119">
        <v>0.91666666666666663</v>
      </c>
      <c r="H414" s="120">
        <v>1.25</v>
      </c>
      <c r="I414" s="128">
        <f t="shared" si="437"/>
        <v>0.33333333333333337</v>
      </c>
      <c r="J414" s="119" t="s">
        <v>111</v>
      </c>
      <c r="K414" s="120"/>
      <c r="L414" s="128">
        <f t="shared" si="438"/>
        <v>0</v>
      </c>
      <c r="M414" s="119" t="s">
        <v>111</v>
      </c>
      <c r="N414" s="120"/>
      <c r="O414" s="128">
        <f t="shared" si="439"/>
        <v>0</v>
      </c>
      <c r="P414" s="119" t="s">
        <v>111</v>
      </c>
      <c r="Q414" s="120"/>
      <c r="R414" s="128">
        <f t="shared" si="440"/>
        <v>0</v>
      </c>
      <c r="S414" s="119" t="s">
        <v>111</v>
      </c>
      <c r="T414" s="120"/>
      <c r="U414" s="128">
        <f t="shared" si="441"/>
        <v>0</v>
      </c>
      <c r="V414" s="119"/>
      <c r="W414" s="120"/>
      <c r="X414" s="128">
        <f t="shared" si="442"/>
        <v>0</v>
      </c>
      <c r="Y414" s="119" t="s">
        <v>111</v>
      </c>
      <c r="Z414" s="120"/>
      <c r="AA414" s="128">
        <f t="shared" si="443"/>
        <v>0</v>
      </c>
      <c r="AB414" s="119" t="s">
        <v>111</v>
      </c>
      <c r="AC414" s="120" t="s">
        <v>111</v>
      </c>
      <c r="AD414" s="128">
        <f t="shared" si="444"/>
        <v>0</v>
      </c>
      <c r="AE414" s="119" t="s">
        <v>111</v>
      </c>
      <c r="AF414" s="120" t="s">
        <v>111</v>
      </c>
      <c r="AG414" s="128">
        <f t="shared" si="445"/>
        <v>0</v>
      </c>
      <c r="AH414" s="119" t="s">
        <v>111</v>
      </c>
      <c r="AI414" s="120" t="s">
        <v>111</v>
      </c>
      <c r="AJ414" s="128">
        <f t="shared" si="446"/>
        <v>0</v>
      </c>
      <c r="AK414" s="119" t="s">
        <v>111</v>
      </c>
      <c r="AL414" s="120" t="s">
        <v>111</v>
      </c>
      <c r="AM414" s="128">
        <f t="shared" si="447"/>
        <v>0</v>
      </c>
      <c r="AN414" s="118">
        <v>30</v>
      </c>
      <c r="AO414" s="113" t="s">
        <v>12</v>
      </c>
    </row>
    <row r="415" spans="2:41" ht="15" customHeight="1">
      <c r="B415" s="118">
        <v>31</v>
      </c>
      <c r="C415" s="113" t="s">
        <v>85</v>
      </c>
      <c r="D415" s="119"/>
      <c r="E415" s="120"/>
      <c r="F415" s="128">
        <f t="shared" si="436"/>
        <v>0</v>
      </c>
      <c r="G415" s="119"/>
      <c r="H415" s="120"/>
      <c r="I415" s="128">
        <f t="shared" si="437"/>
        <v>0</v>
      </c>
      <c r="J415" s="119">
        <v>0.125</v>
      </c>
      <c r="K415" s="120">
        <v>0.52083333333333337</v>
      </c>
      <c r="L415" s="128">
        <f t="shared" si="438"/>
        <v>0.39583333333333337</v>
      </c>
      <c r="M415" s="119" t="s">
        <v>111</v>
      </c>
      <c r="N415" s="120"/>
      <c r="O415" s="128">
        <f t="shared" si="439"/>
        <v>0</v>
      </c>
      <c r="P415" s="119">
        <v>0.125</v>
      </c>
      <c r="Q415" s="120">
        <v>0.52083333333333337</v>
      </c>
      <c r="R415" s="128">
        <f t="shared" si="440"/>
        <v>0.39583333333333337</v>
      </c>
      <c r="S415" s="119"/>
      <c r="T415" s="120"/>
      <c r="U415" s="128">
        <f t="shared" si="441"/>
        <v>0</v>
      </c>
      <c r="V415" s="119">
        <v>0.4375</v>
      </c>
      <c r="W415" s="120">
        <v>0.9375</v>
      </c>
      <c r="X415" s="128">
        <f t="shared" si="442"/>
        <v>0.5</v>
      </c>
      <c r="Y415" s="119" t="s">
        <v>111</v>
      </c>
      <c r="Z415" s="120"/>
      <c r="AA415" s="128">
        <f t="shared" si="443"/>
        <v>0</v>
      </c>
      <c r="AB415" s="119" t="s">
        <v>111</v>
      </c>
      <c r="AC415" s="120" t="s">
        <v>111</v>
      </c>
      <c r="AD415" s="128">
        <f t="shared" si="444"/>
        <v>0</v>
      </c>
      <c r="AE415" s="119" t="s">
        <v>111</v>
      </c>
      <c r="AF415" s="120" t="s">
        <v>111</v>
      </c>
      <c r="AG415" s="128">
        <f t="shared" si="445"/>
        <v>0</v>
      </c>
      <c r="AH415" s="119" t="s">
        <v>111</v>
      </c>
      <c r="AI415" s="120" t="s">
        <v>111</v>
      </c>
      <c r="AJ415" s="128">
        <f t="shared" si="446"/>
        <v>0</v>
      </c>
      <c r="AK415" s="119" t="s">
        <v>111</v>
      </c>
      <c r="AL415" s="120" t="s">
        <v>111</v>
      </c>
      <c r="AM415" s="128">
        <f t="shared" si="447"/>
        <v>0</v>
      </c>
      <c r="AN415" s="118">
        <v>31</v>
      </c>
      <c r="AO415" s="113" t="s">
        <v>85</v>
      </c>
    </row>
    <row r="416" spans="2:41" ht="15" customHeight="1" thickBot="1">
      <c r="B416" s="85"/>
      <c r="C416" s="39"/>
      <c r="D416" s="77"/>
      <c r="E416" s="78"/>
      <c r="F416" s="50"/>
      <c r="G416" s="77"/>
      <c r="H416" s="78"/>
      <c r="I416" s="50"/>
      <c r="J416" s="77"/>
      <c r="K416" s="78"/>
      <c r="L416" s="50"/>
      <c r="M416" s="77"/>
      <c r="N416" s="78"/>
      <c r="O416" s="50"/>
      <c r="P416" s="77"/>
      <c r="Q416" s="78"/>
      <c r="R416" s="50"/>
      <c r="S416" s="77"/>
      <c r="T416" s="78"/>
      <c r="U416" s="50"/>
      <c r="V416" s="77"/>
      <c r="W416" s="78"/>
      <c r="X416" s="50"/>
      <c r="Y416" s="77"/>
      <c r="Z416" s="78"/>
      <c r="AA416" s="50"/>
      <c r="AB416" s="77"/>
      <c r="AC416" s="78"/>
      <c r="AD416" s="50"/>
      <c r="AE416" s="77"/>
      <c r="AF416" s="78"/>
      <c r="AG416" s="50"/>
      <c r="AH416" s="77"/>
      <c r="AI416" s="78"/>
      <c r="AJ416" s="50"/>
      <c r="AK416" s="77"/>
      <c r="AL416" s="78"/>
      <c r="AM416" s="50"/>
      <c r="AN416" s="85"/>
      <c r="AO416" s="39"/>
    </row>
    <row r="417" spans="2:41" ht="15" customHeight="1" thickBot="1">
      <c r="B417" s="172"/>
      <c r="C417" s="174"/>
      <c r="D417" s="175" t="s">
        <v>116</v>
      </c>
      <c r="E417" s="176"/>
      <c r="F417" s="177"/>
      <c r="G417" s="175" t="s">
        <v>117</v>
      </c>
      <c r="H417" s="176"/>
      <c r="I417" s="177"/>
      <c r="J417" s="175" t="s">
        <v>118</v>
      </c>
      <c r="K417" s="176"/>
      <c r="L417" s="177"/>
      <c r="M417" s="175" t="s">
        <v>119</v>
      </c>
      <c r="N417" s="176"/>
      <c r="O417" s="177"/>
      <c r="P417" s="175" t="s">
        <v>120</v>
      </c>
      <c r="Q417" s="176"/>
      <c r="R417" s="177"/>
      <c r="S417" s="181" t="s">
        <v>122</v>
      </c>
      <c r="T417" s="182"/>
      <c r="U417" s="183"/>
      <c r="V417" s="187" t="s">
        <v>126</v>
      </c>
      <c r="W417" s="188"/>
      <c r="X417" s="189"/>
      <c r="Y417" s="187" t="s">
        <v>128</v>
      </c>
      <c r="Z417" s="188"/>
      <c r="AA417" s="189"/>
      <c r="AB417" s="175"/>
      <c r="AC417" s="176"/>
      <c r="AD417" s="177"/>
      <c r="AE417" s="181"/>
      <c r="AF417" s="182"/>
      <c r="AG417" s="183"/>
      <c r="AH417" s="175"/>
      <c r="AI417" s="176"/>
      <c r="AJ417" s="177"/>
      <c r="AK417" s="175"/>
      <c r="AL417" s="176"/>
      <c r="AM417" s="177"/>
      <c r="AN417" s="168" t="s">
        <v>0</v>
      </c>
      <c r="AO417" s="168" t="s">
        <v>1</v>
      </c>
    </row>
    <row r="418" spans="2:41" ht="15" customHeight="1" thickBot="1">
      <c r="B418" s="172"/>
      <c r="C418" s="172"/>
      <c r="D418" s="178"/>
      <c r="E418" s="179"/>
      <c r="F418" s="180"/>
      <c r="G418" s="178"/>
      <c r="H418" s="179"/>
      <c r="I418" s="180"/>
      <c r="J418" s="178"/>
      <c r="K418" s="179"/>
      <c r="L418" s="180"/>
      <c r="M418" s="178"/>
      <c r="N418" s="179"/>
      <c r="O418" s="180"/>
      <c r="P418" s="178"/>
      <c r="Q418" s="179"/>
      <c r="R418" s="180"/>
      <c r="S418" s="184"/>
      <c r="T418" s="185"/>
      <c r="U418" s="186"/>
      <c r="V418" s="190"/>
      <c r="W418" s="191"/>
      <c r="X418" s="192"/>
      <c r="Y418" s="190"/>
      <c r="Z418" s="191"/>
      <c r="AA418" s="192"/>
      <c r="AB418" s="178"/>
      <c r="AC418" s="179"/>
      <c r="AD418" s="180"/>
      <c r="AE418" s="184"/>
      <c r="AF418" s="185"/>
      <c r="AG418" s="186"/>
      <c r="AH418" s="178"/>
      <c r="AI418" s="179"/>
      <c r="AJ418" s="180"/>
      <c r="AK418" s="178"/>
      <c r="AL418" s="179"/>
      <c r="AM418" s="180"/>
      <c r="AN418" s="168"/>
      <c r="AO418" s="168"/>
    </row>
    <row r="419" spans="2:41" ht="15" customHeight="1" thickBot="1">
      <c r="B419" s="172"/>
      <c r="C419" s="172"/>
      <c r="D419" s="169"/>
      <c r="E419" s="170"/>
      <c r="F419" s="171"/>
      <c r="G419" s="169"/>
      <c r="H419" s="170"/>
      <c r="I419" s="171"/>
      <c r="J419" s="169"/>
      <c r="K419" s="170"/>
      <c r="L419" s="171"/>
      <c r="M419" s="169"/>
      <c r="N419" s="170"/>
      <c r="O419" s="171"/>
      <c r="P419" s="169"/>
      <c r="Q419" s="170"/>
      <c r="R419" s="171"/>
      <c r="S419" s="169"/>
      <c r="T419" s="170"/>
      <c r="U419" s="171"/>
      <c r="V419" s="169"/>
      <c r="W419" s="170"/>
      <c r="X419" s="171"/>
      <c r="Y419" s="169"/>
      <c r="Z419" s="170"/>
      <c r="AA419" s="171"/>
      <c r="AB419" s="169"/>
      <c r="AC419" s="170"/>
      <c r="AD419" s="171"/>
      <c r="AE419" s="169"/>
      <c r="AF419" s="170"/>
      <c r="AG419" s="171"/>
      <c r="AH419" s="169"/>
      <c r="AI419" s="170"/>
      <c r="AJ419" s="171"/>
      <c r="AK419" s="169"/>
      <c r="AL419" s="170"/>
      <c r="AM419" s="171"/>
      <c r="AN419" s="168"/>
      <c r="AO419" s="168"/>
    </row>
    <row r="420" spans="2:41" ht="15" customHeight="1" thickBot="1">
      <c r="B420" s="173"/>
      <c r="C420" s="173"/>
      <c r="D420" s="9"/>
      <c r="E420" s="6"/>
      <c r="F420" s="7"/>
      <c r="G420" s="9"/>
      <c r="H420" s="6"/>
      <c r="I420" s="7"/>
      <c r="J420" s="9"/>
      <c r="K420" s="6"/>
      <c r="L420" s="7"/>
      <c r="M420" s="9"/>
      <c r="N420" s="6"/>
      <c r="O420" s="7"/>
      <c r="P420" s="9"/>
      <c r="Q420" s="6"/>
      <c r="R420" s="7"/>
      <c r="S420" s="5"/>
      <c r="T420" s="6"/>
      <c r="U420" s="7"/>
      <c r="V420" s="9"/>
      <c r="W420" s="6"/>
      <c r="X420" s="7"/>
      <c r="Y420" s="9"/>
      <c r="Z420" s="6"/>
      <c r="AA420" s="7"/>
      <c r="AB420" s="5"/>
      <c r="AC420" s="6"/>
      <c r="AD420" s="7"/>
      <c r="AE420" s="9"/>
      <c r="AF420" s="6"/>
      <c r="AG420" s="7"/>
      <c r="AH420" s="9"/>
      <c r="AI420" s="6"/>
      <c r="AJ420" s="7"/>
      <c r="AK420" s="9"/>
      <c r="AL420" s="6"/>
      <c r="AM420" s="7"/>
      <c r="AN420" s="168"/>
      <c r="AO420" s="168"/>
    </row>
    <row r="421" spans="2:41" ht="15" customHeight="1" thickBot="1"/>
    <row r="422" spans="2:41" ht="15" customHeight="1" thickBot="1">
      <c r="B422" s="168" t="s">
        <v>0</v>
      </c>
      <c r="C422" s="168" t="s">
        <v>1</v>
      </c>
      <c r="D422" s="196" t="s">
        <v>133</v>
      </c>
      <c r="E422" s="197"/>
      <c r="F422" s="198"/>
      <c r="G422" s="336" t="s">
        <v>135</v>
      </c>
      <c r="H422" s="337"/>
      <c r="I422" s="338"/>
      <c r="J422" s="175" t="s">
        <v>137</v>
      </c>
      <c r="K422" s="176"/>
      <c r="L422" s="177"/>
      <c r="M422" s="175" t="s">
        <v>139</v>
      </c>
      <c r="N422" s="176"/>
      <c r="O422" s="177"/>
      <c r="P422" s="175" t="s">
        <v>138</v>
      </c>
      <c r="Q422" s="176"/>
      <c r="R422" s="177"/>
      <c r="S422" s="330" t="s">
        <v>141</v>
      </c>
      <c r="T422" s="331"/>
      <c r="U422" s="332"/>
      <c r="V422" s="342" t="s">
        <v>142</v>
      </c>
      <c r="W422" s="343"/>
      <c r="X422" s="344"/>
      <c r="Y422" s="342" t="s">
        <v>143</v>
      </c>
      <c r="Z422" s="343"/>
      <c r="AA422" s="344"/>
      <c r="AB422" s="342" t="s">
        <v>144</v>
      </c>
      <c r="AC422" s="343"/>
      <c r="AD422" s="344"/>
      <c r="AE422" s="330" t="s">
        <v>145</v>
      </c>
      <c r="AF422" s="331"/>
      <c r="AG422" s="332"/>
      <c r="AH422" s="342" t="s">
        <v>146</v>
      </c>
      <c r="AI422" s="343"/>
      <c r="AJ422" s="344"/>
      <c r="AK422" s="342" t="s">
        <v>147</v>
      </c>
      <c r="AL422" s="343"/>
      <c r="AM422" s="344"/>
      <c r="AN422" s="168" t="s">
        <v>0</v>
      </c>
      <c r="AO422" s="168" t="s">
        <v>1</v>
      </c>
    </row>
    <row r="423" spans="2:41" ht="15" customHeight="1" thickBot="1">
      <c r="B423" s="168"/>
      <c r="C423" s="168"/>
      <c r="D423" s="199"/>
      <c r="E423" s="200"/>
      <c r="F423" s="201"/>
      <c r="G423" s="339"/>
      <c r="H423" s="340"/>
      <c r="I423" s="341"/>
      <c r="J423" s="178"/>
      <c r="K423" s="179"/>
      <c r="L423" s="180"/>
      <c r="M423" s="178"/>
      <c r="N423" s="179"/>
      <c r="O423" s="180"/>
      <c r="P423" s="178"/>
      <c r="Q423" s="179"/>
      <c r="R423" s="180"/>
      <c r="S423" s="333"/>
      <c r="T423" s="334"/>
      <c r="U423" s="335"/>
      <c r="V423" s="345"/>
      <c r="W423" s="346"/>
      <c r="X423" s="347"/>
      <c r="Y423" s="345"/>
      <c r="Z423" s="346"/>
      <c r="AA423" s="347"/>
      <c r="AB423" s="345"/>
      <c r="AC423" s="346"/>
      <c r="AD423" s="347"/>
      <c r="AE423" s="333"/>
      <c r="AF423" s="334"/>
      <c r="AG423" s="335"/>
      <c r="AH423" s="345"/>
      <c r="AI423" s="346"/>
      <c r="AJ423" s="347"/>
      <c r="AK423" s="345"/>
      <c r="AL423" s="346"/>
      <c r="AM423" s="347"/>
      <c r="AN423" s="168"/>
      <c r="AO423" s="168"/>
    </row>
    <row r="424" spans="2:41" ht="15" customHeight="1" thickBot="1">
      <c r="B424" s="168"/>
      <c r="C424" s="208"/>
      <c r="D424" s="169">
        <v>109</v>
      </c>
      <c r="E424" s="170"/>
      <c r="F424" s="171"/>
      <c r="G424" s="169">
        <v>110</v>
      </c>
      <c r="H424" s="170"/>
      <c r="I424" s="171"/>
      <c r="J424" s="169">
        <v>111</v>
      </c>
      <c r="K424" s="170"/>
      <c r="L424" s="171"/>
      <c r="M424" s="169">
        <v>112</v>
      </c>
      <c r="N424" s="170"/>
      <c r="O424" s="171"/>
      <c r="P424" s="169">
        <v>113</v>
      </c>
      <c r="Q424" s="170"/>
      <c r="R424" s="171"/>
      <c r="S424" s="169">
        <v>114</v>
      </c>
      <c r="T424" s="170"/>
      <c r="U424" s="171"/>
      <c r="V424" s="169">
        <v>115</v>
      </c>
      <c r="W424" s="170"/>
      <c r="X424" s="171"/>
      <c r="Y424" s="169">
        <v>116</v>
      </c>
      <c r="Z424" s="170"/>
      <c r="AA424" s="171"/>
      <c r="AB424" s="169">
        <v>117</v>
      </c>
      <c r="AC424" s="170"/>
      <c r="AD424" s="171"/>
      <c r="AE424" s="169">
        <v>118</v>
      </c>
      <c r="AF424" s="170"/>
      <c r="AG424" s="171"/>
      <c r="AH424" s="169">
        <v>119</v>
      </c>
      <c r="AI424" s="170"/>
      <c r="AJ424" s="171"/>
      <c r="AK424" s="169">
        <v>120</v>
      </c>
      <c r="AL424" s="170"/>
      <c r="AM424" s="171"/>
      <c r="AN424" s="168"/>
      <c r="AO424" s="168"/>
    </row>
    <row r="425" spans="2:41" ht="15" customHeight="1" thickBot="1">
      <c r="B425" s="168"/>
      <c r="C425" s="208"/>
      <c r="D425" s="2"/>
      <c r="E425" s="3"/>
      <c r="F425" s="4"/>
      <c r="G425" s="2"/>
      <c r="H425" s="3"/>
      <c r="I425" s="4"/>
      <c r="J425" s="2"/>
      <c r="K425" s="3"/>
      <c r="L425" s="4"/>
      <c r="M425" s="2"/>
      <c r="N425" s="3"/>
      <c r="O425" s="4"/>
      <c r="P425" s="2"/>
      <c r="Q425" s="3"/>
      <c r="R425" s="4"/>
      <c r="S425" s="2"/>
      <c r="T425" s="3"/>
      <c r="U425" s="4"/>
      <c r="V425" s="5"/>
      <c r="W425" s="6"/>
      <c r="X425" s="7"/>
      <c r="Y425" s="2"/>
      <c r="Z425" s="3"/>
      <c r="AA425" s="4"/>
      <c r="AB425" s="2"/>
      <c r="AC425" s="3"/>
      <c r="AD425" s="4"/>
      <c r="AE425" s="5"/>
      <c r="AF425" s="6"/>
      <c r="AG425" s="7"/>
      <c r="AH425" s="2"/>
      <c r="AI425" s="3"/>
      <c r="AJ425" s="4"/>
      <c r="AK425" s="5"/>
      <c r="AL425" s="6"/>
      <c r="AM425" s="7"/>
      <c r="AN425" s="168"/>
      <c r="AO425" s="168"/>
    </row>
    <row r="426" spans="2:41" ht="15" customHeight="1" thickBot="1">
      <c r="B426" s="45"/>
      <c r="C426" s="34"/>
      <c r="D426" s="162">
        <f>SUM(F427:F457)</f>
        <v>4.0833333333333339</v>
      </c>
      <c r="E426" s="163"/>
      <c r="F426" s="164"/>
      <c r="G426" s="193">
        <f>SUM(I427:I457)</f>
        <v>3</v>
      </c>
      <c r="H426" s="194"/>
      <c r="I426" s="195"/>
      <c r="J426" s="162">
        <f>SUM(L427:L457)</f>
        <v>2.6875000000000004</v>
      </c>
      <c r="K426" s="163"/>
      <c r="L426" s="164"/>
      <c r="M426" s="165">
        <f t="shared" ref="M426" si="449">SUM(O427:O457)</f>
        <v>1.7708333333333335</v>
      </c>
      <c r="N426" s="165"/>
      <c r="O426" s="166"/>
      <c r="P426" s="167">
        <f t="shared" ref="P426" si="450">SUM(R427:R457)</f>
        <v>6.7083333333333348</v>
      </c>
      <c r="Q426" s="165"/>
      <c r="R426" s="166"/>
      <c r="S426" s="167">
        <f t="shared" ref="S426" si="451">SUM(U427:U457)</f>
        <v>0</v>
      </c>
      <c r="T426" s="165"/>
      <c r="U426" s="166"/>
      <c r="V426" s="167">
        <f t="shared" ref="V426" si="452">SUM(X427:X457)</f>
        <v>5.5416666666666687</v>
      </c>
      <c r="W426" s="165"/>
      <c r="X426" s="166"/>
      <c r="Y426" s="167">
        <f t="shared" ref="Y426" si="453">SUM(AA427:AA457)</f>
        <v>5.5416666666666687</v>
      </c>
      <c r="Z426" s="165"/>
      <c r="AA426" s="166"/>
      <c r="AB426" s="167">
        <f t="shared" ref="AB426" si="454">SUM(AD427:AD457)</f>
        <v>5.5416666666666687</v>
      </c>
      <c r="AC426" s="165"/>
      <c r="AD426" s="166"/>
      <c r="AE426" s="167">
        <f t="shared" ref="AE426" si="455">SUM(AG427:AG457)</f>
        <v>5.5416666666666696</v>
      </c>
      <c r="AF426" s="165"/>
      <c r="AG426" s="166"/>
      <c r="AH426" s="167">
        <f t="shared" ref="AH426" si="456">SUM(AJ427:AJ457)</f>
        <v>5.5416666666666696</v>
      </c>
      <c r="AI426" s="165"/>
      <c r="AJ426" s="166"/>
      <c r="AK426" s="167">
        <f t="shared" ref="AK426" si="457">SUM(AM427:AM457)</f>
        <v>5.5416666666666679</v>
      </c>
      <c r="AL426" s="165"/>
      <c r="AM426" s="166"/>
      <c r="AN426" s="8"/>
      <c r="AO426" s="1"/>
    </row>
    <row r="427" spans="2:41" ht="15" customHeight="1">
      <c r="B427" s="112">
        <v>1</v>
      </c>
      <c r="C427" s="113" t="s">
        <v>8</v>
      </c>
      <c r="D427" s="143">
        <v>0.29166666666666669</v>
      </c>
      <c r="E427" s="144">
        <v>0.58333333333333337</v>
      </c>
      <c r="F427" s="127">
        <f>(IF(D427="u",0.333333333,IF(D427="W",0,IF(D427="C",F427,IF(D427="op",F427,(E427-D427))))))</f>
        <v>0.29166666666666669</v>
      </c>
      <c r="G427" s="114"/>
      <c r="H427" s="115"/>
      <c r="I427" s="127">
        <f>(IF(G427="u",0.333333333,IF(G427="W",0,IF(G427="C",I427,IF(G427="op",I427,(H427-G427))))))</f>
        <v>0</v>
      </c>
      <c r="J427" s="114"/>
      <c r="K427" s="115"/>
      <c r="L427" s="127">
        <f>(IF(J427="u",0.333333333,IF(J427="W",0,IF(J427="C",L427,IF(J427="op",L427,(K427-J427))))))</f>
        <v>0</v>
      </c>
      <c r="M427" s="114"/>
      <c r="N427" s="115"/>
      <c r="O427" s="127">
        <f>(IF(M427="u",0.333333333,IF(M427="W",0,IF(M427="C",O427,IF(M427="op",O427,(N427-M427))))))</f>
        <v>0</v>
      </c>
      <c r="P427" s="114">
        <v>0.375</v>
      </c>
      <c r="Q427" s="115">
        <v>0.66666666666666663</v>
      </c>
      <c r="R427" s="127">
        <f>(IF(P427="u",0.333333333,IF(P427="W",0,IF(P427="C",R427,IF(P427="op",R427,(Q427-P427))))))</f>
        <v>0.29166666666666663</v>
      </c>
      <c r="S427" s="114"/>
      <c r="T427" s="115"/>
      <c r="U427" s="127">
        <f>(IF(S427="u",0.333333333,IF(S427="W",0,IF(S427="C",U427,IF(S427="op",U427,(T427-S427))))))</f>
        <v>0</v>
      </c>
      <c r="V427" s="130">
        <v>0.29166666666666669</v>
      </c>
      <c r="W427" s="131">
        <v>0.58333333333333337</v>
      </c>
      <c r="X427" s="127">
        <f>(IF(V427="u",0.333333333,IF(V427="W",0,IF(V427="C",X427,IF(V427="op",X427,(W427-V427))))))</f>
        <v>0.29166666666666669</v>
      </c>
      <c r="Y427" s="124">
        <v>0.29166666666666669</v>
      </c>
      <c r="Z427" s="120">
        <v>0.58333333333333337</v>
      </c>
      <c r="AA427" s="127">
        <f>(IF(Y427="u",0.333333333,IF(Y427="W",0,IF(Y427="C",AA427,IF(Y427="op",AA427,(Z427-Y427))))))</f>
        <v>0.29166666666666669</v>
      </c>
      <c r="AB427" s="124">
        <v>0.29166666666666669</v>
      </c>
      <c r="AC427" s="120">
        <v>0.58333333333333337</v>
      </c>
      <c r="AD427" s="127">
        <f>(IF(AB427="u",0.333333333,IF(AB427="W",0,IF(AB427="C",AD427,IF(AB427="op",AD427,(AC427-AB427))))))</f>
        <v>0.29166666666666669</v>
      </c>
      <c r="AE427" s="130">
        <v>0.54166666666666663</v>
      </c>
      <c r="AF427" s="131">
        <v>0.83333333333333337</v>
      </c>
      <c r="AG427" s="127">
        <f>(IF(AE427="u",0.333333333,IF(AE427="W",0,IF(AE427="C",AG427,IF(AE427="op",AG427,(AF427-AE427))))))</f>
        <v>0.29166666666666674</v>
      </c>
      <c r="AH427" s="124">
        <v>0.54166666666666663</v>
      </c>
      <c r="AI427" s="120">
        <v>0.83333333333333337</v>
      </c>
      <c r="AJ427" s="127">
        <f>(IF(AH427="u",0.333333333,IF(AH427="W",0,IF(AH427="C",AJ427,IF(AH427="op",AJ427,(AI427-AH427))))))</f>
        <v>0.29166666666666674</v>
      </c>
      <c r="AK427" s="124">
        <v>0.29166666666666669</v>
      </c>
      <c r="AL427" s="120">
        <v>0.58333333333333337</v>
      </c>
      <c r="AM427" s="127">
        <f>(IF(AK427="u",0.333333333,IF(AK427="W",0,IF(AK427="C",AM427,IF(AK427="op",AM427,(AL427-AK427))))))</f>
        <v>0.29166666666666669</v>
      </c>
      <c r="AN427" s="112">
        <v>1</v>
      </c>
      <c r="AO427" s="113" t="s">
        <v>8</v>
      </c>
    </row>
    <row r="428" spans="2:41" ht="15" customHeight="1">
      <c r="B428" s="118">
        <v>2</v>
      </c>
      <c r="C428" s="113" t="s">
        <v>12</v>
      </c>
      <c r="D428" s="143">
        <v>0.29166666666666669</v>
      </c>
      <c r="E428" s="144">
        <v>0.58333333333333337</v>
      </c>
      <c r="F428" s="128">
        <f>(IF(D428="u",0.333333333,IF(D428="W",0,IF(D428="C",F428,IF(D428="op",F428,(E428-D428))))))</f>
        <v>0.29166666666666669</v>
      </c>
      <c r="G428" s="119"/>
      <c r="H428" s="120"/>
      <c r="I428" s="128">
        <f>(IF(G428="u",0.333333333,IF(G428="W",0,IF(G428="C",I428,IF(G428="op",I428,(H428-G428))))))</f>
        <v>0</v>
      </c>
      <c r="J428" s="119"/>
      <c r="K428" s="120"/>
      <c r="L428" s="128">
        <f>(IF(J428="u",0.333333333,IF(J428="W",0,IF(J428="C",L428,IF(J428="op",L428,(K428-J428))))))</f>
        <v>0</v>
      </c>
      <c r="M428" s="119"/>
      <c r="N428" s="120"/>
      <c r="O428" s="128">
        <f>(IF(M428="u",0.333333333,IF(M428="W",0,IF(M428="C",O428,IF(M428="op",O428,(N428-M428))))))</f>
        <v>0</v>
      </c>
      <c r="P428" s="119">
        <v>0.375</v>
      </c>
      <c r="Q428" s="120">
        <v>0.66666666666666663</v>
      </c>
      <c r="R428" s="128">
        <f>(IF(P428="u",0.333333333,IF(P428="W",0,IF(P428="C",R428,IF(P428="op",R428,(Q428-P428))))))</f>
        <v>0.29166666666666663</v>
      </c>
      <c r="S428" s="119"/>
      <c r="T428" s="120"/>
      <c r="U428" s="128">
        <f>(IF(S428="u",0.333333333,IF(S428="W",0,IF(S428="C",U428,IF(S428="op",U428,(T428-S428))))))</f>
        <v>0</v>
      </c>
      <c r="V428" s="124">
        <v>0.29166666666666669</v>
      </c>
      <c r="W428" s="120">
        <v>0.58333333333333337</v>
      </c>
      <c r="X428" s="128">
        <f>(IF(V428="u",0.333333333,IF(V428="W",0,IF(V428="C",X428,IF(V428="op",X428,(W428-V428))))))</f>
        <v>0.29166666666666669</v>
      </c>
      <c r="Y428" s="124">
        <v>0.29166666666666669</v>
      </c>
      <c r="Z428" s="120">
        <v>0.58333333333333337</v>
      </c>
      <c r="AA428" s="128">
        <f>(IF(Y428="u",0.333333333,IF(Y428="W",0,IF(Y428="C",AA428,IF(Y428="op",AA428,(Z428-Y428))))))</f>
        <v>0.29166666666666669</v>
      </c>
      <c r="AB428" s="124">
        <v>0.29166666666666669</v>
      </c>
      <c r="AC428" s="120">
        <v>0.58333333333333337</v>
      </c>
      <c r="AD428" s="128">
        <f>(IF(AB428="u",0.333333333,IF(AB428="W",0,IF(AB428="C",AD428,IF(AB428="op",AD428,(AC428-AB428))))))</f>
        <v>0.29166666666666669</v>
      </c>
      <c r="AE428" s="124">
        <v>0.54166666666666663</v>
      </c>
      <c r="AF428" s="120">
        <v>0.83333333333333337</v>
      </c>
      <c r="AG428" s="128">
        <f>(IF(AE428="u",0.333333333,IF(AE428="W",0,IF(AE428="C",AG428,IF(AE428="op",AG428,(AF428-AE428))))))</f>
        <v>0.29166666666666674</v>
      </c>
      <c r="AH428" s="124">
        <v>0.54166666666666663</v>
      </c>
      <c r="AI428" s="120">
        <v>0.83333333333333337</v>
      </c>
      <c r="AJ428" s="128">
        <f>(IF(AH428="u",0.333333333,IF(AH428="W",0,IF(AH428="C",AJ428,IF(AH428="op",AJ428,(AI428-AH428))))))</f>
        <v>0.29166666666666674</v>
      </c>
      <c r="AK428" s="124">
        <v>0.29166666666666669</v>
      </c>
      <c r="AL428" s="120">
        <v>0.58333333333333337</v>
      </c>
      <c r="AM428" s="128">
        <f>(IF(AK428="u",0.333333333,IF(AK428="W",0,IF(AK428="C",AM428,IF(AK428="op",AM428,(AL428-AK428))))))</f>
        <v>0.29166666666666669</v>
      </c>
      <c r="AN428" s="118">
        <v>2</v>
      </c>
      <c r="AO428" s="113" t="s">
        <v>12</v>
      </c>
    </row>
    <row r="429" spans="2:41" ht="15" customHeight="1">
      <c r="B429" s="118">
        <v>3</v>
      </c>
      <c r="C429" s="113" t="s">
        <v>85</v>
      </c>
      <c r="D429" s="143">
        <v>0.29166666666666669</v>
      </c>
      <c r="E429" s="144">
        <v>0.58333333333333337</v>
      </c>
      <c r="F429" s="128">
        <f t="shared" ref="F429:F430" si="458">(IF(D429="u",0.333333333,IF(D429="W",0,IF(D429="C",F429,IF(D429="op",F429,(E429-D429))))))</f>
        <v>0.29166666666666669</v>
      </c>
      <c r="G429" s="119"/>
      <c r="H429" s="120"/>
      <c r="I429" s="128">
        <f t="shared" ref="I429:I430" si="459">(IF(G429="u",0.333333333,IF(G429="W",0,IF(G429="C",I429,IF(G429="op",I429,(H429-G429))))))</f>
        <v>0</v>
      </c>
      <c r="J429" s="132">
        <v>0.375</v>
      </c>
      <c r="K429" s="133">
        <v>0.45833333333333331</v>
      </c>
      <c r="L429" s="148">
        <f t="shared" ref="L429:L430" si="460">(IF(J429="u",0.333333333,IF(J429="W",0,IF(J429="C",L429,IF(J429="op",L429,(K429-J429))))))</f>
        <v>8.3333333333333315E-2</v>
      </c>
      <c r="M429" s="132">
        <v>0.375</v>
      </c>
      <c r="N429" s="133">
        <v>0.45833333333333331</v>
      </c>
      <c r="O429" s="148">
        <f t="shared" ref="O429:O430" si="461">(IF(M429="u",0.333333333,IF(M429="W",0,IF(M429="C",O429,IF(M429="op",O429,(N429-M429))))))</f>
        <v>8.3333333333333315E-2</v>
      </c>
      <c r="P429" s="119">
        <v>0.375</v>
      </c>
      <c r="Q429" s="120">
        <v>0.66666666666666663</v>
      </c>
      <c r="R429" s="128">
        <f t="shared" ref="R429:R430" si="462">(IF(P429="u",0.333333333,IF(P429="W",0,IF(P429="C",R429,IF(P429="op",R429,(Q429-P429))))))</f>
        <v>0.29166666666666663</v>
      </c>
      <c r="S429" s="119"/>
      <c r="T429" s="120"/>
      <c r="U429" s="128">
        <f t="shared" ref="U429:U430" si="463">(IF(S429="u",0.333333333,IF(S429="W",0,IF(S429="C",U429,IF(S429="op",U429,(T429-S429))))))</f>
        <v>0</v>
      </c>
      <c r="V429" s="124">
        <v>0.29166666666666669</v>
      </c>
      <c r="W429" s="120">
        <v>0.58333333333333337</v>
      </c>
      <c r="X429" s="128">
        <f t="shared" ref="X429:X430" si="464">(IF(V429="u",0.333333333,IF(V429="W",0,IF(V429="C",X429,IF(V429="op",X429,(W429-V429))))))</f>
        <v>0.29166666666666669</v>
      </c>
      <c r="Y429" s="124">
        <v>0.29166666666666669</v>
      </c>
      <c r="Z429" s="120">
        <v>0.58333333333333337</v>
      </c>
      <c r="AA429" s="128">
        <f t="shared" ref="AA429:AA430" si="465">(IF(Y429="u",0.333333333,IF(Y429="W",0,IF(Y429="C",AA429,IF(Y429="op",AA429,(Z429-Y429))))))</f>
        <v>0.29166666666666669</v>
      </c>
      <c r="AB429" s="124">
        <v>0.29166666666666669</v>
      </c>
      <c r="AC429" s="120">
        <v>0.58333333333333337</v>
      </c>
      <c r="AD429" s="128">
        <f t="shared" ref="AD429:AD430" si="466">(IF(AB429="u",0.333333333,IF(AB429="W",0,IF(AB429="C",AD429,IF(AB429="op",AD429,(AC429-AB429))))))</f>
        <v>0.29166666666666669</v>
      </c>
      <c r="AE429" s="124">
        <v>0.54166666666666663</v>
      </c>
      <c r="AF429" s="120">
        <v>0.83333333333333337</v>
      </c>
      <c r="AG429" s="128">
        <f t="shared" ref="AG429:AG430" si="467">(IF(AE429="u",0.333333333,IF(AE429="W",0,IF(AE429="C",AG429,IF(AE429="op",AG429,(AF429-AE429))))))</f>
        <v>0.29166666666666674</v>
      </c>
      <c r="AH429" s="124">
        <v>0.54166666666666663</v>
      </c>
      <c r="AI429" s="120">
        <v>0.83333333333333337</v>
      </c>
      <c r="AJ429" s="128">
        <f t="shared" ref="AJ429:AJ430" si="468">(IF(AH429="u",0.333333333,IF(AH429="W",0,IF(AH429="C",AJ429,IF(AH429="op",AJ429,(AI429-AH429))))))</f>
        <v>0.29166666666666674</v>
      </c>
      <c r="AK429" s="124">
        <v>0.29166666666666669</v>
      </c>
      <c r="AL429" s="120">
        <v>0.58333333333333337</v>
      </c>
      <c r="AM429" s="128">
        <f t="shared" ref="AM429:AM430" si="469">(IF(AK429="u",0.333333333,IF(AK429="W",0,IF(AK429="C",AM429,IF(AK429="op",AM429,(AL429-AK429))))))</f>
        <v>0.29166666666666669</v>
      </c>
      <c r="AN429" s="118">
        <v>3</v>
      </c>
      <c r="AO429" s="113" t="s">
        <v>85</v>
      </c>
    </row>
    <row r="430" spans="2:41" ht="15" customHeight="1">
      <c r="B430" s="118">
        <v>4</v>
      </c>
      <c r="C430" s="113" t="s">
        <v>4</v>
      </c>
      <c r="D430" s="143">
        <v>0.29166666666666669</v>
      </c>
      <c r="E430" s="144">
        <v>0.58333333333333337</v>
      </c>
      <c r="F430" s="128">
        <f t="shared" si="458"/>
        <v>0.29166666666666669</v>
      </c>
      <c r="G430" s="119"/>
      <c r="H430" s="120"/>
      <c r="I430" s="128">
        <f t="shared" si="459"/>
        <v>0</v>
      </c>
      <c r="J430" s="119"/>
      <c r="K430" s="120"/>
      <c r="L430" s="128">
        <f t="shared" si="460"/>
        <v>0</v>
      </c>
      <c r="M430" s="119"/>
      <c r="N430" s="120"/>
      <c r="O430" s="128">
        <f t="shared" si="461"/>
        <v>0</v>
      </c>
      <c r="P430" s="119">
        <v>0.375</v>
      </c>
      <c r="Q430" s="120">
        <v>0.66666666666666663</v>
      </c>
      <c r="R430" s="128">
        <f t="shared" si="462"/>
        <v>0.29166666666666663</v>
      </c>
      <c r="S430" s="119"/>
      <c r="T430" s="120"/>
      <c r="U430" s="128">
        <f t="shared" si="463"/>
        <v>0</v>
      </c>
      <c r="V430" s="124">
        <v>0.29166666666666669</v>
      </c>
      <c r="W430" s="120">
        <v>0.58333333333333337</v>
      </c>
      <c r="X430" s="128">
        <f t="shared" si="464"/>
        <v>0.29166666666666669</v>
      </c>
      <c r="Y430" s="124">
        <v>0.29166666666666669</v>
      </c>
      <c r="Z430" s="120">
        <v>0.58333333333333337</v>
      </c>
      <c r="AA430" s="128">
        <f t="shared" si="465"/>
        <v>0.29166666666666669</v>
      </c>
      <c r="AB430" s="124">
        <v>0.29166666666666669</v>
      </c>
      <c r="AC430" s="120">
        <v>0.58333333333333337</v>
      </c>
      <c r="AD430" s="128">
        <f t="shared" si="466"/>
        <v>0.29166666666666669</v>
      </c>
      <c r="AE430" s="124">
        <v>0.54166666666666663</v>
      </c>
      <c r="AF430" s="120">
        <v>0.83333333333333337</v>
      </c>
      <c r="AG430" s="128">
        <f t="shared" si="467"/>
        <v>0.29166666666666674</v>
      </c>
      <c r="AH430" s="124">
        <v>0.54166666666666663</v>
      </c>
      <c r="AI430" s="120">
        <v>0.83333333333333337</v>
      </c>
      <c r="AJ430" s="128">
        <f t="shared" si="468"/>
        <v>0.29166666666666674</v>
      </c>
      <c r="AK430" s="124">
        <v>0.29166666666666669</v>
      </c>
      <c r="AL430" s="120">
        <v>0.58333333333333337</v>
      </c>
      <c r="AM430" s="128">
        <f t="shared" si="469"/>
        <v>0.29166666666666669</v>
      </c>
      <c r="AN430" s="118">
        <v>4</v>
      </c>
      <c r="AO430" s="113" t="s">
        <v>4</v>
      </c>
    </row>
    <row r="431" spans="2:41" ht="15" customHeight="1">
      <c r="B431" s="86">
        <v>5</v>
      </c>
      <c r="C431" s="87" t="s">
        <v>5</v>
      </c>
      <c r="D431" s="88"/>
      <c r="E431" s="89"/>
      <c r="F431" s="92">
        <f>(IF(D431="u",0.333333333,IF(D431="W",0,IF(D431="C",F431,IF(D431="op",F431,(E431-D431))))))</f>
        <v>0</v>
      </c>
      <c r="G431" s="88"/>
      <c r="H431" s="89"/>
      <c r="I431" s="92">
        <f>(IF(G431="u",0.333333333,IF(G431="W",0,IF(G431="C",I431,IF(G431="op",I431,(H431-G431))))))</f>
        <v>0</v>
      </c>
      <c r="J431" s="88"/>
      <c r="K431" s="89"/>
      <c r="L431" s="92">
        <f>(IF(J431="u",0.333333333,IF(J431="W",0,IF(J431="C",L431,IF(J431="op",L431,(K431-J431))))))</f>
        <v>0</v>
      </c>
      <c r="M431" s="88"/>
      <c r="N431" s="89"/>
      <c r="O431" s="92">
        <f>(IF(M431="u",0.333333333,IF(M431="W",0,IF(M431="C",O431,IF(M431="op",O431,(N431-M431))))))</f>
        <v>0</v>
      </c>
      <c r="P431" s="88"/>
      <c r="Q431" s="89"/>
      <c r="R431" s="92">
        <f>(IF(P431="u",0.333333333,IF(P431="W",0,IF(P431="C",R431,IF(P431="op",R431,(Q431-P431))))))</f>
        <v>0</v>
      </c>
      <c r="S431" s="88"/>
      <c r="T431" s="89"/>
      <c r="U431" s="92">
        <f>(IF(S431="u",0.333333333,IF(S431="W",0,IF(S431="C",U431,IF(S431="op",U431,(T431-S431))))))</f>
        <v>0</v>
      </c>
      <c r="V431" s="147"/>
      <c r="W431" s="89"/>
      <c r="X431" s="92">
        <f>(IF(V431="u",0.333333333,IF(V431="W",0,IF(V431="C",X431,IF(V431="op",X431,(W431-V431))))))</f>
        <v>0</v>
      </c>
      <c r="Y431" s="147"/>
      <c r="Z431" s="89"/>
      <c r="AA431" s="92">
        <f>(IF(Y431="u",0.333333333,IF(Y431="W",0,IF(Y431="C",AA431,IF(Y431="op",AA431,(Z431-Y431))))))</f>
        <v>0</v>
      </c>
      <c r="AB431" s="147"/>
      <c r="AC431" s="89"/>
      <c r="AD431" s="92">
        <f>(IF(AB431="u",0.333333333,IF(AB431="W",0,IF(AB431="C",AD431,IF(AB431="op",AD431,(AC431-AB431))))))</f>
        <v>0</v>
      </c>
      <c r="AE431" s="147"/>
      <c r="AF431" s="89"/>
      <c r="AG431" s="92">
        <f>(IF(AE431="u",0.333333333,IF(AE431="W",0,IF(AE431="C",AG431,IF(AE431="op",AG431,(AF431-AE431))))))</f>
        <v>0</v>
      </c>
      <c r="AH431" s="147"/>
      <c r="AI431" s="89"/>
      <c r="AJ431" s="92">
        <f>(IF(AH431="u",0.333333333,IF(AH431="W",0,IF(AH431="C",AJ431,IF(AH431="op",AJ431,(AI431-AH431))))))</f>
        <v>0</v>
      </c>
      <c r="AK431" s="147"/>
      <c r="AL431" s="89"/>
      <c r="AM431" s="92">
        <f>(IF(AK431="u",0.333333333,IF(AK431="W",0,IF(AK431="C",AM431,IF(AK431="op",AM431,(AL431-AK431))))))</f>
        <v>0</v>
      </c>
      <c r="AN431" s="86">
        <v>5</v>
      </c>
      <c r="AO431" s="87" t="s">
        <v>5</v>
      </c>
    </row>
    <row r="432" spans="2:41" ht="15" customHeight="1">
      <c r="B432" s="86">
        <v>6</v>
      </c>
      <c r="C432" s="87" t="s">
        <v>6</v>
      </c>
      <c r="D432" s="88"/>
      <c r="E432" s="89"/>
      <c r="F432" s="92">
        <f>(IF(D432="u",0.333333333,IF(D432="W",0,IF(D432="C",F432,IF(D432="op",F432,(E432-D432))))))</f>
        <v>0</v>
      </c>
      <c r="G432" s="88"/>
      <c r="H432" s="89"/>
      <c r="I432" s="92">
        <f t="shared" ref="I432:I440" si="470">(IF(G432="u",0.333333333,IF(G432="W",0,IF(G432="C",I432,IF(G432="op",I432,(H432-G432))))))</f>
        <v>0</v>
      </c>
      <c r="J432" s="88"/>
      <c r="K432" s="89"/>
      <c r="L432" s="92">
        <f t="shared" ref="L432:L440" si="471">(IF(J432="u",0.333333333,IF(J432="W",0,IF(J432="C",L432,IF(J432="op",L432,(K432-J432))))))</f>
        <v>0</v>
      </c>
      <c r="M432" s="88"/>
      <c r="N432" s="89"/>
      <c r="O432" s="92">
        <f t="shared" ref="O432:O440" si="472">(IF(M432="u",0.333333333,IF(M432="W",0,IF(M432="C",O432,IF(M432="op",O432,(N432-M432))))))</f>
        <v>0</v>
      </c>
      <c r="P432" s="88"/>
      <c r="Q432" s="89"/>
      <c r="R432" s="92">
        <f t="shared" ref="R432:R440" si="473">(IF(P432="u",0.333333333,IF(P432="W",0,IF(P432="C",R432,IF(P432="op",R432,(Q432-P432))))))</f>
        <v>0</v>
      </c>
      <c r="S432" s="88"/>
      <c r="T432" s="89"/>
      <c r="U432" s="92">
        <f t="shared" ref="U432:U440" si="474">(IF(S432="u",0.333333333,IF(S432="W",0,IF(S432="C",U432,IF(S432="op",U432,(T432-S432))))))</f>
        <v>0</v>
      </c>
      <c r="V432" s="147"/>
      <c r="W432" s="89"/>
      <c r="X432" s="92">
        <f t="shared" ref="X432:X440" si="475">(IF(V432="u",0.333333333,IF(V432="W",0,IF(V432="C",X432,IF(V432="op",X432,(W432-V432))))))</f>
        <v>0</v>
      </c>
      <c r="Y432" s="147"/>
      <c r="Z432" s="89"/>
      <c r="AA432" s="92">
        <f t="shared" ref="AA432:AA440" si="476">(IF(Y432="u",0.333333333,IF(Y432="W",0,IF(Y432="C",AA432,IF(Y432="op",AA432,(Z432-Y432))))))</f>
        <v>0</v>
      </c>
      <c r="AB432" s="147"/>
      <c r="AC432" s="89"/>
      <c r="AD432" s="92">
        <f t="shared" ref="AD432:AD438" si="477">(IF(AB432="u",0.333333333,IF(AB432="W",0,IF(AB432="C",AD432,IF(AB432="op",AD432,(AC432-AB432))))))</f>
        <v>0</v>
      </c>
      <c r="AE432" s="147"/>
      <c r="AF432" s="89"/>
      <c r="AG432" s="92">
        <f t="shared" ref="AG432:AG440" si="478">(IF(AE432="u",0.333333333,IF(AE432="W",0,IF(AE432="C",AG432,IF(AE432="op",AG432,(AF432-AE432))))))</f>
        <v>0</v>
      </c>
      <c r="AH432" s="147"/>
      <c r="AI432" s="89"/>
      <c r="AJ432" s="92">
        <f t="shared" ref="AJ432:AJ440" si="479">(IF(AH432="u",0.333333333,IF(AH432="W",0,IF(AH432="C",AJ432,IF(AH432="op",AJ432,(AI432-AH432))))))</f>
        <v>0</v>
      </c>
      <c r="AK432" s="147"/>
      <c r="AL432" s="89"/>
      <c r="AM432" s="92">
        <f t="shared" ref="AM432:AM440" si="480">(IF(AK432="u",0.333333333,IF(AK432="W",0,IF(AK432="C",AM432,IF(AK432="op",AM432,(AL432-AK432))))))</f>
        <v>0</v>
      </c>
      <c r="AN432" s="86">
        <v>6</v>
      </c>
      <c r="AO432" s="87" t="s">
        <v>6</v>
      </c>
    </row>
    <row r="433" spans="2:41" ht="15" customHeight="1">
      <c r="B433" s="118">
        <v>7</v>
      </c>
      <c r="C433" s="113" t="s">
        <v>7</v>
      </c>
      <c r="D433" s="143">
        <v>0.54166666666666663</v>
      </c>
      <c r="E433" s="144">
        <v>0.83333333333333337</v>
      </c>
      <c r="F433" s="128">
        <f t="shared" ref="F433:F440" si="481">(IF(D433="u",0.333333333,IF(D433="W",0,IF(D433="C",F433,IF(D433="op",F433,(E433-D433))))))</f>
        <v>0.29166666666666674</v>
      </c>
      <c r="G433" s="119"/>
      <c r="H433" s="120"/>
      <c r="I433" s="128">
        <f t="shared" si="470"/>
        <v>0</v>
      </c>
      <c r="J433" s="119">
        <v>0.33333333333333331</v>
      </c>
      <c r="K433" s="120">
        <v>0.75</v>
      </c>
      <c r="L433" s="128">
        <f t="shared" si="471"/>
        <v>0.41666666666666669</v>
      </c>
      <c r="M433" s="119" t="s">
        <v>111</v>
      </c>
      <c r="N433" s="120"/>
      <c r="O433" s="128">
        <f t="shared" si="472"/>
        <v>0</v>
      </c>
      <c r="P433" s="114">
        <v>0.375</v>
      </c>
      <c r="Q433" s="115">
        <v>0.66666666666666663</v>
      </c>
      <c r="R433" s="128">
        <f t="shared" si="473"/>
        <v>0.29166666666666663</v>
      </c>
      <c r="S433" s="119"/>
      <c r="T433" s="120"/>
      <c r="U433" s="128">
        <f t="shared" si="474"/>
        <v>0</v>
      </c>
      <c r="V433" s="124">
        <v>0.54166666666666663</v>
      </c>
      <c r="W433" s="120">
        <v>0.83333333333333337</v>
      </c>
      <c r="X433" s="128">
        <f t="shared" si="475"/>
        <v>0.29166666666666674</v>
      </c>
      <c r="Y433" s="124">
        <v>0.54166666666666663</v>
      </c>
      <c r="Z433" s="120">
        <v>0.83333333333333337</v>
      </c>
      <c r="AA433" s="128">
        <f t="shared" si="476"/>
        <v>0.29166666666666674</v>
      </c>
      <c r="AB433" s="124">
        <v>0.54166666666666663</v>
      </c>
      <c r="AC433" s="120">
        <v>0.83333333333333337</v>
      </c>
      <c r="AD433" s="128">
        <f t="shared" si="477"/>
        <v>0.29166666666666674</v>
      </c>
      <c r="AE433" s="124">
        <v>0.29166666666666669</v>
      </c>
      <c r="AF433" s="120">
        <v>0.58333333333333337</v>
      </c>
      <c r="AG433" s="128">
        <f t="shared" si="478"/>
        <v>0.29166666666666669</v>
      </c>
      <c r="AH433" s="124">
        <v>0.29166666666666669</v>
      </c>
      <c r="AI433" s="120">
        <v>0.58333333333333337</v>
      </c>
      <c r="AJ433" s="128">
        <f t="shared" si="479"/>
        <v>0.29166666666666669</v>
      </c>
      <c r="AK433" s="124">
        <v>0.29166666666666669</v>
      </c>
      <c r="AL433" s="120">
        <v>0.58333333333333337</v>
      </c>
      <c r="AM433" s="128">
        <f t="shared" si="480"/>
        <v>0.29166666666666669</v>
      </c>
      <c r="AN433" s="118">
        <v>7</v>
      </c>
      <c r="AO433" s="113" t="s">
        <v>7</v>
      </c>
    </row>
    <row r="434" spans="2:41" ht="15" customHeight="1">
      <c r="B434" s="118">
        <v>8</v>
      </c>
      <c r="C434" s="113" t="s">
        <v>8</v>
      </c>
      <c r="D434" s="143">
        <v>0.54166666666666663</v>
      </c>
      <c r="E434" s="144">
        <v>0.83333333333333337</v>
      </c>
      <c r="F434" s="128">
        <f t="shared" si="481"/>
        <v>0.29166666666666674</v>
      </c>
      <c r="G434" s="119"/>
      <c r="H434" s="120"/>
      <c r="I434" s="128">
        <f t="shared" si="470"/>
        <v>0</v>
      </c>
      <c r="J434" s="119"/>
      <c r="K434" s="120"/>
      <c r="L434" s="128">
        <f t="shared" si="471"/>
        <v>0</v>
      </c>
      <c r="M434" s="119" t="s">
        <v>111</v>
      </c>
      <c r="N434" s="120"/>
      <c r="O434" s="128">
        <f t="shared" si="472"/>
        <v>0</v>
      </c>
      <c r="P434" s="114">
        <v>0.375</v>
      </c>
      <c r="Q434" s="115">
        <v>0.66666666666666663</v>
      </c>
      <c r="R434" s="128">
        <f t="shared" si="473"/>
        <v>0.29166666666666663</v>
      </c>
      <c r="S434" s="119"/>
      <c r="T434" s="120"/>
      <c r="U434" s="128">
        <f t="shared" si="474"/>
        <v>0</v>
      </c>
      <c r="V434" s="124">
        <v>0.54166666666666663</v>
      </c>
      <c r="W434" s="120">
        <v>0.83333333333333337</v>
      </c>
      <c r="X434" s="128">
        <f t="shared" si="475"/>
        <v>0.29166666666666674</v>
      </c>
      <c r="Y434" s="124">
        <v>0.54166666666666663</v>
      </c>
      <c r="Z434" s="120">
        <v>0.83333333333333337</v>
      </c>
      <c r="AA434" s="128">
        <f t="shared" si="476"/>
        <v>0.29166666666666674</v>
      </c>
      <c r="AB434" s="124">
        <v>0.54166666666666663</v>
      </c>
      <c r="AC434" s="120">
        <v>0.83333333333333337</v>
      </c>
      <c r="AD434" s="128">
        <f t="shared" si="477"/>
        <v>0.29166666666666674</v>
      </c>
      <c r="AE434" s="124">
        <v>0.29166666666666669</v>
      </c>
      <c r="AF434" s="120">
        <v>0.58333333333333337</v>
      </c>
      <c r="AG434" s="128">
        <f t="shared" si="478"/>
        <v>0.29166666666666669</v>
      </c>
      <c r="AH434" s="124">
        <v>0.29166666666666669</v>
      </c>
      <c r="AI434" s="120">
        <v>0.58333333333333337</v>
      </c>
      <c r="AJ434" s="128">
        <f t="shared" si="479"/>
        <v>0.29166666666666669</v>
      </c>
      <c r="AK434" s="124">
        <v>0.29166666666666669</v>
      </c>
      <c r="AL434" s="120">
        <v>0.58333333333333337</v>
      </c>
      <c r="AM434" s="128">
        <f t="shared" si="480"/>
        <v>0.29166666666666669</v>
      </c>
      <c r="AN434" s="118">
        <v>8</v>
      </c>
      <c r="AO434" s="113" t="s">
        <v>8</v>
      </c>
    </row>
    <row r="435" spans="2:41" ht="15" customHeight="1">
      <c r="B435" s="118">
        <v>9</v>
      </c>
      <c r="C435" s="113" t="s">
        <v>12</v>
      </c>
      <c r="D435" s="143">
        <v>0.54166666666666663</v>
      </c>
      <c r="E435" s="144">
        <v>0.83333333333333337</v>
      </c>
      <c r="F435" s="128">
        <f t="shared" si="481"/>
        <v>0.29166666666666674</v>
      </c>
      <c r="G435" s="119">
        <v>0.5</v>
      </c>
      <c r="H435" s="120">
        <v>0.66666666666666663</v>
      </c>
      <c r="I435" s="128">
        <f t="shared" si="470"/>
        <v>0.16666666666666663</v>
      </c>
      <c r="J435" s="119"/>
      <c r="K435" s="120"/>
      <c r="L435" s="128">
        <f t="shared" si="471"/>
        <v>0</v>
      </c>
      <c r="M435" s="119" t="s">
        <v>111</v>
      </c>
      <c r="N435" s="120"/>
      <c r="O435" s="128">
        <f t="shared" si="472"/>
        <v>0</v>
      </c>
      <c r="P435" s="119">
        <v>0.375</v>
      </c>
      <c r="Q435" s="120">
        <v>0.66666666666666663</v>
      </c>
      <c r="R435" s="128">
        <f t="shared" si="473"/>
        <v>0.29166666666666663</v>
      </c>
      <c r="S435" s="119"/>
      <c r="T435" s="120"/>
      <c r="U435" s="128">
        <f t="shared" si="474"/>
        <v>0</v>
      </c>
      <c r="V435" s="124">
        <v>0.54166666666666663</v>
      </c>
      <c r="W435" s="120">
        <v>0.83333333333333337</v>
      </c>
      <c r="X435" s="128">
        <f t="shared" si="475"/>
        <v>0.29166666666666674</v>
      </c>
      <c r="Y435" s="124">
        <v>0.54166666666666663</v>
      </c>
      <c r="Z435" s="120">
        <v>0.83333333333333337</v>
      </c>
      <c r="AA435" s="128">
        <f t="shared" si="476"/>
        <v>0.29166666666666674</v>
      </c>
      <c r="AB435" s="124">
        <v>0.54166666666666663</v>
      </c>
      <c r="AC435" s="120">
        <v>0.83333333333333337</v>
      </c>
      <c r="AD435" s="128">
        <f t="shared" si="477"/>
        <v>0.29166666666666674</v>
      </c>
      <c r="AE435" s="124">
        <v>0.29166666666666669</v>
      </c>
      <c r="AF435" s="120">
        <v>0.58333333333333337</v>
      </c>
      <c r="AG435" s="128">
        <f t="shared" si="478"/>
        <v>0.29166666666666669</v>
      </c>
      <c r="AH435" s="124">
        <v>0.29166666666666669</v>
      </c>
      <c r="AI435" s="120">
        <v>0.58333333333333337</v>
      </c>
      <c r="AJ435" s="128">
        <f t="shared" si="479"/>
        <v>0.29166666666666669</v>
      </c>
      <c r="AK435" s="124">
        <v>0.29166666666666669</v>
      </c>
      <c r="AL435" s="120">
        <v>0.58333333333333337</v>
      </c>
      <c r="AM435" s="128">
        <f t="shared" si="480"/>
        <v>0.29166666666666669</v>
      </c>
      <c r="AN435" s="118">
        <v>9</v>
      </c>
      <c r="AO435" s="113" t="s">
        <v>12</v>
      </c>
    </row>
    <row r="436" spans="2:41" ht="15" customHeight="1">
      <c r="B436" s="118">
        <v>10</v>
      </c>
      <c r="C436" s="113" t="s">
        <v>85</v>
      </c>
      <c r="D436" s="143">
        <v>0.54166666666666663</v>
      </c>
      <c r="E436" s="144">
        <v>0.83333333333333337</v>
      </c>
      <c r="F436" s="128">
        <f t="shared" si="481"/>
        <v>0.29166666666666674</v>
      </c>
      <c r="G436" s="119">
        <v>0.33333333333333331</v>
      </c>
      <c r="H436" s="120">
        <v>0.66666666666666663</v>
      </c>
      <c r="I436" s="128">
        <f t="shared" si="470"/>
        <v>0.33333333333333331</v>
      </c>
      <c r="J436" s="119"/>
      <c r="K436" s="120"/>
      <c r="L436" s="128">
        <f t="shared" si="471"/>
        <v>0</v>
      </c>
      <c r="M436" s="119" t="s">
        <v>111</v>
      </c>
      <c r="N436" s="120"/>
      <c r="O436" s="128">
        <f t="shared" si="472"/>
        <v>0</v>
      </c>
      <c r="P436" s="119">
        <v>0.375</v>
      </c>
      <c r="Q436" s="120">
        <v>0.66666666666666663</v>
      </c>
      <c r="R436" s="128">
        <f t="shared" si="473"/>
        <v>0.29166666666666663</v>
      </c>
      <c r="S436" s="119"/>
      <c r="T436" s="120"/>
      <c r="U436" s="128">
        <f t="shared" si="474"/>
        <v>0</v>
      </c>
      <c r="V436" s="124">
        <v>0.54166666666666663</v>
      </c>
      <c r="W436" s="120">
        <v>0.83333333333333337</v>
      </c>
      <c r="X436" s="128">
        <f t="shared" si="475"/>
        <v>0.29166666666666674</v>
      </c>
      <c r="Y436" s="124">
        <v>0.54166666666666663</v>
      </c>
      <c r="Z436" s="120">
        <v>0.83333333333333337</v>
      </c>
      <c r="AA436" s="128">
        <f t="shared" si="476"/>
        <v>0.29166666666666674</v>
      </c>
      <c r="AB436" s="124">
        <v>0.54166666666666663</v>
      </c>
      <c r="AC436" s="120">
        <v>0.83333333333333337</v>
      </c>
      <c r="AD436" s="128">
        <f t="shared" si="477"/>
        <v>0.29166666666666674</v>
      </c>
      <c r="AE436" s="124">
        <v>0.29166666666666669</v>
      </c>
      <c r="AF436" s="120">
        <v>0.58333333333333337</v>
      </c>
      <c r="AG436" s="128">
        <f t="shared" si="478"/>
        <v>0.29166666666666669</v>
      </c>
      <c r="AH436" s="124">
        <v>0.29166666666666669</v>
      </c>
      <c r="AI436" s="120">
        <v>0.58333333333333337</v>
      </c>
      <c r="AJ436" s="128">
        <f t="shared" si="479"/>
        <v>0.29166666666666669</v>
      </c>
      <c r="AK436" s="124">
        <v>0.29166666666666669</v>
      </c>
      <c r="AL436" s="120">
        <v>0.58333333333333337</v>
      </c>
      <c r="AM436" s="128">
        <f t="shared" si="480"/>
        <v>0.29166666666666669</v>
      </c>
      <c r="AN436" s="118">
        <v>10</v>
      </c>
      <c r="AO436" s="113" t="s">
        <v>85</v>
      </c>
    </row>
    <row r="437" spans="2:41" ht="15" customHeight="1">
      <c r="B437" s="118">
        <v>11</v>
      </c>
      <c r="C437" s="113" t="s">
        <v>4</v>
      </c>
      <c r="D437" s="143">
        <v>0.54166666666666663</v>
      </c>
      <c r="E437" s="144">
        <v>0.83333333333333337</v>
      </c>
      <c r="F437" s="128">
        <f t="shared" si="481"/>
        <v>0.29166666666666674</v>
      </c>
      <c r="G437" s="119">
        <v>0.33333333333333331</v>
      </c>
      <c r="H437" s="120">
        <v>0.66666666666666663</v>
      </c>
      <c r="I437" s="128">
        <f t="shared" si="470"/>
        <v>0.33333333333333331</v>
      </c>
      <c r="J437" s="119"/>
      <c r="K437" s="120"/>
      <c r="L437" s="128">
        <f t="shared" si="471"/>
        <v>0</v>
      </c>
      <c r="M437" s="119" t="s">
        <v>111</v>
      </c>
      <c r="N437" s="120"/>
      <c r="O437" s="128">
        <f t="shared" si="472"/>
        <v>0</v>
      </c>
      <c r="P437" s="119">
        <v>0.375</v>
      </c>
      <c r="Q437" s="120">
        <v>0.66666666666666663</v>
      </c>
      <c r="R437" s="128">
        <f t="shared" si="473"/>
        <v>0.29166666666666663</v>
      </c>
      <c r="S437" s="119"/>
      <c r="T437" s="120"/>
      <c r="U437" s="128">
        <f t="shared" si="474"/>
        <v>0</v>
      </c>
      <c r="V437" s="124">
        <v>0.54166666666666663</v>
      </c>
      <c r="W437" s="120">
        <v>0.83333333333333337</v>
      </c>
      <c r="X437" s="128">
        <f t="shared" si="475"/>
        <v>0.29166666666666674</v>
      </c>
      <c r="Y437" s="124">
        <v>0.54166666666666663</v>
      </c>
      <c r="Z437" s="120">
        <v>0.83333333333333337</v>
      </c>
      <c r="AA437" s="128">
        <f t="shared" si="476"/>
        <v>0.29166666666666674</v>
      </c>
      <c r="AB437" s="124">
        <v>0.54166666666666663</v>
      </c>
      <c r="AC437" s="120">
        <v>0.83333333333333337</v>
      </c>
      <c r="AD437" s="128">
        <f t="shared" si="477"/>
        <v>0.29166666666666674</v>
      </c>
      <c r="AE437" s="124">
        <v>0.29166666666666669</v>
      </c>
      <c r="AF437" s="120">
        <v>0.58333333333333337</v>
      </c>
      <c r="AG437" s="128">
        <f t="shared" si="478"/>
        <v>0.29166666666666669</v>
      </c>
      <c r="AH437" s="124">
        <v>0.29166666666666669</v>
      </c>
      <c r="AI437" s="120">
        <v>0.58333333333333337</v>
      </c>
      <c r="AJ437" s="128">
        <f t="shared" si="479"/>
        <v>0.29166666666666669</v>
      </c>
      <c r="AK437" s="124">
        <v>0.29166666666666669</v>
      </c>
      <c r="AL437" s="120">
        <v>0.58333333333333337</v>
      </c>
      <c r="AM437" s="128">
        <f t="shared" si="480"/>
        <v>0.29166666666666669</v>
      </c>
      <c r="AN437" s="118">
        <v>11</v>
      </c>
      <c r="AO437" s="113" t="s">
        <v>4</v>
      </c>
    </row>
    <row r="438" spans="2:41" ht="15" customHeight="1">
      <c r="B438" s="86">
        <v>12</v>
      </c>
      <c r="C438" s="87" t="s">
        <v>5</v>
      </c>
      <c r="D438" s="88"/>
      <c r="E438" s="89"/>
      <c r="F438" s="92">
        <f t="shared" si="481"/>
        <v>0</v>
      </c>
      <c r="G438" s="88"/>
      <c r="H438" s="89"/>
      <c r="I438" s="92">
        <f t="shared" si="470"/>
        <v>0</v>
      </c>
      <c r="J438" s="88"/>
      <c r="K438" s="89"/>
      <c r="L438" s="92">
        <f t="shared" si="471"/>
        <v>0</v>
      </c>
      <c r="M438" s="88">
        <v>0.375</v>
      </c>
      <c r="N438" s="89">
        <v>0.75</v>
      </c>
      <c r="O438" s="92">
        <f t="shared" si="472"/>
        <v>0.375</v>
      </c>
      <c r="P438" s="88"/>
      <c r="Q438" s="89"/>
      <c r="R438" s="92">
        <f t="shared" si="473"/>
        <v>0</v>
      </c>
      <c r="S438" s="88"/>
      <c r="T438" s="89"/>
      <c r="U438" s="92">
        <f t="shared" si="474"/>
        <v>0</v>
      </c>
      <c r="V438" s="147"/>
      <c r="W438" s="89"/>
      <c r="X438" s="92">
        <f t="shared" si="475"/>
        <v>0</v>
      </c>
      <c r="Y438" s="147"/>
      <c r="Z438" s="89"/>
      <c r="AA438" s="92">
        <f t="shared" si="476"/>
        <v>0</v>
      </c>
      <c r="AB438" s="147"/>
      <c r="AC438" s="89"/>
      <c r="AD438" s="92">
        <f t="shared" si="477"/>
        <v>0</v>
      </c>
      <c r="AE438" s="147"/>
      <c r="AF438" s="89"/>
      <c r="AG438" s="92">
        <f t="shared" si="478"/>
        <v>0</v>
      </c>
      <c r="AH438" s="147"/>
      <c r="AI438" s="89"/>
      <c r="AJ438" s="92">
        <f t="shared" si="479"/>
        <v>0</v>
      </c>
      <c r="AK438" s="147"/>
      <c r="AL438" s="89"/>
      <c r="AM438" s="92">
        <f t="shared" si="480"/>
        <v>0</v>
      </c>
      <c r="AN438" s="86">
        <v>12</v>
      </c>
      <c r="AO438" s="87" t="s">
        <v>5</v>
      </c>
    </row>
    <row r="439" spans="2:41" ht="15" customHeight="1">
      <c r="B439" s="86">
        <v>13</v>
      </c>
      <c r="C439" s="87" t="s">
        <v>6</v>
      </c>
      <c r="D439" s="88"/>
      <c r="E439" s="89"/>
      <c r="F439" s="92">
        <f t="shared" si="481"/>
        <v>0</v>
      </c>
      <c r="G439" s="88"/>
      <c r="H439" s="89"/>
      <c r="I439" s="92">
        <f t="shared" si="470"/>
        <v>0</v>
      </c>
      <c r="J439" s="88">
        <v>0.33333333333333331</v>
      </c>
      <c r="K439" s="89">
        <v>0.75</v>
      </c>
      <c r="L439" s="92">
        <f t="shared" si="471"/>
        <v>0.41666666666666669</v>
      </c>
      <c r="M439" s="88">
        <v>0.41666666666666669</v>
      </c>
      <c r="N439" s="89">
        <v>0.83333333333333337</v>
      </c>
      <c r="O439" s="92">
        <f t="shared" si="472"/>
        <v>0.41666666666666669</v>
      </c>
      <c r="P439" s="88"/>
      <c r="Q439" s="89"/>
      <c r="R439" s="92">
        <f t="shared" si="473"/>
        <v>0</v>
      </c>
      <c r="S439" s="88"/>
      <c r="T439" s="89"/>
      <c r="U439" s="92">
        <f t="shared" si="474"/>
        <v>0</v>
      </c>
      <c r="V439" s="147"/>
      <c r="W439" s="89"/>
      <c r="X439" s="92">
        <f t="shared" si="475"/>
        <v>0</v>
      </c>
      <c r="Y439" s="147"/>
      <c r="Z439" s="89"/>
      <c r="AA439" s="92">
        <f t="shared" si="476"/>
        <v>0</v>
      </c>
      <c r="AB439" s="147"/>
      <c r="AC439" s="89"/>
      <c r="AD439" s="92">
        <f>(IF(AB439="u",0.333333333,IF(AB439="W",0,IF(AB439="C",AD439,IF(AB439="op",AD439,(AC439-AB439))))))</f>
        <v>0</v>
      </c>
      <c r="AE439" s="147"/>
      <c r="AF439" s="89"/>
      <c r="AG439" s="92">
        <f t="shared" si="478"/>
        <v>0</v>
      </c>
      <c r="AH439" s="147"/>
      <c r="AI439" s="89"/>
      <c r="AJ439" s="92">
        <f t="shared" si="479"/>
        <v>0</v>
      </c>
      <c r="AK439" s="147"/>
      <c r="AL439" s="89"/>
      <c r="AM439" s="92">
        <f t="shared" si="480"/>
        <v>0</v>
      </c>
      <c r="AN439" s="86">
        <v>13</v>
      </c>
      <c r="AO439" s="87" t="s">
        <v>6</v>
      </c>
    </row>
    <row r="440" spans="2:41" ht="15" customHeight="1">
      <c r="B440" s="118">
        <v>14</v>
      </c>
      <c r="C440" s="113" t="s">
        <v>7</v>
      </c>
      <c r="D440" s="143">
        <v>0.29166666666666669</v>
      </c>
      <c r="E440" s="144">
        <v>0.58333333333333337</v>
      </c>
      <c r="F440" s="128">
        <f t="shared" si="481"/>
        <v>0.29166666666666669</v>
      </c>
      <c r="G440" s="119"/>
      <c r="H440" s="120"/>
      <c r="I440" s="128">
        <f t="shared" si="470"/>
        <v>0</v>
      </c>
      <c r="J440" s="119"/>
      <c r="K440" s="120"/>
      <c r="L440" s="128">
        <f t="shared" si="471"/>
        <v>0</v>
      </c>
      <c r="M440" s="119" t="s">
        <v>111</v>
      </c>
      <c r="N440" s="120"/>
      <c r="O440" s="128">
        <f t="shared" si="472"/>
        <v>0</v>
      </c>
      <c r="P440" s="114">
        <v>0.375</v>
      </c>
      <c r="Q440" s="115">
        <v>0.66666666666666663</v>
      </c>
      <c r="R440" s="128">
        <f t="shared" si="473"/>
        <v>0.29166666666666663</v>
      </c>
      <c r="S440" s="119"/>
      <c r="T440" s="120"/>
      <c r="U440" s="128">
        <f t="shared" si="474"/>
        <v>0</v>
      </c>
      <c r="V440" s="124">
        <v>0.29166666666666669</v>
      </c>
      <c r="W440" s="120">
        <v>0.58333333333333337</v>
      </c>
      <c r="X440" s="128">
        <f t="shared" si="475"/>
        <v>0.29166666666666669</v>
      </c>
      <c r="Y440" s="124">
        <v>0.29166666666666669</v>
      </c>
      <c r="Z440" s="120">
        <v>0.58333333333333337</v>
      </c>
      <c r="AA440" s="128">
        <f t="shared" si="476"/>
        <v>0.29166666666666669</v>
      </c>
      <c r="AB440" s="124">
        <v>0.29166666666666669</v>
      </c>
      <c r="AC440" s="120">
        <v>0.58333333333333337</v>
      </c>
      <c r="AD440" s="128">
        <f>(IF(AB440="u",0.333333333,IF(AB440="W",0,IF(AB440="C",AD440,IF(AB440="op",AD440,(AC440-AB440))))))</f>
        <v>0.29166666666666669</v>
      </c>
      <c r="AE440" s="124">
        <v>0.54166666666666663</v>
      </c>
      <c r="AF440" s="120">
        <v>0.83333333333333337</v>
      </c>
      <c r="AG440" s="128">
        <f t="shared" si="478"/>
        <v>0.29166666666666674</v>
      </c>
      <c r="AH440" s="124">
        <v>0.54166666666666663</v>
      </c>
      <c r="AI440" s="120">
        <v>0.83333333333333337</v>
      </c>
      <c r="AJ440" s="128">
        <f t="shared" si="479"/>
        <v>0.29166666666666674</v>
      </c>
      <c r="AK440" s="124">
        <v>0.29166666666666669</v>
      </c>
      <c r="AL440" s="120">
        <v>0.58333333333333337</v>
      </c>
      <c r="AM440" s="128">
        <f t="shared" si="480"/>
        <v>0.29166666666666669</v>
      </c>
      <c r="AN440" s="118">
        <v>14</v>
      </c>
      <c r="AO440" s="113" t="s">
        <v>7</v>
      </c>
    </row>
    <row r="441" spans="2:41" ht="15" customHeight="1">
      <c r="B441" s="118">
        <v>15</v>
      </c>
      <c r="C441" s="113" t="s">
        <v>8</v>
      </c>
      <c r="D441" s="143">
        <v>0.29166666666666669</v>
      </c>
      <c r="E441" s="144">
        <v>0.58333333333333337</v>
      </c>
      <c r="F441" s="128">
        <f>(IF(D441="u",0.333333333,IF(D441="W",0,IF(D441="C",F441,IF(D441="op",F441,(E441-D441))))))</f>
        <v>0.29166666666666669</v>
      </c>
      <c r="G441" s="119"/>
      <c r="H441" s="120"/>
      <c r="I441" s="128">
        <f>(IF(G441="u",0.333333333,IF(G441="W",0,IF(G441="C",I441,IF(G441="op",I441,(H441-G441))))))</f>
        <v>0</v>
      </c>
      <c r="J441" s="119" t="s">
        <v>111</v>
      </c>
      <c r="K441" s="120"/>
      <c r="L441" s="128">
        <f>(IF(J441="u",0.333333333,IF(J441="W",0,IF(J441="C",L441,IF(J441="op",L441,(K441-J441))))))</f>
        <v>0</v>
      </c>
      <c r="M441" s="119" t="s">
        <v>111</v>
      </c>
      <c r="N441" s="120"/>
      <c r="O441" s="128">
        <f>(IF(M441="u",0.333333333,IF(M441="W",0,IF(M441="C",O441,IF(M441="op",O441,(N441-M441))))))</f>
        <v>0</v>
      </c>
      <c r="P441" s="114">
        <v>0.375</v>
      </c>
      <c r="Q441" s="115">
        <v>0.66666666666666663</v>
      </c>
      <c r="R441" s="128">
        <f>(IF(P441="u",0.333333333,IF(P441="W",0,IF(P441="C",R441,IF(P441="op",R441,(Q441-P441))))))</f>
        <v>0.29166666666666663</v>
      </c>
      <c r="S441" s="119"/>
      <c r="T441" s="120"/>
      <c r="U441" s="128">
        <f>(IF(S441="u",0.333333333,IF(S441="W",0,IF(S441="C",U441,IF(S441="op",U441,(T441-S441))))))</f>
        <v>0</v>
      </c>
      <c r="V441" s="124">
        <v>0.29166666666666669</v>
      </c>
      <c r="W441" s="120">
        <v>0.58333333333333337</v>
      </c>
      <c r="X441" s="128">
        <f>(IF(V441="u",0.333333333,IF(V441="W",0,IF(V441="C",X441,IF(V441="op",X441,(W441-V441))))))</f>
        <v>0.29166666666666669</v>
      </c>
      <c r="Y441" s="124">
        <v>0.29166666666666669</v>
      </c>
      <c r="Z441" s="120">
        <v>0.58333333333333337</v>
      </c>
      <c r="AA441" s="128">
        <f>(IF(Y441="u",0.333333333,IF(Y441="W",0,IF(Y441="C",AA441,IF(Y441="op",AA441,(Z441-Y441))))))</f>
        <v>0.29166666666666669</v>
      </c>
      <c r="AB441" s="124">
        <v>0.29166666666666669</v>
      </c>
      <c r="AC441" s="120">
        <v>0.58333333333333337</v>
      </c>
      <c r="AD441" s="128">
        <f>(IF(AB441="u",0.333333333,IF(AB441="W",0,IF(AB441="C",AD441,IF(AB441="op",AD441,(AC441-AB441))))))</f>
        <v>0.29166666666666669</v>
      </c>
      <c r="AE441" s="124">
        <v>0.54166666666666663</v>
      </c>
      <c r="AF441" s="120">
        <v>0.83333333333333337</v>
      </c>
      <c r="AG441" s="128">
        <f>(IF(AE441="u",0.333333333,IF(AE441="W",0,IF(AE441="C",AG441,IF(AE441="op",AG441,(AF441-AE441))))))</f>
        <v>0.29166666666666674</v>
      </c>
      <c r="AH441" s="124">
        <v>0.54166666666666663</v>
      </c>
      <c r="AI441" s="120">
        <v>0.83333333333333337</v>
      </c>
      <c r="AJ441" s="128">
        <f>(IF(AH441="u",0.333333333,IF(AH441="W",0,IF(AH441="C",AJ441,IF(AH441="op",AJ441,(AI441-AH441))))))</f>
        <v>0.29166666666666674</v>
      </c>
      <c r="AK441" s="124">
        <v>0.29166666666666669</v>
      </c>
      <c r="AL441" s="120">
        <v>0.58333333333333337</v>
      </c>
      <c r="AM441" s="128">
        <f>(IF(AK441="u",0.333333333,IF(AK441="W",0,IF(AK441="C",AM441,IF(AK441="op",AM441,(AL441-AK441))))))</f>
        <v>0.29166666666666669</v>
      </c>
      <c r="AN441" s="118">
        <v>15</v>
      </c>
      <c r="AO441" s="113" t="s">
        <v>8</v>
      </c>
    </row>
    <row r="442" spans="2:41" ht="15" customHeight="1">
      <c r="B442" s="118">
        <v>16</v>
      </c>
      <c r="C442" s="113" t="s">
        <v>12</v>
      </c>
      <c r="D442" s="143">
        <v>0.29166666666666669</v>
      </c>
      <c r="E442" s="144">
        <v>0.58333333333333337</v>
      </c>
      <c r="F442" s="128">
        <f t="shared" ref="F442:F457" si="482">(IF(D442="u",0.333333333,IF(D442="W",0,IF(D442="C",F442,IF(D442="op",F442,(E442-D442))))))</f>
        <v>0.29166666666666669</v>
      </c>
      <c r="G442" s="119">
        <v>0.5</v>
      </c>
      <c r="H442" s="120">
        <v>0.66666666666666663</v>
      </c>
      <c r="I442" s="128">
        <f t="shared" ref="I442:I457" si="483">(IF(G442="u",0.333333333,IF(G442="W",0,IF(G442="C",I442,IF(G442="op",I442,(H442-G442))))))</f>
        <v>0.16666666666666663</v>
      </c>
      <c r="J442" s="119" t="s">
        <v>111</v>
      </c>
      <c r="K442" s="120"/>
      <c r="L442" s="128">
        <f t="shared" ref="L442:L457" si="484">(IF(J442="u",0.333333333,IF(J442="W",0,IF(J442="C",L442,IF(J442="op",L442,(K442-J442))))))</f>
        <v>0</v>
      </c>
      <c r="M442" s="119" t="s">
        <v>111</v>
      </c>
      <c r="N442" s="120"/>
      <c r="O442" s="128">
        <f t="shared" ref="O442:O457" si="485">(IF(M442="u",0.333333333,IF(M442="W",0,IF(M442="C",O442,IF(M442="op",O442,(N442-M442))))))</f>
        <v>0</v>
      </c>
      <c r="P442" s="119">
        <v>0.375</v>
      </c>
      <c r="Q442" s="120">
        <v>0.66666666666666663</v>
      </c>
      <c r="R442" s="128">
        <f t="shared" ref="R442:R457" si="486">(IF(P442="u",0.333333333,IF(P442="W",0,IF(P442="C",R442,IF(P442="op",R442,(Q442-P442))))))</f>
        <v>0.29166666666666663</v>
      </c>
      <c r="S442" s="119"/>
      <c r="T442" s="120"/>
      <c r="U442" s="128">
        <f t="shared" ref="U442:U457" si="487">(IF(S442="u",0.333333333,IF(S442="W",0,IF(S442="C",U442,IF(S442="op",U442,(T442-S442))))))</f>
        <v>0</v>
      </c>
      <c r="V442" s="124">
        <v>0.29166666666666669</v>
      </c>
      <c r="W442" s="120">
        <v>0.58333333333333337</v>
      </c>
      <c r="X442" s="128">
        <f t="shared" ref="X442:X457" si="488">(IF(V442="u",0.333333333,IF(V442="W",0,IF(V442="C",X442,IF(V442="op",X442,(W442-V442))))))</f>
        <v>0.29166666666666669</v>
      </c>
      <c r="Y442" s="124">
        <v>0.29166666666666669</v>
      </c>
      <c r="Z442" s="120">
        <v>0.58333333333333337</v>
      </c>
      <c r="AA442" s="128">
        <f t="shared" ref="AA442:AA457" si="489">(IF(Y442="u",0.333333333,IF(Y442="W",0,IF(Y442="C",AA442,IF(Y442="op",AA442,(Z442-Y442))))))</f>
        <v>0.29166666666666669</v>
      </c>
      <c r="AB442" s="124">
        <v>0.29166666666666669</v>
      </c>
      <c r="AC442" s="120">
        <v>0.58333333333333337</v>
      </c>
      <c r="AD442" s="128">
        <f t="shared" ref="AD442:AD457" si="490">(IF(AB442="u",0.333333333,IF(AB442="W",0,IF(AB442="C",AD442,IF(AB442="op",AD442,(AC442-AB442))))))</f>
        <v>0.29166666666666669</v>
      </c>
      <c r="AE442" s="124">
        <v>0.54166666666666663</v>
      </c>
      <c r="AF442" s="120">
        <v>0.83333333333333337</v>
      </c>
      <c r="AG442" s="128">
        <f t="shared" ref="AG442:AG457" si="491">(IF(AE442="u",0.333333333,IF(AE442="W",0,IF(AE442="C",AG442,IF(AE442="op",AG442,(AF442-AE442))))))</f>
        <v>0.29166666666666674</v>
      </c>
      <c r="AH442" s="124">
        <v>0.54166666666666663</v>
      </c>
      <c r="AI442" s="120">
        <v>0.83333333333333337</v>
      </c>
      <c r="AJ442" s="128">
        <f t="shared" ref="AJ442:AJ457" si="492">(IF(AH442="u",0.333333333,IF(AH442="W",0,IF(AH442="C",AJ442,IF(AH442="op",AJ442,(AI442-AH442))))))</f>
        <v>0.29166666666666674</v>
      </c>
      <c r="AK442" s="124">
        <v>0.29166666666666669</v>
      </c>
      <c r="AL442" s="120">
        <v>0.58333333333333337</v>
      </c>
      <c r="AM442" s="128">
        <f t="shared" ref="AM442:AM457" si="493">(IF(AK442="u",0.333333333,IF(AK442="W",0,IF(AK442="C",AM442,IF(AK442="op",AM442,(AL442-AK442))))))</f>
        <v>0.29166666666666669</v>
      </c>
      <c r="AN442" s="118">
        <v>16</v>
      </c>
      <c r="AO442" s="113" t="s">
        <v>12</v>
      </c>
    </row>
    <row r="443" spans="2:41" ht="15" customHeight="1">
      <c r="B443" s="118">
        <v>17</v>
      </c>
      <c r="C443" s="113" t="s">
        <v>85</v>
      </c>
      <c r="D443" s="143">
        <v>0.29166666666666669</v>
      </c>
      <c r="E443" s="144">
        <v>0.58333333333333337</v>
      </c>
      <c r="F443" s="128">
        <f t="shared" si="482"/>
        <v>0.29166666666666669</v>
      </c>
      <c r="G443" s="119">
        <v>0.33333333333333331</v>
      </c>
      <c r="H443" s="120">
        <v>0.66666666666666663</v>
      </c>
      <c r="I443" s="128">
        <f t="shared" si="483"/>
        <v>0.33333333333333331</v>
      </c>
      <c r="J443" s="119" t="s">
        <v>111</v>
      </c>
      <c r="K443" s="120"/>
      <c r="L443" s="128">
        <f t="shared" si="484"/>
        <v>0</v>
      </c>
      <c r="M443" s="119" t="s">
        <v>111</v>
      </c>
      <c r="N443" s="120"/>
      <c r="O443" s="128">
        <f t="shared" si="485"/>
        <v>0</v>
      </c>
      <c r="P443" s="119">
        <v>0.375</v>
      </c>
      <c r="Q443" s="120">
        <v>0.66666666666666663</v>
      </c>
      <c r="R443" s="128">
        <f t="shared" si="486"/>
        <v>0.29166666666666663</v>
      </c>
      <c r="S443" s="119"/>
      <c r="T443" s="120"/>
      <c r="U443" s="128">
        <f t="shared" si="487"/>
        <v>0</v>
      </c>
      <c r="V443" s="124">
        <v>0.29166666666666669</v>
      </c>
      <c r="W443" s="120">
        <v>0.58333333333333337</v>
      </c>
      <c r="X443" s="128">
        <f t="shared" si="488"/>
        <v>0.29166666666666669</v>
      </c>
      <c r="Y443" s="124">
        <v>0.29166666666666669</v>
      </c>
      <c r="Z443" s="120">
        <v>0.58333333333333337</v>
      </c>
      <c r="AA443" s="128">
        <f t="shared" si="489"/>
        <v>0.29166666666666669</v>
      </c>
      <c r="AB443" s="124">
        <v>0.29166666666666669</v>
      </c>
      <c r="AC443" s="120">
        <v>0.58333333333333337</v>
      </c>
      <c r="AD443" s="128">
        <f t="shared" si="490"/>
        <v>0.29166666666666669</v>
      </c>
      <c r="AE443" s="124">
        <v>0.54166666666666663</v>
      </c>
      <c r="AF443" s="120">
        <v>0.83333333333333337</v>
      </c>
      <c r="AG443" s="128">
        <f t="shared" si="491"/>
        <v>0.29166666666666674</v>
      </c>
      <c r="AH443" s="124">
        <v>0.54166666666666663</v>
      </c>
      <c r="AI443" s="120">
        <v>0.83333333333333337</v>
      </c>
      <c r="AJ443" s="128">
        <f t="shared" si="492"/>
        <v>0.29166666666666674</v>
      </c>
      <c r="AK443" s="124">
        <v>0.29166666666666669</v>
      </c>
      <c r="AL443" s="120">
        <v>0.58333333333333337</v>
      </c>
      <c r="AM443" s="128">
        <f t="shared" si="493"/>
        <v>0.29166666666666669</v>
      </c>
      <c r="AN443" s="118">
        <v>17</v>
      </c>
      <c r="AO443" s="113" t="s">
        <v>85</v>
      </c>
    </row>
    <row r="444" spans="2:41" ht="15" customHeight="1">
      <c r="B444" s="118">
        <v>18</v>
      </c>
      <c r="C444" s="113" t="s">
        <v>4</v>
      </c>
      <c r="D444" s="143">
        <v>0.29166666666666669</v>
      </c>
      <c r="E444" s="144">
        <v>0.58333333333333337</v>
      </c>
      <c r="F444" s="128">
        <f t="shared" si="482"/>
        <v>0.29166666666666669</v>
      </c>
      <c r="G444" s="119">
        <v>0.33333333333333331</v>
      </c>
      <c r="H444" s="120">
        <v>0.66666666666666663</v>
      </c>
      <c r="I444" s="128">
        <f t="shared" si="483"/>
        <v>0.33333333333333331</v>
      </c>
      <c r="J444" s="119" t="s">
        <v>111</v>
      </c>
      <c r="K444" s="120"/>
      <c r="L444" s="128">
        <f t="shared" si="484"/>
        <v>0</v>
      </c>
      <c r="M444" s="119" t="s">
        <v>111</v>
      </c>
      <c r="N444" s="120"/>
      <c r="O444" s="128">
        <f t="shared" si="485"/>
        <v>0</v>
      </c>
      <c r="P444" s="119">
        <v>0.375</v>
      </c>
      <c r="Q444" s="120">
        <v>0.66666666666666663</v>
      </c>
      <c r="R444" s="128">
        <f t="shared" si="486"/>
        <v>0.29166666666666663</v>
      </c>
      <c r="S444" s="119"/>
      <c r="T444" s="120"/>
      <c r="U444" s="128">
        <f t="shared" si="487"/>
        <v>0</v>
      </c>
      <c r="V444" s="124">
        <v>0.29166666666666669</v>
      </c>
      <c r="W444" s="120">
        <v>0.58333333333333337</v>
      </c>
      <c r="X444" s="128">
        <f t="shared" si="488"/>
        <v>0.29166666666666669</v>
      </c>
      <c r="Y444" s="124">
        <v>0.29166666666666669</v>
      </c>
      <c r="Z444" s="120">
        <v>0.58333333333333337</v>
      </c>
      <c r="AA444" s="128">
        <f t="shared" si="489"/>
        <v>0.29166666666666669</v>
      </c>
      <c r="AB444" s="124">
        <v>0.29166666666666669</v>
      </c>
      <c r="AC444" s="120">
        <v>0.58333333333333337</v>
      </c>
      <c r="AD444" s="128">
        <f t="shared" si="490"/>
        <v>0.29166666666666669</v>
      </c>
      <c r="AE444" s="124">
        <v>0.54166666666666663</v>
      </c>
      <c r="AF444" s="120">
        <v>0.83333333333333337</v>
      </c>
      <c r="AG444" s="128">
        <f t="shared" si="491"/>
        <v>0.29166666666666674</v>
      </c>
      <c r="AH444" s="124">
        <v>0.54166666666666663</v>
      </c>
      <c r="AI444" s="120">
        <v>0.83333333333333337</v>
      </c>
      <c r="AJ444" s="128">
        <f t="shared" si="492"/>
        <v>0.29166666666666674</v>
      </c>
      <c r="AK444" s="124">
        <v>0.29166666666666669</v>
      </c>
      <c r="AL444" s="120">
        <v>0.58333333333333337</v>
      </c>
      <c r="AM444" s="128">
        <f t="shared" si="493"/>
        <v>0.29166666666666669</v>
      </c>
      <c r="AN444" s="118">
        <v>18</v>
      </c>
      <c r="AO444" s="113" t="s">
        <v>4</v>
      </c>
    </row>
    <row r="445" spans="2:41" ht="15" customHeight="1">
      <c r="B445" s="86">
        <v>19</v>
      </c>
      <c r="C445" s="87" t="s">
        <v>5</v>
      </c>
      <c r="D445" s="88" t="s">
        <v>111</v>
      </c>
      <c r="E445" s="89" t="s">
        <v>111</v>
      </c>
      <c r="F445" s="92">
        <f t="shared" si="482"/>
        <v>0</v>
      </c>
      <c r="G445" s="88"/>
      <c r="H445" s="89"/>
      <c r="I445" s="92">
        <f t="shared" si="483"/>
        <v>0</v>
      </c>
      <c r="J445" s="88">
        <v>0.66666666666666663</v>
      </c>
      <c r="K445" s="89">
        <v>1.1666666666666667</v>
      </c>
      <c r="L445" s="92">
        <f t="shared" si="484"/>
        <v>0.50000000000000011</v>
      </c>
      <c r="M445" s="88">
        <v>0.66666666666666663</v>
      </c>
      <c r="N445" s="89">
        <v>1.1666666666666667</v>
      </c>
      <c r="O445" s="92">
        <f t="shared" si="485"/>
        <v>0.50000000000000011</v>
      </c>
      <c r="P445" s="88"/>
      <c r="Q445" s="89"/>
      <c r="R445" s="92">
        <f t="shared" si="486"/>
        <v>0</v>
      </c>
      <c r="S445" s="88"/>
      <c r="T445" s="89"/>
      <c r="U445" s="92">
        <f t="shared" si="487"/>
        <v>0</v>
      </c>
      <c r="V445" s="147"/>
      <c r="W445" s="89"/>
      <c r="X445" s="92">
        <f t="shared" si="488"/>
        <v>0</v>
      </c>
      <c r="Y445" s="147"/>
      <c r="Z445" s="89"/>
      <c r="AA445" s="92">
        <f t="shared" si="489"/>
        <v>0</v>
      </c>
      <c r="AB445" s="147"/>
      <c r="AC445" s="89"/>
      <c r="AD445" s="92">
        <f t="shared" si="490"/>
        <v>0</v>
      </c>
      <c r="AE445" s="147"/>
      <c r="AF445" s="89"/>
      <c r="AG445" s="92">
        <f t="shared" si="491"/>
        <v>0</v>
      </c>
      <c r="AH445" s="147"/>
      <c r="AI445" s="89"/>
      <c r="AJ445" s="92">
        <f t="shared" si="492"/>
        <v>0</v>
      </c>
      <c r="AK445" s="147"/>
      <c r="AL445" s="89"/>
      <c r="AM445" s="92">
        <f t="shared" si="493"/>
        <v>0</v>
      </c>
      <c r="AN445" s="86">
        <v>19</v>
      </c>
      <c r="AO445" s="87" t="s">
        <v>5</v>
      </c>
    </row>
    <row r="446" spans="2:41" ht="15" customHeight="1">
      <c r="B446" s="86">
        <v>20</v>
      </c>
      <c r="C446" s="87" t="s">
        <v>6</v>
      </c>
      <c r="D446" s="88" t="s">
        <v>111</v>
      </c>
      <c r="E446" s="89" t="s">
        <v>111</v>
      </c>
      <c r="F446" s="92">
        <f t="shared" si="482"/>
        <v>0</v>
      </c>
      <c r="G446" s="88"/>
      <c r="H446" s="89"/>
      <c r="I446" s="92">
        <f t="shared" si="483"/>
        <v>0</v>
      </c>
      <c r="J446" s="88"/>
      <c r="K446" s="89"/>
      <c r="L446" s="92">
        <f t="shared" si="484"/>
        <v>0</v>
      </c>
      <c r="M446" s="88"/>
      <c r="N446" s="89"/>
      <c r="O446" s="92">
        <f t="shared" si="485"/>
        <v>0</v>
      </c>
      <c r="P446" s="88"/>
      <c r="Q446" s="89"/>
      <c r="R446" s="92">
        <f t="shared" si="486"/>
        <v>0</v>
      </c>
      <c r="S446" s="88"/>
      <c r="T446" s="89"/>
      <c r="U446" s="92">
        <f t="shared" si="487"/>
        <v>0</v>
      </c>
      <c r="V446" s="147"/>
      <c r="W446" s="89"/>
      <c r="X446" s="92">
        <f t="shared" si="488"/>
        <v>0</v>
      </c>
      <c r="Y446" s="147"/>
      <c r="Z446" s="89"/>
      <c r="AA446" s="92">
        <f t="shared" si="489"/>
        <v>0</v>
      </c>
      <c r="AB446" s="147"/>
      <c r="AC446" s="89"/>
      <c r="AD446" s="92">
        <f t="shared" si="490"/>
        <v>0</v>
      </c>
      <c r="AE446" s="147"/>
      <c r="AF446" s="89"/>
      <c r="AG446" s="92">
        <f t="shared" si="491"/>
        <v>0</v>
      </c>
      <c r="AH446" s="147"/>
      <c r="AI446" s="89"/>
      <c r="AJ446" s="92">
        <f t="shared" si="492"/>
        <v>0</v>
      </c>
      <c r="AK446" s="147"/>
      <c r="AL446" s="89"/>
      <c r="AM446" s="92">
        <f t="shared" si="493"/>
        <v>0</v>
      </c>
      <c r="AN446" s="86">
        <v>20</v>
      </c>
      <c r="AO446" s="87" t="s">
        <v>6</v>
      </c>
    </row>
    <row r="447" spans="2:41" ht="15" customHeight="1">
      <c r="B447" s="118">
        <v>21</v>
      </c>
      <c r="C447" s="113" t="s">
        <v>7</v>
      </c>
      <c r="D447" s="119" t="s">
        <v>111</v>
      </c>
      <c r="E447" s="120" t="s">
        <v>111</v>
      </c>
      <c r="F447" s="128">
        <f t="shared" si="482"/>
        <v>0</v>
      </c>
      <c r="G447" s="119"/>
      <c r="H447" s="120"/>
      <c r="I447" s="128">
        <f t="shared" si="483"/>
        <v>0</v>
      </c>
      <c r="J447" s="119">
        <v>0.5</v>
      </c>
      <c r="K447" s="120">
        <v>0.875</v>
      </c>
      <c r="L447" s="128">
        <f t="shared" si="484"/>
        <v>0.375</v>
      </c>
      <c r="M447" s="119" t="s">
        <v>111</v>
      </c>
      <c r="N447" s="120"/>
      <c r="O447" s="128">
        <f t="shared" si="485"/>
        <v>0</v>
      </c>
      <c r="P447" s="114">
        <v>0.375</v>
      </c>
      <c r="Q447" s="115">
        <v>0.66666666666666663</v>
      </c>
      <c r="R447" s="128">
        <f t="shared" si="486"/>
        <v>0.29166666666666663</v>
      </c>
      <c r="S447" s="119"/>
      <c r="T447" s="120"/>
      <c r="U447" s="128">
        <f t="shared" si="487"/>
        <v>0</v>
      </c>
      <c r="V447" s="124">
        <v>0.54166666666666663</v>
      </c>
      <c r="W447" s="120">
        <v>0.83333333333333337</v>
      </c>
      <c r="X447" s="128">
        <f t="shared" si="488"/>
        <v>0.29166666666666674</v>
      </c>
      <c r="Y447" s="124">
        <v>0.54166666666666663</v>
      </c>
      <c r="Z447" s="120">
        <v>0.83333333333333337</v>
      </c>
      <c r="AA447" s="128">
        <f t="shared" si="489"/>
        <v>0.29166666666666674</v>
      </c>
      <c r="AB447" s="124">
        <v>0.54166666666666663</v>
      </c>
      <c r="AC447" s="120">
        <v>0.83333333333333337</v>
      </c>
      <c r="AD447" s="128">
        <f t="shared" si="490"/>
        <v>0.29166666666666674</v>
      </c>
      <c r="AE447" s="124">
        <v>0.29166666666666669</v>
      </c>
      <c r="AF447" s="120">
        <v>0.58333333333333337</v>
      </c>
      <c r="AG447" s="128">
        <f t="shared" si="491"/>
        <v>0.29166666666666669</v>
      </c>
      <c r="AH447" s="124">
        <v>0.29166666666666669</v>
      </c>
      <c r="AI447" s="120">
        <v>0.58333333333333337</v>
      </c>
      <c r="AJ447" s="128">
        <f t="shared" si="492"/>
        <v>0.29166666666666669</v>
      </c>
      <c r="AK447" s="124">
        <v>0.29166666666666669</v>
      </c>
      <c r="AL447" s="120">
        <v>0.58333333333333337</v>
      </c>
      <c r="AM447" s="128">
        <f t="shared" si="493"/>
        <v>0.29166666666666669</v>
      </c>
      <c r="AN447" s="118">
        <v>21</v>
      </c>
      <c r="AO447" s="113" t="s">
        <v>7</v>
      </c>
    </row>
    <row r="448" spans="2:41" ht="15" customHeight="1">
      <c r="B448" s="118">
        <v>22</v>
      </c>
      <c r="C448" s="113" t="s">
        <v>8</v>
      </c>
      <c r="D448" s="119" t="s">
        <v>111</v>
      </c>
      <c r="E448" s="120" t="s">
        <v>111</v>
      </c>
      <c r="F448" s="128">
        <f t="shared" si="482"/>
        <v>0</v>
      </c>
      <c r="G448" s="119"/>
      <c r="H448" s="120"/>
      <c r="I448" s="128">
        <f t="shared" si="483"/>
        <v>0</v>
      </c>
      <c r="J448" s="119" t="s">
        <v>111</v>
      </c>
      <c r="K448" s="120"/>
      <c r="L448" s="128">
        <f t="shared" si="484"/>
        <v>0</v>
      </c>
      <c r="M448" s="119" t="s">
        <v>111</v>
      </c>
      <c r="N448" s="120"/>
      <c r="O448" s="128">
        <f t="shared" si="485"/>
        <v>0</v>
      </c>
      <c r="P448" s="114">
        <v>0.375</v>
      </c>
      <c r="Q448" s="115">
        <v>0.66666666666666663</v>
      </c>
      <c r="R448" s="128">
        <f t="shared" si="486"/>
        <v>0.29166666666666663</v>
      </c>
      <c r="S448" s="119"/>
      <c r="T448" s="120"/>
      <c r="U448" s="128">
        <f t="shared" si="487"/>
        <v>0</v>
      </c>
      <c r="V448" s="124">
        <v>0.54166666666666663</v>
      </c>
      <c r="W448" s="120">
        <v>0.83333333333333337</v>
      </c>
      <c r="X448" s="128">
        <f t="shared" si="488"/>
        <v>0.29166666666666674</v>
      </c>
      <c r="Y448" s="124">
        <v>0.54166666666666663</v>
      </c>
      <c r="Z448" s="120">
        <v>0.83333333333333337</v>
      </c>
      <c r="AA448" s="128">
        <f t="shared" si="489"/>
        <v>0.29166666666666674</v>
      </c>
      <c r="AB448" s="124">
        <v>0.54166666666666663</v>
      </c>
      <c r="AC448" s="120">
        <v>0.83333333333333337</v>
      </c>
      <c r="AD448" s="128">
        <f t="shared" si="490"/>
        <v>0.29166666666666674</v>
      </c>
      <c r="AE448" s="124">
        <v>0.29166666666666669</v>
      </c>
      <c r="AF448" s="120">
        <v>0.58333333333333337</v>
      </c>
      <c r="AG448" s="128">
        <f t="shared" si="491"/>
        <v>0.29166666666666669</v>
      </c>
      <c r="AH448" s="124">
        <v>0.29166666666666669</v>
      </c>
      <c r="AI448" s="120">
        <v>0.58333333333333337</v>
      </c>
      <c r="AJ448" s="128">
        <f t="shared" si="492"/>
        <v>0.29166666666666669</v>
      </c>
      <c r="AK448" s="124">
        <v>0.29166666666666669</v>
      </c>
      <c r="AL448" s="120">
        <v>0.58333333333333337</v>
      </c>
      <c r="AM448" s="128">
        <f t="shared" si="493"/>
        <v>0.29166666666666669</v>
      </c>
      <c r="AN448" s="118">
        <v>22</v>
      </c>
      <c r="AO448" s="113" t="s">
        <v>8</v>
      </c>
    </row>
    <row r="449" spans="2:41" ht="15" customHeight="1">
      <c r="B449" s="118">
        <v>23</v>
      </c>
      <c r="C449" s="113" t="s">
        <v>12</v>
      </c>
      <c r="D449" s="119" t="s">
        <v>111</v>
      </c>
      <c r="E449" s="120" t="s">
        <v>111</v>
      </c>
      <c r="F449" s="128">
        <f t="shared" si="482"/>
        <v>0</v>
      </c>
      <c r="G449" s="119">
        <v>0.5</v>
      </c>
      <c r="H449" s="120">
        <v>0.66666666666666663</v>
      </c>
      <c r="I449" s="128">
        <f t="shared" si="483"/>
        <v>0.16666666666666663</v>
      </c>
      <c r="J449" s="119" t="s">
        <v>111</v>
      </c>
      <c r="K449" s="120"/>
      <c r="L449" s="128">
        <f t="shared" si="484"/>
        <v>0</v>
      </c>
      <c r="M449" s="119" t="s">
        <v>111</v>
      </c>
      <c r="N449" s="120"/>
      <c r="O449" s="128">
        <f t="shared" si="485"/>
        <v>0</v>
      </c>
      <c r="P449" s="119">
        <v>0.375</v>
      </c>
      <c r="Q449" s="120">
        <v>0.66666666666666663</v>
      </c>
      <c r="R449" s="128">
        <f t="shared" si="486"/>
        <v>0.29166666666666663</v>
      </c>
      <c r="S449" s="119"/>
      <c r="T449" s="120"/>
      <c r="U449" s="128">
        <f t="shared" si="487"/>
        <v>0</v>
      </c>
      <c r="V449" s="124">
        <v>0.54166666666666663</v>
      </c>
      <c r="W449" s="120">
        <v>0.83333333333333337</v>
      </c>
      <c r="X449" s="128">
        <f t="shared" si="488"/>
        <v>0.29166666666666674</v>
      </c>
      <c r="Y449" s="124">
        <v>0.54166666666666663</v>
      </c>
      <c r="Z449" s="120">
        <v>0.83333333333333337</v>
      </c>
      <c r="AA449" s="128">
        <f t="shared" si="489"/>
        <v>0.29166666666666674</v>
      </c>
      <c r="AB449" s="124">
        <v>0.54166666666666663</v>
      </c>
      <c r="AC449" s="120">
        <v>0.83333333333333337</v>
      </c>
      <c r="AD449" s="128">
        <f t="shared" si="490"/>
        <v>0.29166666666666674</v>
      </c>
      <c r="AE449" s="124">
        <v>0.29166666666666669</v>
      </c>
      <c r="AF449" s="120">
        <v>0.58333333333333337</v>
      </c>
      <c r="AG449" s="128">
        <f t="shared" si="491"/>
        <v>0.29166666666666669</v>
      </c>
      <c r="AH449" s="124">
        <v>0.29166666666666669</v>
      </c>
      <c r="AI449" s="120">
        <v>0.58333333333333337</v>
      </c>
      <c r="AJ449" s="128">
        <f t="shared" si="492"/>
        <v>0.29166666666666669</v>
      </c>
      <c r="AK449" s="124">
        <v>0.29166666666666669</v>
      </c>
      <c r="AL449" s="120">
        <v>0.58333333333333337</v>
      </c>
      <c r="AM449" s="128">
        <f t="shared" si="493"/>
        <v>0.29166666666666669</v>
      </c>
      <c r="AN449" s="118">
        <v>23</v>
      </c>
      <c r="AO449" s="113" t="s">
        <v>12</v>
      </c>
    </row>
    <row r="450" spans="2:41" ht="15" customHeight="1">
      <c r="B450" s="118">
        <v>24</v>
      </c>
      <c r="C450" s="113" t="s">
        <v>85</v>
      </c>
      <c r="D450" s="119" t="s">
        <v>111</v>
      </c>
      <c r="E450" s="120" t="s">
        <v>111</v>
      </c>
      <c r="F450" s="128">
        <f t="shared" si="482"/>
        <v>0</v>
      </c>
      <c r="G450" s="119">
        <v>0.33333333333333331</v>
      </c>
      <c r="H450" s="120">
        <v>0.66666666666666663</v>
      </c>
      <c r="I450" s="128">
        <f t="shared" si="483"/>
        <v>0.33333333333333331</v>
      </c>
      <c r="J450" s="119" t="s">
        <v>111</v>
      </c>
      <c r="K450" s="120"/>
      <c r="L450" s="128">
        <f t="shared" si="484"/>
        <v>0</v>
      </c>
      <c r="M450" s="119" t="s">
        <v>111</v>
      </c>
      <c r="N450" s="120"/>
      <c r="O450" s="128">
        <f t="shared" si="485"/>
        <v>0</v>
      </c>
      <c r="P450" s="119">
        <v>0.375</v>
      </c>
      <c r="Q450" s="120">
        <v>0.66666666666666663</v>
      </c>
      <c r="R450" s="128">
        <f t="shared" si="486"/>
        <v>0.29166666666666663</v>
      </c>
      <c r="S450" s="119"/>
      <c r="T450" s="120"/>
      <c r="U450" s="128">
        <f t="shared" si="487"/>
        <v>0</v>
      </c>
      <c r="V450" s="124">
        <v>0.54166666666666663</v>
      </c>
      <c r="W450" s="120">
        <v>0.83333333333333337</v>
      </c>
      <c r="X450" s="128">
        <f t="shared" si="488"/>
        <v>0.29166666666666674</v>
      </c>
      <c r="Y450" s="124">
        <v>0.54166666666666663</v>
      </c>
      <c r="Z450" s="120">
        <v>0.83333333333333337</v>
      </c>
      <c r="AA450" s="128">
        <f t="shared" si="489"/>
        <v>0.29166666666666674</v>
      </c>
      <c r="AB450" s="124">
        <v>0.54166666666666663</v>
      </c>
      <c r="AC450" s="120">
        <v>0.83333333333333337</v>
      </c>
      <c r="AD450" s="128">
        <f t="shared" si="490"/>
        <v>0.29166666666666674</v>
      </c>
      <c r="AE450" s="124">
        <v>0.29166666666666669</v>
      </c>
      <c r="AF450" s="120">
        <v>0.58333333333333337</v>
      </c>
      <c r="AG450" s="128">
        <f t="shared" si="491"/>
        <v>0.29166666666666669</v>
      </c>
      <c r="AH450" s="124">
        <v>0.29166666666666669</v>
      </c>
      <c r="AI450" s="120">
        <v>0.58333333333333337</v>
      </c>
      <c r="AJ450" s="128">
        <f t="shared" si="492"/>
        <v>0.29166666666666669</v>
      </c>
      <c r="AK450" s="124">
        <v>0.29166666666666669</v>
      </c>
      <c r="AL450" s="120">
        <v>0.58333333333333337</v>
      </c>
      <c r="AM450" s="128">
        <f t="shared" si="493"/>
        <v>0.29166666666666669</v>
      </c>
      <c r="AN450" s="118">
        <v>24</v>
      </c>
      <c r="AO450" s="113" t="s">
        <v>85</v>
      </c>
    </row>
    <row r="451" spans="2:41" ht="15" customHeight="1">
      <c r="B451" s="118">
        <v>25</v>
      </c>
      <c r="C451" s="113" t="s">
        <v>4</v>
      </c>
      <c r="D451" s="119" t="s">
        <v>111</v>
      </c>
      <c r="E451" s="120" t="s">
        <v>111</v>
      </c>
      <c r="F451" s="128">
        <f t="shared" si="482"/>
        <v>0</v>
      </c>
      <c r="G451" s="119">
        <v>0.33333333333333331</v>
      </c>
      <c r="H451" s="120">
        <v>0.66666666666666663</v>
      </c>
      <c r="I451" s="128">
        <f t="shared" si="483"/>
        <v>0.33333333333333331</v>
      </c>
      <c r="J451" s="119" t="s">
        <v>111</v>
      </c>
      <c r="K451" s="120"/>
      <c r="L451" s="128">
        <f t="shared" si="484"/>
        <v>0</v>
      </c>
      <c r="M451" s="119" t="s">
        <v>111</v>
      </c>
      <c r="N451" s="120"/>
      <c r="O451" s="128">
        <f t="shared" si="485"/>
        <v>0</v>
      </c>
      <c r="P451" s="119">
        <v>0.375</v>
      </c>
      <c r="Q451" s="120">
        <v>0.66666666666666663</v>
      </c>
      <c r="R451" s="128">
        <f t="shared" si="486"/>
        <v>0.29166666666666663</v>
      </c>
      <c r="S451" s="119"/>
      <c r="T451" s="120"/>
      <c r="U451" s="128">
        <f t="shared" si="487"/>
        <v>0</v>
      </c>
      <c r="V451" s="124">
        <v>0.54166666666666663</v>
      </c>
      <c r="W451" s="120">
        <v>0.83333333333333337</v>
      </c>
      <c r="X451" s="128">
        <f t="shared" si="488"/>
        <v>0.29166666666666674</v>
      </c>
      <c r="Y451" s="124">
        <v>0.54166666666666663</v>
      </c>
      <c r="Z451" s="120">
        <v>0.83333333333333337</v>
      </c>
      <c r="AA451" s="128">
        <f t="shared" si="489"/>
        <v>0.29166666666666674</v>
      </c>
      <c r="AB451" s="124">
        <v>0.54166666666666663</v>
      </c>
      <c r="AC451" s="120">
        <v>0.83333333333333337</v>
      </c>
      <c r="AD451" s="128">
        <f t="shared" si="490"/>
        <v>0.29166666666666674</v>
      </c>
      <c r="AE451" s="124">
        <v>0.29166666666666669</v>
      </c>
      <c r="AF451" s="120">
        <v>0.58333333333333337</v>
      </c>
      <c r="AG451" s="128">
        <f t="shared" si="491"/>
        <v>0.29166666666666669</v>
      </c>
      <c r="AH451" s="124">
        <v>0.29166666666666669</v>
      </c>
      <c r="AI451" s="120">
        <v>0.58333333333333337</v>
      </c>
      <c r="AJ451" s="128">
        <f t="shared" si="492"/>
        <v>0.29166666666666669</v>
      </c>
      <c r="AK451" s="124">
        <v>0.29166666666666669</v>
      </c>
      <c r="AL451" s="120">
        <v>0.58333333333333337</v>
      </c>
      <c r="AM451" s="128">
        <f t="shared" si="493"/>
        <v>0.29166666666666669</v>
      </c>
      <c r="AN451" s="118">
        <v>25</v>
      </c>
      <c r="AO451" s="113" t="s">
        <v>4</v>
      </c>
    </row>
    <row r="452" spans="2:41" ht="15" customHeight="1">
      <c r="B452" s="86">
        <v>26</v>
      </c>
      <c r="C452" s="87" t="s">
        <v>5</v>
      </c>
      <c r="D452" s="88" t="s">
        <v>111</v>
      </c>
      <c r="E452" s="89" t="s">
        <v>111</v>
      </c>
      <c r="F452" s="92">
        <f t="shared" si="482"/>
        <v>0</v>
      </c>
      <c r="G452" s="88"/>
      <c r="H452" s="89"/>
      <c r="I452" s="92">
        <f t="shared" si="483"/>
        <v>0</v>
      </c>
      <c r="J452" s="88">
        <v>0.125</v>
      </c>
      <c r="K452" s="89">
        <v>0.52083333333333337</v>
      </c>
      <c r="L452" s="92">
        <f t="shared" si="484"/>
        <v>0.39583333333333337</v>
      </c>
      <c r="M452" s="88">
        <v>0.125</v>
      </c>
      <c r="N452" s="89">
        <v>0.52083333333333337</v>
      </c>
      <c r="O452" s="92">
        <f t="shared" si="485"/>
        <v>0.39583333333333337</v>
      </c>
      <c r="P452" s="88"/>
      <c r="Q452" s="89"/>
      <c r="R452" s="92">
        <f t="shared" si="486"/>
        <v>0</v>
      </c>
      <c r="S452" s="88"/>
      <c r="T452" s="89"/>
      <c r="U452" s="92">
        <f t="shared" si="487"/>
        <v>0</v>
      </c>
      <c r="V452" s="147"/>
      <c r="W452" s="89"/>
      <c r="X452" s="92">
        <f t="shared" si="488"/>
        <v>0</v>
      </c>
      <c r="Y452" s="147"/>
      <c r="Z452" s="89"/>
      <c r="AA452" s="92">
        <f t="shared" si="489"/>
        <v>0</v>
      </c>
      <c r="AB452" s="147"/>
      <c r="AC452" s="89"/>
      <c r="AD452" s="92">
        <f t="shared" si="490"/>
        <v>0</v>
      </c>
      <c r="AE452" s="147"/>
      <c r="AF452" s="89"/>
      <c r="AG452" s="92">
        <f t="shared" si="491"/>
        <v>0</v>
      </c>
      <c r="AH452" s="147"/>
      <c r="AI452" s="89"/>
      <c r="AJ452" s="92">
        <f t="shared" si="492"/>
        <v>0</v>
      </c>
      <c r="AK452" s="147"/>
      <c r="AL452" s="89"/>
      <c r="AM452" s="92">
        <f t="shared" si="493"/>
        <v>0</v>
      </c>
      <c r="AN452" s="86">
        <v>26</v>
      </c>
      <c r="AO452" s="87" t="s">
        <v>5</v>
      </c>
    </row>
    <row r="453" spans="2:41" ht="15" customHeight="1">
      <c r="B453" s="86">
        <v>27</v>
      </c>
      <c r="C453" s="87" t="s">
        <v>6</v>
      </c>
      <c r="D453" s="88" t="s">
        <v>111</v>
      </c>
      <c r="E453" s="89" t="s">
        <v>111</v>
      </c>
      <c r="F453" s="92">
        <f t="shared" si="482"/>
        <v>0</v>
      </c>
      <c r="G453" s="88"/>
      <c r="H453" s="89"/>
      <c r="I453" s="92">
        <f t="shared" si="483"/>
        <v>0</v>
      </c>
      <c r="J453" s="88">
        <v>0.75</v>
      </c>
      <c r="K453" s="89">
        <v>1.25</v>
      </c>
      <c r="L453" s="92">
        <f t="shared" si="484"/>
        <v>0.5</v>
      </c>
      <c r="M453" s="88"/>
      <c r="N453" s="89"/>
      <c r="O453" s="92">
        <f t="shared" si="485"/>
        <v>0</v>
      </c>
      <c r="P453" s="88"/>
      <c r="Q453" s="89"/>
      <c r="R453" s="92">
        <f t="shared" si="486"/>
        <v>0</v>
      </c>
      <c r="S453" s="88"/>
      <c r="T453" s="89"/>
      <c r="U453" s="92">
        <f t="shared" si="487"/>
        <v>0</v>
      </c>
      <c r="V453" s="147"/>
      <c r="W453" s="89"/>
      <c r="X453" s="92">
        <f t="shared" si="488"/>
        <v>0</v>
      </c>
      <c r="Y453" s="147"/>
      <c r="Z453" s="89"/>
      <c r="AA453" s="92">
        <f t="shared" si="489"/>
        <v>0</v>
      </c>
      <c r="AB453" s="147"/>
      <c r="AC453" s="89"/>
      <c r="AD453" s="92">
        <f t="shared" si="490"/>
        <v>0</v>
      </c>
      <c r="AE453" s="147"/>
      <c r="AF453" s="89"/>
      <c r="AG453" s="92">
        <f t="shared" si="491"/>
        <v>0</v>
      </c>
      <c r="AH453" s="147"/>
      <c r="AI453" s="89"/>
      <c r="AJ453" s="92">
        <f t="shared" si="492"/>
        <v>0</v>
      </c>
      <c r="AK453" s="147"/>
      <c r="AL453" s="89"/>
      <c r="AM453" s="92">
        <f t="shared" si="493"/>
        <v>0</v>
      </c>
      <c r="AN453" s="86">
        <v>27</v>
      </c>
      <c r="AO453" s="87" t="s">
        <v>6</v>
      </c>
    </row>
    <row r="454" spans="2:41" ht="15" customHeight="1">
      <c r="B454" s="118">
        <v>28</v>
      </c>
      <c r="C454" s="113" t="s">
        <v>7</v>
      </c>
      <c r="D454" s="119" t="s">
        <v>111</v>
      </c>
      <c r="E454" s="120" t="s">
        <v>111</v>
      </c>
      <c r="F454" s="128">
        <f t="shared" si="482"/>
        <v>0</v>
      </c>
      <c r="G454" s="119"/>
      <c r="H454" s="120"/>
      <c r="I454" s="128">
        <f t="shared" si="483"/>
        <v>0</v>
      </c>
      <c r="J454" s="119"/>
      <c r="K454" s="120"/>
      <c r="L454" s="128">
        <f t="shared" si="484"/>
        <v>0</v>
      </c>
      <c r="M454" s="119" t="s">
        <v>111</v>
      </c>
      <c r="N454" s="120"/>
      <c r="O454" s="128">
        <f t="shared" si="485"/>
        <v>0</v>
      </c>
      <c r="P454" s="114">
        <v>0.375</v>
      </c>
      <c r="Q454" s="115">
        <v>0.66666666666666663</v>
      </c>
      <c r="R454" s="128">
        <f t="shared" si="486"/>
        <v>0.29166666666666663</v>
      </c>
      <c r="S454" s="119"/>
      <c r="T454" s="120"/>
      <c r="U454" s="128">
        <f t="shared" si="487"/>
        <v>0</v>
      </c>
      <c r="V454" s="124"/>
      <c r="W454" s="120"/>
      <c r="X454" s="128">
        <f t="shared" si="488"/>
        <v>0</v>
      </c>
      <c r="Y454" s="124"/>
      <c r="Z454" s="120"/>
      <c r="AA454" s="128">
        <f t="shared" si="489"/>
        <v>0</v>
      </c>
      <c r="AB454" s="124"/>
      <c r="AC454" s="120"/>
      <c r="AD454" s="128">
        <f t="shared" si="490"/>
        <v>0</v>
      </c>
      <c r="AE454" s="124"/>
      <c r="AF454" s="120"/>
      <c r="AG454" s="128">
        <f t="shared" si="491"/>
        <v>0</v>
      </c>
      <c r="AH454" s="124"/>
      <c r="AI454" s="120"/>
      <c r="AJ454" s="128">
        <f t="shared" si="492"/>
        <v>0</v>
      </c>
      <c r="AK454" s="124"/>
      <c r="AL454" s="120"/>
      <c r="AM454" s="128">
        <f t="shared" si="493"/>
        <v>0</v>
      </c>
      <c r="AN454" s="118">
        <v>28</v>
      </c>
      <c r="AO454" s="113" t="s">
        <v>7</v>
      </c>
    </row>
    <row r="455" spans="2:41" ht="15" customHeight="1">
      <c r="B455" s="118">
        <v>29</v>
      </c>
      <c r="C455" s="113" t="s">
        <v>8</v>
      </c>
      <c r="D455" s="119" t="s">
        <v>111</v>
      </c>
      <c r="E455" s="120" t="s">
        <v>111</v>
      </c>
      <c r="F455" s="128">
        <f t="shared" si="482"/>
        <v>0</v>
      </c>
      <c r="G455" s="119"/>
      <c r="H455" s="120"/>
      <c r="I455" s="128">
        <f t="shared" si="483"/>
        <v>0</v>
      </c>
      <c r="J455" s="119" t="s">
        <v>111</v>
      </c>
      <c r="K455" s="120"/>
      <c r="L455" s="128">
        <f t="shared" si="484"/>
        <v>0</v>
      </c>
      <c r="M455" s="119" t="s">
        <v>111</v>
      </c>
      <c r="N455" s="120"/>
      <c r="O455" s="128">
        <f t="shared" si="485"/>
        <v>0</v>
      </c>
      <c r="P455" s="119">
        <v>0.375</v>
      </c>
      <c r="Q455" s="120">
        <v>0.66666666666666663</v>
      </c>
      <c r="R455" s="128">
        <f t="shared" si="486"/>
        <v>0.29166666666666663</v>
      </c>
      <c r="S455" s="119"/>
      <c r="T455" s="120"/>
      <c r="U455" s="128">
        <f t="shared" si="487"/>
        <v>0</v>
      </c>
      <c r="V455" s="124"/>
      <c r="W455" s="120"/>
      <c r="X455" s="128">
        <f t="shared" si="488"/>
        <v>0</v>
      </c>
      <c r="Y455" s="124"/>
      <c r="Z455" s="120"/>
      <c r="AA455" s="128">
        <f t="shared" si="489"/>
        <v>0</v>
      </c>
      <c r="AB455" s="124"/>
      <c r="AC455" s="120"/>
      <c r="AD455" s="128">
        <f t="shared" si="490"/>
        <v>0</v>
      </c>
      <c r="AE455" s="124"/>
      <c r="AF455" s="120"/>
      <c r="AG455" s="128">
        <f t="shared" si="491"/>
        <v>0</v>
      </c>
      <c r="AH455" s="124"/>
      <c r="AI455" s="120"/>
      <c r="AJ455" s="128">
        <f t="shared" si="492"/>
        <v>0</v>
      </c>
      <c r="AK455" s="124"/>
      <c r="AL455" s="120"/>
      <c r="AM455" s="128">
        <f t="shared" si="493"/>
        <v>0</v>
      </c>
      <c r="AN455" s="118">
        <v>29</v>
      </c>
      <c r="AO455" s="113" t="s">
        <v>8</v>
      </c>
    </row>
    <row r="456" spans="2:41" ht="15" customHeight="1">
      <c r="B456" s="118">
        <v>30</v>
      </c>
      <c r="C456" s="113" t="s">
        <v>12</v>
      </c>
      <c r="D456" s="119" t="s">
        <v>111</v>
      </c>
      <c r="E456" s="120" t="s">
        <v>111</v>
      </c>
      <c r="F456" s="128">
        <f t="shared" si="482"/>
        <v>0</v>
      </c>
      <c r="G456" s="119">
        <v>0.5</v>
      </c>
      <c r="H456" s="120">
        <v>0.66666666666666663</v>
      </c>
      <c r="I456" s="128">
        <f t="shared" si="483"/>
        <v>0.16666666666666663</v>
      </c>
      <c r="J456" s="119" t="s">
        <v>111</v>
      </c>
      <c r="K456" s="120"/>
      <c r="L456" s="128">
        <f t="shared" si="484"/>
        <v>0</v>
      </c>
      <c r="M456" s="119" t="s">
        <v>111</v>
      </c>
      <c r="N456" s="120"/>
      <c r="O456" s="128">
        <f t="shared" si="485"/>
        <v>0</v>
      </c>
      <c r="P456" s="119">
        <v>0.375</v>
      </c>
      <c r="Q456" s="120">
        <v>0.66666666666666663</v>
      </c>
      <c r="R456" s="128">
        <f t="shared" si="486"/>
        <v>0.29166666666666663</v>
      </c>
      <c r="S456" s="119"/>
      <c r="T456" s="120"/>
      <c r="U456" s="128">
        <f t="shared" si="487"/>
        <v>0</v>
      </c>
      <c r="V456" s="124"/>
      <c r="W456" s="120"/>
      <c r="X456" s="128">
        <f t="shared" si="488"/>
        <v>0</v>
      </c>
      <c r="Y456" s="124"/>
      <c r="Z456" s="120"/>
      <c r="AA456" s="128">
        <f t="shared" si="489"/>
        <v>0</v>
      </c>
      <c r="AB456" s="124"/>
      <c r="AC456" s="120"/>
      <c r="AD456" s="128">
        <f t="shared" si="490"/>
        <v>0</v>
      </c>
      <c r="AE456" s="124"/>
      <c r="AF456" s="120"/>
      <c r="AG456" s="128">
        <f t="shared" si="491"/>
        <v>0</v>
      </c>
      <c r="AH456" s="124"/>
      <c r="AI456" s="120"/>
      <c r="AJ456" s="128">
        <f t="shared" si="492"/>
        <v>0</v>
      </c>
      <c r="AK456" s="124"/>
      <c r="AL456" s="120"/>
      <c r="AM456" s="128">
        <f t="shared" si="493"/>
        <v>0</v>
      </c>
      <c r="AN456" s="118">
        <v>30</v>
      </c>
      <c r="AO456" s="113" t="s">
        <v>12</v>
      </c>
    </row>
    <row r="457" spans="2:41" ht="15" customHeight="1">
      <c r="B457" s="118">
        <v>31</v>
      </c>
      <c r="C457" s="113" t="s">
        <v>85</v>
      </c>
      <c r="D457" s="119" t="s">
        <v>111</v>
      </c>
      <c r="E457" s="120" t="s">
        <v>111</v>
      </c>
      <c r="F457" s="128">
        <f t="shared" si="482"/>
        <v>0</v>
      </c>
      <c r="G457" s="119">
        <v>0.33333333333333331</v>
      </c>
      <c r="H457" s="120">
        <v>0.66666666666666663</v>
      </c>
      <c r="I457" s="128">
        <f t="shared" si="483"/>
        <v>0.33333333333333331</v>
      </c>
      <c r="J457" s="119" t="s">
        <v>111</v>
      </c>
      <c r="K457" s="120"/>
      <c r="L457" s="128">
        <f t="shared" si="484"/>
        <v>0</v>
      </c>
      <c r="M457" s="119" t="s">
        <v>111</v>
      </c>
      <c r="N457" s="120"/>
      <c r="O457" s="128">
        <f t="shared" si="485"/>
        <v>0</v>
      </c>
      <c r="P457" s="119">
        <v>0.375</v>
      </c>
      <c r="Q457" s="120">
        <v>0.66666666666666663</v>
      </c>
      <c r="R457" s="128">
        <f t="shared" si="486"/>
        <v>0.29166666666666663</v>
      </c>
      <c r="S457" s="119"/>
      <c r="T457" s="120"/>
      <c r="U457" s="128">
        <f t="shared" si="487"/>
        <v>0</v>
      </c>
      <c r="V457" s="124"/>
      <c r="W457" s="120"/>
      <c r="X457" s="128">
        <f t="shared" si="488"/>
        <v>0</v>
      </c>
      <c r="Y457" s="124"/>
      <c r="Z457" s="120"/>
      <c r="AA457" s="128">
        <f t="shared" si="489"/>
        <v>0</v>
      </c>
      <c r="AB457" s="124"/>
      <c r="AC457" s="120"/>
      <c r="AD457" s="128">
        <f t="shared" si="490"/>
        <v>0</v>
      </c>
      <c r="AE457" s="124"/>
      <c r="AF457" s="120"/>
      <c r="AG457" s="128">
        <f t="shared" si="491"/>
        <v>0</v>
      </c>
      <c r="AH457" s="124"/>
      <c r="AI457" s="120"/>
      <c r="AJ457" s="128">
        <f t="shared" si="492"/>
        <v>0</v>
      </c>
      <c r="AK457" s="124"/>
      <c r="AL457" s="120"/>
      <c r="AM457" s="128">
        <f t="shared" si="493"/>
        <v>0</v>
      </c>
      <c r="AN457" s="118">
        <v>31</v>
      </c>
      <c r="AO457" s="113" t="s">
        <v>85</v>
      </c>
    </row>
    <row r="458" spans="2:41" ht="15" customHeight="1" thickBot="1">
      <c r="B458" s="85"/>
      <c r="C458" s="39"/>
      <c r="D458" s="77"/>
      <c r="E458" s="78"/>
      <c r="F458" s="50"/>
      <c r="G458" s="77"/>
      <c r="H458" s="78"/>
      <c r="I458" s="50"/>
      <c r="J458" s="77"/>
      <c r="K458" s="78"/>
      <c r="L458" s="50"/>
      <c r="M458" s="77"/>
      <c r="N458" s="78"/>
      <c r="O458" s="50"/>
      <c r="P458" s="77"/>
      <c r="Q458" s="78"/>
      <c r="R458" s="50"/>
      <c r="S458" s="77"/>
      <c r="T458" s="78"/>
      <c r="U458" s="50"/>
      <c r="V458" s="82"/>
      <c r="W458" s="83"/>
      <c r="X458" s="50"/>
      <c r="Y458" s="82"/>
      <c r="Z458" s="83"/>
      <c r="AA458" s="50"/>
      <c r="AB458" s="82"/>
      <c r="AC458" s="83"/>
      <c r="AD458" s="50"/>
      <c r="AE458" s="82"/>
      <c r="AF458" s="83"/>
      <c r="AG458" s="50"/>
      <c r="AH458" s="82"/>
      <c r="AI458" s="83"/>
      <c r="AJ458" s="50"/>
      <c r="AK458" s="82"/>
      <c r="AL458" s="83"/>
      <c r="AM458" s="50"/>
      <c r="AN458" s="85"/>
      <c r="AO458" s="39"/>
    </row>
    <row r="459" spans="2:41" ht="15" customHeight="1" thickBot="1">
      <c r="B459" s="172"/>
      <c r="C459" s="174"/>
      <c r="D459" s="196" t="s">
        <v>133</v>
      </c>
      <c r="E459" s="197"/>
      <c r="F459" s="198"/>
      <c r="G459" s="336" t="s">
        <v>135</v>
      </c>
      <c r="H459" s="337"/>
      <c r="I459" s="338"/>
      <c r="J459" s="181" t="s">
        <v>137</v>
      </c>
      <c r="K459" s="182"/>
      <c r="L459" s="183"/>
      <c r="M459" s="175" t="s">
        <v>139</v>
      </c>
      <c r="N459" s="176"/>
      <c r="O459" s="177"/>
      <c r="P459" s="175" t="s">
        <v>138</v>
      </c>
      <c r="Q459" s="176"/>
      <c r="R459" s="177"/>
      <c r="S459" s="330" t="s">
        <v>141</v>
      </c>
      <c r="T459" s="331"/>
      <c r="U459" s="332"/>
      <c r="V459" s="342" t="s">
        <v>142</v>
      </c>
      <c r="W459" s="343"/>
      <c r="X459" s="344"/>
      <c r="Y459" s="342" t="s">
        <v>143</v>
      </c>
      <c r="Z459" s="343"/>
      <c r="AA459" s="344"/>
      <c r="AB459" s="342" t="s">
        <v>144</v>
      </c>
      <c r="AC459" s="343"/>
      <c r="AD459" s="344"/>
      <c r="AE459" s="330" t="s">
        <v>145</v>
      </c>
      <c r="AF459" s="331"/>
      <c r="AG459" s="332"/>
      <c r="AH459" s="342" t="s">
        <v>146</v>
      </c>
      <c r="AI459" s="343"/>
      <c r="AJ459" s="344"/>
      <c r="AK459" s="342" t="s">
        <v>147</v>
      </c>
      <c r="AL459" s="343"/>
      <c r="AM459" s="344"/>
      <c r="AN459" s="168" t="s">
        <v>0</v>
      </c>
      <c r="AO459" s="168" t="s">
        <v>1</v>
      </c>
    </row>
    <row r="460" spans="2:41" ht="15" customHeight="1" thickBot="1">
      <c r="B460" s="172"/>
      <c r="C460" s="172"/>
      <c r="D460" s="199"/>
      <c r="E460" s="200"/>
      <c r="F460" s="201"/>
      <c r="G460" s="339"/>
      <c r="H460" s="340"/>
      <c r="I460" s="341"/>
      <c r="J460" s="184"/>
      <c r="K460" s="185"/>
      <c r="L460" s="186"/>
      <c r="M460" s="178"/>
      <c r="N460" s="179"/>
      <c r="O460" s="180"/>
      <c r="P460" s="178"/>
      <c r="Q460" s="179"/>
      <c r="R460" s="180"/>
      <c r="S460" s="333"/>
      <c r="T460" s="334"/>
      <c r="U460" s="335"/>
      <c r="V460" s="345"/>
      <c r="W460" s="346"/>
      <c r="X460" s="347"/>
      <c r="Y460" s="345"/>
      <c r="Z460" s="346"/>
      <c r="AA460" s="347"/>
      <c r="AB460" s="345"/>
      <c r="AC460" s="346"/>
      <c r="AD460" s="347"/>
      <c r="AE460" s="333"/>
      <c r="AF460" s="334"/>
      <c r="AG460" s="335"/>
      <c r="AH460" s="345"/>
      <c r="AI460" s="346"/>
      <c r="AJ460" s="347"/>
      <c r="AK460" s="345"/>
      <c r="AL460" s="346"/>
      <c r="AM460" s="347"/>
      <c r="AN460" s="168"/>
      <c r="AO460" s="168"/>
    </row>
    <row r="461" spans="2:41" ht="15" customHeight="1" thickBot="1">
      <c r="B461" s="172"/>
      <c r="C461" s="172"/>
      <c r="D461" s="169"/>
      <c r="E461" s="170"/>
      <c r="F461" s="171"/>
      <c r="G461" s="169"/>
      <c r="H461" s="170"/>
      <c r="I461" s="171"/>
      <c r="J461" s="169"/>
      <c r="K461" s="170"/>
      <c r="L461" s="171"/>
      <c r="M461" s="169"/>
      <c r="N461" s="170"/>
      <c r="O461" s="171"/>
      <c r="P461" s="169"/>
      <c r="Q461" s="170"/>
      <c r="R461" s="171"/>
      <c r="S461" s="169"/>
      <c r="T461" s="170"/>
      <c r="U461" s="171"/>
      <c r="V461" s="169"/>
      <c r="W461" s="170"/>
      <c r="X461" s="171"/>
      <c r="Y461" s="169"/>
      <c r="Z461" s="170"/>
      <c r="AA461" s="171"/>
      <c r="AB461" s="169"/>
      <c r="AC461" s="170"/>
      <c r="AD461" s="171"/>
      <c r="AE461" s="169"/>
      <c r="AF461" s="170"/>
      <c r="AG461" s="171"/>
      <c r="AH461" s="169"/>
      <c r="AI461" s="170"/>
      <c r="AJ461" s="171"/>
      <c r="AK461" s="169"/>
      <c r="AL461" s="170"/>
      <c r="AM461" s="171"/>
      <c r="AN461" s="168"/>
      <c r="AO461" s="168"/>
    </row>
    <row r="462" spans="2:41" ht="15" customHeight="1" thickBot="1">
      <c r="B462" s="173"/>
      <c r="C462" s="173"/>
      <c r="D462" s="9"/>
      <c r="E462" s="6"/>
      <c r="F462" s="7"/>
      <c r="G462" s="9"/>
      <c r="H462" s="6"/>
      <c r="I462" s="7"/>
      <c r="J462" s="9"/>
      <c r="K462" s="6"/>
      <c r="L462" s="7"/>
      <c r="M462" s="9"/>
      <c r="N462" s="6"/>
      <c r="O462" s="7"/>
      <c r="P462" s="9"/>
      <c r="Q462" s="6"/>
      <c r="R462" s="7"/>
      <c r="S462" s="5"/>
      <c r="T462" s="6"/>
      <c r="U462" s="7"/>
      <c r="V462" s="9"/>
      <c r="W462" s="6"/>
      <c r="X462" s="7"/>
      <c r="Y462" s="9"/>
      <c r="Z462" s="6"/>
      <c r="AA462" s="7"/>
      <c r="AB462" s="5"/>
      <c r="AC462" s="6"/>
      <c r="AD462" s="7"/>
      <c r="AE462" s="9"/>
      <c r="AF462" s="6"/>
      <c r="AG462" s="7"/>
      <c r="AH462" s="9"/>
      <c r="AI462" s="6"/>
      <c r="AJ462" s="7"/>
      <c r="AK462" s="9"/>
      <c r="AL462" s="6"/>
      <c r="AM462" s="7"/>
      <c r="AN462" s="168"/>
      <c r="AO462" s="168"/>
    </row>
    <row r="65539" spans="4:5" ht="15" customHeight="1">
      <c r="D65539" s="41">
        <v>0.33333333333333331</v>
      </c>
      <c r="E65539" s="35">
        <v>0.66666666666666663</v>
      </c>
    </row>
  </sheetData>
  <sheetProtection selectLockedCells="1" selectUnlockedCells="1"/>
  <mergeCells count="755">
    <mergeCell ref="J426:L426"/>
    <mergeCell ref="M426:O426"/>
    <mergeCell ref="P426:R426"/>
    <mergeCell ref="S426:U426"/>
    <mergeCell ref="V426:X426"/>
    <mergeCell ref="AN459:AN462"/>
    <mergeCell ref="AO459:AO462"/>
    <mergeCell ref="D461:F461"/>
    <mergeCell ref="G461:I461"/>
    <mergeCell ref="J461:L461"/>
    <mergeCell ref="M461:O461"/>
    <mergeCell ref="P461:R461"/>
    <mergeCell ref="S461:U461"/>
    <mergeCell ref="V461:X461"/>
    <mergeCell ref="Y461:AA461"/>
    <mergeCell ref="AB461:AD461"/>
    <mergeCell ref="AE461:AG461"/>
    <mergeCell ref="AH461:AJ461"/>
    <mergeCell ref="AK461:AM461"/>
    <mergeCell ref="AN422:AN425"/>
    <mergeCell ref="AO422:AO425"/>
    <mergeCell ref="AE424:AG424"/>
    <mergeCell ref="AH424:AJ424"/>
    <mergeCell ref="AK424:AM424"/>
    <mergeCell ref="AE426:AG426"/>
    <mergeCell ref="AH426:AJ426"/>
    <mergeCell ref="AK426:AM426"/>
    <mergeCell ref="B459:B462"/>
    <mergeCell ref="C459:C462"/>
    <mergeCell ref="D459:F460"/>
    <mergeCell ref="G459:I460"/>
    <mergeCell ref="J459:L460"/>
    <mergeCell ref="M459:O460"/>
    <mergeCell ref="P459:R460"/>
    <mergeCell ref="S459:U460"/>
    <mergeCell ref="V459:X460"/>
    <mergeCell ref="Y459:AA460"/>
    <mergeCell ref="AB459:AD460"/>
    <mergeCell ref="AE459:AG460"/>
    <mergeCell ref="AH459:AJ460"/>
    <mergeCell ref="AK459:AM460"/>
    <mergeCell ref="D426:F426"/>
    <mergeCell ref="G426:I426"/>
    <mergeCell ref="Y424:AA424"/>
    <mergeCell ref="AB424:AD424"/>
    <mergeCell ref="Y426:AA426"/>
    <mergeCell ref="AB426:AD426"/>
    <mergeCell ref="Y422:AA423"/>
    <mergeCell ref="AB422:AD423"/>
    <mergeCell ref="AE422:AG423"/>
    <mergeCell ref="AH422:AJ423"/>
    <mergeCell ref="AK422:AM423"/>
    <mergeCell ref="B422:B425"/>
    <mergeCell ref="C422:C425"/>
    <mergeCell ref="D422:F423"/>
    <mergeCell ref="G422:I423"/>
    <mergeCell ref="J422:L423"/>
    <mergeCell ref="M422:O423"/>
    <mergeCell ref="P422:R423"/>
    <mergeCell ref="S422:U423"/>
    <mergeCell ref="V422:X423"/>
    <mergeCell ref="D424:F424"/>
    <mergeCell ref="G424:I424"/>
    <mergeCell ref="J424:L424"/>
    <mergeCell ref="M424:O424"/>
    <mergeCell ref="P424:R424"/>
    <mergeCell ref="S424:U424"/>
    <mergeCell ref="V424:X424"/>
    <mergeCell ref="J342:L342"/>
    <mergeCell ref="M342:O342"/>
    <mergeCell ref="P342:R342"/>
    <mergeCell ref="S342:U342"/>
    <mergeCell ref="V342:X342"/>
    <mergeCell ref="AN375:AN378"/>
    <mergeCell ref="AO375:AO378"/>
    <mergeCell ref="D377:F377"/>
    <mergeCell ref="G377:I377"/>
    <mergeCell ref="J377:L377"/>
    <mergeCell ref="M377:O377"/>
    <mergeCell ref="P377:R377"/>
    <mergeCell ref="S377:U377"/>
    <mergeCell ref="V377:X377"/>
    <mergeCell ref="Y377:AA377"/>
    <mergeCell ref="AB377:AD377"/>
    <mergeCell ref="AE377:AG377"/>
    <mergeCell ref="AH377:AJ377"/>
    <mergeCell ref="AK377:AM377"/>
    <mergeCell ref="AN338:AN341"/>
    <mergeCell ref="AO338:AO341"/>
    <mergeCell ref="AE340:AG340"/>
    <mergeCell ref="AH340:AJ340"/>
    <mergeCell ref="AK340:AM340"/>
    <mergeCell ref="AE342:AG342"/>
    <mergeCell ref="AH342:AJ342"/>
    <mergeCell ref="AK342:AM342"/>
    <mergeCell ref="B375:B378"/>
    <mergeCell ref="C375:C378"/>
    <mergeCell ref="D375:F376"/>
    <mergeCell ref="G375:I376"/>
    <mergeCell ref="J375:L376"/>
    <mergeCell ref="M375:O376"/>
    <mergeCell ref="P375:R376"/>
    <mergeCell ref="S375:U376"/>
    <mergeCell ref="V375:X376"/>
    <mergeCell ref="Y375:AA376"/>
    <mergeCell ref="AB375:AD376"/>
    <mergeCell ref="AE375:AG376"/>
    <mergeCell ref="AH375:AJ376"/>
    <mergeCell ref="AK375:AM376"/>
    <mergeCell ref="D342:F342"/>
    <mergeCell ref="G342:I342"/>
    <mergeCell ref="Y340:AA340"/>
    <mergeCell ref="AB340:AD340"/>
    <mergeCell ref="Y342:AA342"/>
    <mergeCell ref="AB342:AD342"/>
    <mergeCell ref="Y338:AA339"/>
    <mergeCell ref="AB338:AD339"/>
    <mergeCell ref="AE338:AG339"/>
    <mergeCell ref="AH338:AJ339"/>
    <mergeCell ref="AK338:AM339"/>
    <mergeCell ref="B338:B341"/>
    <mergeCell ref="C338:C341"/>
    <mergeCell ref="D338:F339"/>
    <mergeCell ref="G338:I339"/>
    <mergeCell ref="J338:L339"/>
    <mergeCell ref="M338:O339"/>
    <mergeCell ref="P338:R339"/>
    <mergeCell ref="S338:U339"/>
    <mergeCell ref="V338:X339"/>
    <mergeCell ref="D340:F340"/>
    <mergeCell ref="G340:I340"/>
    <mergeCell ref="J340:L340"/>
    <mergeCell ref="M340:O340"/>
    <mergeCell ref="P340:R340"/>
    <mergeCell ref="S340:U340"/>
    <mergeCell ref="V340:X340"/>
    <mergeCell ref="AH130:AJ130"/>
    <mergeCell ref="AH128:AJ129"/>
    <mergeCell ref="AK123:AM124"/>
    <mergeCell ref="AK83:AM83"/>
    <mergeCell ref="AH81:AJ82"/>
    <mergeCell ref="AO40:AO43"/>
    <mergeCell ref="AH40:AJ41"/>
    <mergeCell ref="AK40:AM41"/>
    <mergeCell ref="AH42:AJ42"/>
    <mergeCell ref="AK44:AM45"/>
    <mergeCell ref="AH44:AJ45"/>
    <mergeCell ref="AN44:AN47"/>
    <mergeCell ref="AK90:AM90"/>
    <mergeCell ref="AN40:AN43"/>
    <mergeCell ref="M40:O41"/>
    <mergeCell ref="V42:X42"/>
    <mergeCell ref="Y46:AA46"/>
    <mergeCell ref="Y44:AA45"/>
    <mergeCell ref="AB44:AD45"/>
    <mergeCell ref="M44:O45"/>
    <mergeCell ref="V46:X46"/>
    <mergeCell ref="P44:R45"/>
    <mergeCell ref="S44:U45"/>
    <mergeCell ref="V44:X45"/>
    <mergeCell ref="AB46:AD46"/>
    <mergeCell ref="M42:O42"/>
    <mergeCell ref="P42:R42"/>
    <mergeCell ref="S42:U42"/>
    <mergeCell ref="AB42:AD42"/>
    <mergeCell ref="M46:O46"/>
    <mergeCell ref="S46:U46"/>
    <mergeCell ref="Y42:AA42"/>
    <mergeCell ref="V40:X41"/>
    <mergeCell ref="Y40:AA41"/>
    <mergeCell ref="P40:R41"/>
    <mergeCell ref="S40:U41"/>
    <mergeCell ref="AB40:AD41"/>
    <mergeCell ref="AB216:AD216"/>
    <mergeCell ref="Y216:AA216"/>
    <mergeCell ref="AE216:AG216"/>
    <mergeCell ref="AH335:AJ335"/>
    <mergeCell ref="AN333:AN336"/>
    <mergeCell ref="AO333:AO336"/>
    <mergeCell ref="D335:F335"/>
    <mergeCell ref="G335:I335"/>
    <mergeCell ref="J335:L335"/>
    <mergeCell ref="M335:O335"/>
    <mergeCell ref="P335:R335"/>
    <mergeCell ref="M333:O334"/>
    <mergeCell ref="P333:R334"/>
    <mergeCell ref="V333:X334"/>
    <mergeCell ref="Y333:AA334"/>
    <mergeCell ref="AB333:AD334"/>
    <mergeCell ref="AE333:AG334"/>
    <mergeCell ref="AK333:AM334"/>
    <mergeCell ref="AK335:AM335"/>
    <mergeCell ref="S335:U335"/>
    <mergeCell ref="V335:X335"/>
    <mergeCell ref="Y335:AA335"/>
    <mergeCell ref="AB335:AD335"/>
    <mergeCell ref="AE335:AG335"/>
    <mergeCell ref="AH333:AJ334"/>
    <mergeCell ref="S333:U334"/>
    <mergeCell ref="B333:B336"/>
    <mergeCell ref="C333:C336"/>
    <mergeCell ref="D333:F334"/>
    <mergeCell ref="G333:I334"/>
    <mergeCell ref="J333:L334"/>
    <mergeCell ref="D300:F300"/>
    <mergeCell ref="G300:I300"/>
    <mergeCell ref="J300:L300"/>
    <mergeCell ref="M300:O300"/>
    <mergeCell ref="AH300:AJ300"/>
    <mergeCell ref="P300:R300"/>
    <mergeCell ref="V300:X300"/>
    <mergeCell ref="Y300:AA300"/>
    <mergeCell ref="AB300:AD300"/>
    <mergeCell ref="AE300:AG300"/>
    <mergeCell ref="S300:U300"/>
    <mergeCell ref="AK296:AM297"/>
    <mergeCell ref="AN296:AN299"/>
    <mergeCell ref="AO296:AO299"/>
    <mergeCell ref="D298:F298"/>
    <mergeCell ref="G298:I298"/>
    <mergeCell ref="J298:L298"/>
    <mergeCell ref="M298:O298"/>
    <mergeCell ref="P298:R298"/>
    <mergeCell ref="M296:O297"/>
    <mergeCell ref="P296:R297"/>
    <mergeCell ref="S296:U297"/>
    <mergeCell ref="V296:X297"/>
    <mergeCell ref="Y298:AA298"/>
    <mergeCell ref="AB298:AD298"/>
    <mergeCell ref="Y296:AA297"/>
    <mergeCell ref="AB296:AD297"/>
    <mergeCell ref="AE296:AG297"/>
    <mergeCell ref="AH298:AJ298"/>
    <mergeCell ref="AH296:AJ297"/>
    <mergeCell ref="S298:U298"/>
    <mergeCell ref="V298:X298"/>
    <mergeCell ref="AE298:AG298"/>
    <mergeCell ref="B296:B299"/>
    <mergeCell ref="C296:C299"/>
    <mergeCell ref="D296:F297"/>
    <mergeCell ref="G296:I297"/>
    <mergeCell ref="J296:L297"/>
    <mergeCell ref="AB291:AD292"/>
    <mergeCell ref="AE291:AG292"/>
    <mergeCell ref="AH291:AJ292"/>
    <mergeCell ref="B291:B294"/>
    <mergeCell ref="C291:C294"/>
    <mergeCell ref="D291:F292"/>
    <mergeCell ref="D293:F293"/>
    <mergeCell ref="G293:I293"/>
    <mergeCell ref="J293:L293"/>
    <mergeCell ref="V293:X293"/>
    <mergeCell ref="Y293:AA293"/>
    <mergeCell ref="AB293:AD293"/>
    <mergeCell ref="AN291:AN294"/>
    <mergeCell ref="AO291:AO294"/>
    <mergeCell ref="AE293:AG293"/>
    <mergeCell ref="AH293:AJ293"/>
    <mergeCell ref="G291:I292"/>
    <mergeCell ref="J291:L292"/>
    <mergeCell ref="M291:O292"/>
    <mergeCell ref="M293:O293"/>
    <mergeCell ref="P293:R293"/>
    <mergeCell ref="S293:U293"/>
    <mergeCell ref="P291:R292"/>
    <mergeCell ref="S291:U292"/>
    <mergeCell ref="V291:X292"/>
    <mergeCell ref="Y291:AA292"/>
    <mergeCell ref="AK291:AM292"/>
    <mergeCell ref="D258:F258"/>
    <mergeCell ref="G258:I258"/>
    <mergeCell ref="J258:L258"/>
    <mergeCell ref="M258:O258"/>
    <mergeCell ref="P258:R258"/>
    <mergeCell ref="AH254:AJ255"/>
    <mergeCell ref="S254:U255"/>
    <mergeCell ref="V254:X255"/>
    <mergeCell ref="Y254:AA255"/>
    <mergeCell ref="AB254:AD255"/>
    <mergeCell ref="V256:X256"/>
    <mergeCell ref="Y256:AA256"/>
    <mergeCell ref="S258:U258"/>
    <mergeCell ref="V258:X258"/>
    <mergeCell ref="Y258:AA258"/>
    <mergeCell ref="AB258:AD258"/>
    <mergeCell ref="AE258:AG258"/>
    <mergeCell ref="AH258:AJ258"/>
    <mergeCell ref="AO254:AO257"/>
    <mergeCell ref="D256:F256"/>
    <mergeCell ref="G256:I256"/>
    <mergeCell ref="J256:L256"/>
    <mergeCell ref="M256:O256"/>
    <mergeCell ref="P256:R256"/>
    <mergeCell ref="S256:U256"/>
    <mergeCell ref="P254:R255"/>
    <mergeCell ref="AE254:AG255"/>
    <mergeCell ref="AK254:AM255"/>
    <mergeCell ref="AB256:AD256"/>
    <mergeCell ref="AE256:AG256"/>
    <mergeCell ref="AH256:AJ256"/>
    <mergeCell ref="B254:B257"/>
    <mergeCell ref="C254:C257"/>
    <mergeCell ref="D254:F255"/>
    <mergeCell ref="G254:I255"/>
    <mergeCell ref="J254:L255"/>
    <mergeCell ref="M254:O255"/>
    <mergeCell ref="P249:R250"/>
    <mergeCell ref="S249:U250"/>
    <mergeCell ref="AH251:AJ251"/>
    <mergeCell ref="AH249:AJ250"/>
    <mergeCell ref="B249:B252"/>
    <mergeCell ref="C249:C252"/>
    <mergeCell ref="AE251:AG251"/>
    <mergeCell ref="AE249:AG250"/>
    <mergeCell ref="AB249:AD250"/>
    <mergeCell ref="D251:F251"/>
    <mergeCell ref="G251:I251"/>
    <mergeCell ref="J251:L251"/>
    <mergeCell ref="M251:O251"/>
    <mergeCell ref="P251:R251"/>
    <mergeCell ref="AK249:AM250"/>
    <mergeCell ref="V249:X250"/>
    <mergeCell ref="Y249:AA250"/>
    <mergeCell ref="AK251:AM251"/>
    <mergeCell ref="D249:F250"/>
    <mergeCell ref="G249:I250"/>
    <mergeCell ref="J249:L250"/>
    <mergeCell ref="M249:O250"/>
    <mergeCell ref="S214:U214"/>
    <mergeCell ref="V214:X214"/>
    <mergeCell ref="Y214:AA214"/>
    <mergeCell ref="AB214:AD214"/>
    <mergeCell ref="D216:F216"/>
    <mergeCell ref="J216:L216"/>
    <mergeCell ref="P216:R216"/>
    <mergeCell ref="S216:U216"/>
    <mergeCell ref="V216:X216"/>
    <mergeCell ref="G216:I216"/>
    <mergeCell ref="M216:O216"/>
    <mergeCell ref="AH216:AJ216"/>
    <mergeCell ref="S251:U251"/>
    <mergeCell ref="V251:X251"/>
    <mergeCell ref="Y251:AA251"/>
    <mergeCell ref="AB251:AD251"/>
    <mergeCell ref="AH212:AJ213"/>
    <mergeCell ref="AE214:AG214"/>
    <mergeCell ref="S212:U213"/>
    <mergeCell ref="AH214:AJ214"/>
    <mergeCell ref="B212:B215"/>
    <mergeCell ref="C212:C215"/>
    <mergeCell ref="D212:F213"/>
    <mergeCell ref="J212:L213"/>
    <mergeCell ref="M212:O213"/>
    <mergeCell ref="P212:R213"/>
    <mergeCell ref="V212:X213"/>
    <mergeCell ref="Y212:AA213"/>
    <mergeCell ref="AB212:AD213"/>
    <mergeCell ref="AE212:AG213"/>
    <mergeCell ref="D214:F214"/>
    <mergeCell ref="J214:L214"/>
    <mergeCell ref="M214:O214"/>
    <mergeCell ref="P214:R214"/>
    <mergeCell ref="G212:I213"/>
    <mergeCell ref="G214:I214"/>
    <mergeCell ref="B207:B210"/>
    <mergeCell ref="C207:C210"/>
    <mergeCell ref="D209:F209"/>
    <mergeCell ref="D207:F208"/>
    <mergeCell ref="V207:X208"/>
    <mergeCell ref="S207:U208"/>
    <mergeCell ref="AH209:AJ209"/>
    <mergeCell ref="S174:U174"/>
    <mergeCell ref="P207:R208"/>
    <mergeCell ref="G209:I209"/>
    <mergeCell ref="G207:I208"/>
    <mergeCell ref="J209:L209"/>
    <mergeCell ref="J207:L208"/>
    <mergeCell ref="M174:O174"/>
    <mergeCell ref="P174:R174"/>
    <mergeCell ref="AB174:AD174"/>
    <mergeCell ref="AH207:AJ208"/>
    <mergeCell ref="M209:O209"/>
    <mergeCell ref="S209:U209"/>
    <mergeCell ref="P209:R209"/>
    <mergeCell ref="M207:O208"/>
    <mergeCell ref="AB207:AD208"/>
    <mergeCell ref="Y207:AA208"/>
    <mergeCell ref="AE207:AG208"/>
    <mergeCell ref="AE209:AG209"/>
    <mergeCell ref="Y209:AA209"/>
    <mergeCell ref="V209:X209"/>
    <mergeCell ref="AB209:AD209"/>
    <mergeCell ref="D90:F90"/>
    <mergeCell ref="G90:I90"/>
    <mergeCell ref="J174:L174"/>
    <mergeCell ref="AE90:AG90"/>
    <mergeCell ref="M125:O125"/>
    <mergeCell ref="P123:R124"/>
    <mergeCell ref="M130:O130"/>
    <mergeCell ref="S125:U125"/>
    <mergeCell ref="M123:O124"/>
    <mergeCell ref="P128:R129"/>
    <mergeCell ref="S130:U130"/>
    <mergeCell ref="P125:R125"/>
    <mergeCell ref="Y130:AA130"/>
    <mergeCell ref="V128:X129"/>
    <mergeCell ref="P130:R130"/>
    <mergeCell ref="AE174:AG174"/>
    <mergeCell ref="V174:X174"/>
    <mergeCell ref="D174:F174"/>
    <mergeCell ref="G174:I174"/>
    <mergeCell ref="AE130:AG130"/>
    <mergeCell ref="Y174:AA174"/>
    <mergeCell ref="AH174:AJ174"/>
    <mergeCell ref="M48:O48"/>
    <mergeCell ref="J81:L82"/>
    <mergeCell ref="M81:O82"/>
    <mergeCell ref="P46:R46"/>
    <mergeCell ref="AH48:AJ48"/>
    <mergeCell ref="V81:X82"/>
    <mergeCell ref="AB48:AD48"/>
    <mergeCell ref="AE86:AG87"/>
    <mergeCell ref="AH83:AJ83"/>
    <mergeCell ref="V83:X83"/>
    <mergeCell ref="Y86:AA87"/>
    <mergeCell ref="V48:X48"/>
    <mergeCell ref="Y83:AA83"/>
    <mergeCell ref="Y81:AA82"/>
    <mergeCell ref="AH86:AJ87"/>
    <mergeCell ref="AB86:AD87"/>
    <mergeCell ref="AB83:AD83"/>
    <mergeCell ref="AE48:AG48"/>
    <mergeCell ref="AE81:AG82"/>
    <mergeCell ref="AE83:AG83"/>
    <mergeCell ref="S81:U82"/>
    <mergeCell ref="AB130:AD130"/>
    <mergeCell ref="B81:B84"/>
    <mergeCell ref="C81:C84"/>
    <mergeCell ref="D81:F82"/>
    <mergeCell ref="G81:I82"/>
    <mergeCell ref="G83:I83"/>
    <mergeCell ref="D83:F83"/>
    <mergeCell ref="D48:F48"/>
    <mergeCell ref="G48:I48"/>
    <mergeCell ref="J48:L48"/>
    <mergeCell ref="B2:B5"/>
    <mergeCell ref="C2:C5"/>
    <mergeCell ref="D2:F3"/>
    <mergeCell ref="D4:F4"/>
    <mergeCell ref="G4:I4"/>
    <mergeCell ref="G2:I3"/>
    <mergeCell ref="B40:B43"/>
    <mergeCell ref="D6:F6"/>
    <mergeCell ref="D42:F42"/>
    <mergeCell ref="G42:I42"/>
    <mergeCell ref="C40:C43"/>
    <mergeCell ref="D40:F41"/>
    <mergeCell ref="G40:I41"/>
    <mergeCell ref="J40:L41"/>
    <mergeCell ref="G44:I45"/>
    <mergeCell ref="G6:I6"/>
    <mergeCell ref="B44:B47"/>
    <mergeCell ref="C44:C47"/>
    <mergeCell ref="D44:F45"/>
    <mergeCell ref="D46:F46"/>
    <mergeCell ref="G46:I46"/>
    <mergeCell ref="J44:L45"/>
    <mergeCell ref="J42:L42"/>
    <mergeCell ref="J46:L46"/>
    <mergeCell ref="J2:L3"/>
    <mergeCell ref="AO2:AO5"/>
    <mergeCell ref="AH4:AJ4"/>
    <mergeCell ref="AK4:AM4"/>
    <mergeCell ref="AH2:AJ3"/>
    <mergeCell ref="AN2:AN5"/>
    <mergeCell ref="J4:L4"/>
    <mergeCell ref="AK6:AM6"/>
    <mergeCell ref="AH6:AJ6"/>
    <mergeCell ref="V2:X3"/>
    <mergeCell ref="AE2:AG3"/>
    <mergeCell ref="AB2:AD3"/>
    <mergeCell ref="AB4:AD4"/>
    <mergeCell ref="Y6:AA6"/>
    <mergeCell ref="AB6:AD6"/>
    <mergeCell ref="Y2:AA3"/>
    <mergeCell ref="AE4:AG4"/>
    <mergeCell ref="AE6:AG6"/>
    <mergeCell ref="M2:O3"/>
    <mergeCell ref="AK2:AM3"/>
    <mergeCell ref="P6:R6"/>
    <mergeCell ref="J6:L6"/>
    <mergeCell ref="J5:L5"/>
    <mergeCell ref="D86:F87"/>
    <mergeCell ref="G86:I87"/>
    <mergeCell ref="M90:O90"/>
    <mergeCell ref="J125:L125"/>
    <mergeCell ref="J88:L88"/>
    <mergeCell ref="M88:O88"/>
    <mergeCell ref="V86:X87"/>
    <mergeCell ref="S86:U87"/>
    <mergeCell ref="S83:U83"/>
    <mergeCell ref="P88:R88"/>
    <mergeCell ref="P83:R83"/>
    <mergeCell ref="M83:O83"/>
    <mergeCell ref="M86:O87"/>
    <mergeCell ref="P86:R87"/>
    <mergeCell ref="J86:L87"/>
    <mergeCell ref="V125:X125"/>
    <mergeCell ref="S90:U90"/>
    <mergeCell ref="P90:R90"/>
    <mergeCell ref="D88:F88"/>
    <mergeCell ref="G88:I88"/>
    <mergeCell ref="J90:L90"/>
    <mergeCell ref="S88:U88"/>
    <mergeCell ref="V88:X88"/>
    <mergeCell ref="V90:X90"/>
    <mergeCell ref="D132:F132"/>
    <mergeCell ref="G167:I167"/>
    <mergeCell ref="G165:I166"/>
    <mergeCell ref="D167:F167"/>
    <mergeCell ref="D165:F166"/>
    <mergeCell ref="V132:X132"/>
    <mergeCell ref="S167:U167"/>
    <mergeCell ref="V167:X167"/>
    <mergeCell ref="P167:R167"/>
    <mergeCell ref="V165:X166"/>
    <mergeCell ref="J132:L132"/>
    <mergeCell ref="G130:I130"/>
    <mergeCell ref="D130:F130"/>
    <mergeCell ref="G128:I129"/>
    <mergeCell ref="B123:B126"/>
    <mergeCell ref="AH170:AJ171"/>
    <mergeCell ref="AE132:AG132"/>
    <mergeCell ref="J165:L166"/>
    <mergeCell ref="J167:L167"/>
    <mergeCell ref="J170:L171"/>
    <mergeCell ref="B170:B173"/>
    <mergeCell ref="C170:C173"/>
    <mergeCell ref="D170:F171"/>
    <mergeCell ref="G170:I171"/>
    <mergeCell ref="D172:F172"/>
    <mergeCell ref="G172:I172"/>
    <mergeCell ref="J123:L124"/>
    <mergeCell ref="C123:C126"/>
    <mergeCell ref="D123:F124"/>
    <mergeCell ref="G125:I125"/>
    <mergeCell ref="D125:F125"/>
    <mergeCell ref="G123:I124"/>
    <mergeCell ref="B165:B168"/>
    <mergeCell ref="C165:C168"/>
    <mergeCell ref="G132:I132"/>
    <mergeCell ref="B86:B89"/>
    <mergeCell ref="C86:C89"/>
    <mergeCell ref="P2:R3"/>
    <mergeCell ref="S2:U3"/>
    <mergeCell ref="P4:R4"/>
    <mergeCell ref="S6:U6"/>
    <mergeCell ref="AK132:AM132"/>
    <mergeCell ref="J172:L172"/>
    <mergeCell ref="M165:O166"/>
    <mergeCell ref="AH132:AJ132"/>
    <mergeCell ref="AH167:AJ167"/>
    <mergeCell ref="AH165:AJ166"/>
    <mergeCell ref="AE170:AG171"/>
    <mergeCell ref="AB172:AD172"/>
    <mergeCell ref="V170:X171"/>
    <mergeCell ref="S172:U172"/>
    <mergeCell ref="AE165:AG166"/>
    <mergeCell ref="Y165:AA166"/>
    <mergeCell ref="Y167:AA167"/>
    <mergeCell ref="P172:R172"/>
    <mergeCell ref="Y172:AA172"/>
    <mergeCell ref="B128:B131"/>
    <mergeCell ref="C128:C131"/>
    <mergeCell ref="D128:F129"/>
    <mergeCell ref="J130:L130"/>
    <mergeCell ref="J128:L129"/>
    <mergeCell ref="P81:R82"/>
    <mergeCell ref="Y88:AA88"/>
    <mergeCell ref="AB88:AD88"/>
    <mergeCell ref="AH88:AJ88"/>
    <mergeCell ref="AE88:AG88"/>
    <mergeCell ref="AH90:AJ90"/>
    <mergeCell ref="AB90:AD90"/>
    <mergeCell ref="Y90:AA90"/>
    <mergeCell ref="AB81:AD82"/>
    <mergeCell ref="AE128:AG129"/>
    <mergeCell ref="V123:X124"/>
    <mergeCell ref="Y125:AA125"/>
    <mergeCell ref="AB123:AD124"/>
    <mergeCell ref="Y123:AA124"/>
    <mergeCell ref="AE125:AG125"/>
    <mergeCell ref="AB125:AD125"/>
    <mergeCell ref="S123:U124"/>
    <mergeCell ref="AE123:AG124"/>
    <mergeCell ref="S128:U129"/>
    <mergeCell ref="AB128:AD129"/>
    <mergeCell ref="Y128:AA129"/>
    <mergeCell ref="AE89:AG89"/>
    <mergeCell ref="P47:R47"/>
    <mergeCell ref="AE47:AG47"/>
    <mergeCell ref="AB89:AD89"/>
    <mergeCell ref="AH123:AJ124"/>
    <mergeCell ref="AH125:AJ125"/>
    <mergeCell ref="AK125:AM125"/>
    <mergeCell ref="P48:R48"/>
    <mergeCell ref="AE42:AG42"/>
    <mergeCell ref="AK81:AM82"/>
    <mergeCell ref="S48:U48"/>
    <mergeCell ref="AB47:AD47"/>
    <mergeCell ref="Y48:AA48"/>
    <mergeCell ref="AH43:AJ43"/>
    <mergeCell ref="AE44:AG45"/>
    <mergeCell ref="AH46:AJ46"/>
    <mergeCell ref="AK46:AM46"/>
    <mergeCell ref="AE46:AG46"/>
    <mergeCell ref="AK42:AM42"/>
    <mergeCell ref="AN212:AN215"/>
    <mergeCell ref="AO212:AO215"/>
    <mergeCell ref="AK88:AM88"/>
    <mergeCell ref="AN86:AN89"/>
    <mergeCell ref="AK86:AM87"/>
    <mergeCell ref="AO81:AO84"/>
    <mergeCell ref="AN81:AN84"/>
    <mergeCell ref="AN207:AN210"/>
    <mergeCell ref="AO207:AO210"/>
    <mergeCell ref="AO123:AO126"/>
    <mergeCell ref="AN123:AN126"/>
    <mergeCell ref="AK170:AM171"/>
    <mergeCell ref="AO128:AO131"/>
    <mergeCell ref="AN128:AN131"/>
    <mergeCell ref="AO165:AO168"/>
    <mergeCell ref="AN165:AN168"/>
    <mergeCell ref="AK209:AM209"/>
    <mergeCell ref="AN170:AN173"/>
    <mergeCell ref="AO86:AO89"/>
    <mergeCell ref="AK207:AM208"/>
    <mergeCell ref="AK128:AM129"/>
    <mergeCell ref="AK130:AM130"/>
    <mergeCell ref="AK300:AM300"/>
    <mergeCell ref="AK298:AM298"/>
    <mergeCell ref="AK293:AM293"/>
    <mergeCell ref="AK258:AM258"/>
    <mergeCell ref="AK256:AM256"/>
    <mergeCell ref="AK48:AM48"/>
    <mergeCell ref="M128:O129"/>
    <mergeCell ref="AB167:AD167"/>
    <mergeCell ref="V172:X172"/>
    <mergeCell ref="Y132:AA132"/>
    <mergeCell ref="Y170:AA171"/>
    <mergeCell ref="AE172:AG172"/>
    <mergeCell ref="AB132:AD132"/>
    <mergeCell ref="AB165:AD166"/>
    <mergeCell ref="AB170:AD171"/>
    <mergeCell ref="AE167:AG167"/>
    <mergeCell ref="AK216:AM216"/>
    <mergeCell ref="V130:X130"/>
    <mergeCell ref="M170:O171"/>
    <mergeCell ref="P170:R171"/>
    <mergeCell ref="S170:U171"/>
    <mergeCell ref="M167:O167"/>
    <mergeCell ref="M132:O132"/>
    <mergeCell ref="S132:U132"/>
    <mergeCell ref="AP272:AP274"/>
    <mergeCell ref="M4:O4"/>
    <mergeCell ref="V6:X6"/>
    <mergeCell ref="M6:O6"/>
    <mergeCell ref="Y4:AA4"/>
    <mergeCell ref="V4:X4"/>
    <mergeCell ref="S4:U4"/>
    <mergeCell ref="AE40:AG41"/>
    <mergeCell ref="AN249:AN252"/>
    <mergeCell ref="AO249:AO252"/>
    <mergeCell ref="AN254:AN257"/>
    <mergeCell ref="P132:R132"/>
    <mergeCell ref="S165:U166"/>
    <mergeCell ref="P165:R166"/>
    <mergeCell ref="M172:O172"/>
    <mergeCell ref="AK165:AM166"/>
    <mergeCell ref="AO170:AO173"/>
    <mergeCell ref="AH172:AJ172"/>
    <mergeCell ref="AK172:AM172"/>
    <mergeCell ref="AK167:AM167"/>
    <mergeCell ref="AO44:AO47"/>
    <mergeCell ref="AK214:AM214"/>
    <mergeCell ref="AK212:AM213"/>
    <mergeCell ref="AK174:AM174"/>
    <mergeCell ref="B380:B383"/>
    <mergeCell ref="C380:C383"/>
    <mergeCell ref="D380:F381"/>
    <mergeCell ref="G380:I381"/>
    <mergeCell ref="J380:L381"/>
    <mergeCell ref="M380:O381"/>
    <mergeCell ref="P380:R381"/>
    <mergeCell ref="S380:U381"/>
    <mergeCell ref="V380:X381"/>
    <mergeCell ref="D382:F382"/>
    <mergeCell ref="G382:I382"/>
    <mergeCell ref="J382:L382"/>
    <mergeCell ref="M382:O382"/>
    <mergeCell ref="P382:R382"/>
    <mergeCell ref="S382:U382"/>
    <mergeCell ref="V382:X382"/>
    <mergeCell ref="Y382:AA382"/>
    <mergeCell ref="AB382:AD382"/>
    <mergeCell ref="Y384:AA384"/>
    <mergeCell ref="AB384:AD384"/>
    <mergeCell ref="Y380:AA381"/>
    <mergeCell ref="AB380:AD381"/>
    <mergeCell ref="AE380:AG381"/>
    <mergeCell ref="AH380:AJ381"/>
    <mergeCell ref="AK380:AM381"/>
    <mergeCell ref="AN380:AN383"/>
    <mergeCell ref="AO380:AO383"/>
    <mergeCell ref="AE382:AG382"/>
    <mergeCell ref="AH382:AJ382"/>
    <mergeCell ref="AK382:AM382"/>
    <mergeCell ref="AE384:AG384"/>
    <mergeCell ref="AH384:AJ384"/>
    <mergeCell ref="AK384:AM384"/>
    <mergeCell ref="B417:B420"/>
    <mergeCell ref="C417:C420"/>
    <mergeCell ref="D417:F418"/>
    <mergeCell ref="G417:I418"/>
    <mergeCell ref="J417:L418"/>
    <mergeCell ref="M417:O418"/>
    <mergeCell ref="P417:R418"/>
    <mergeCell ref="S417:U418"/>
    <mergeCell ref="V417:X418"/>
    <mergeCell ref="Y417:AA418"/>
    <mergeCell ref="AB417:AD418"/>
    <mergeCell ref="AE417:AG418"/>
    <mergeCell ref="AH417:AJ418"/>
    <mergeCell ref="AK417:AM418"/>
    <mergeCell ref="D384:F384"/>
    <mergeCell ref="G384:I384"/>
    <mergeCell ref="J384:L384"/>
    <mergeCell ref="M384:O384"/>
    <mergeCell ref="P384:R384"/>
    <mergeCell ref="S384:U384"/>
    <mergeCell ref="V384:X384"/>
    <mergeCell ref="AN417:AN420"/>
    <mergeCell ref="AO417:AO420"/>
    <mergeCell ref="D419:F419"/>
    <mergeCell ref="G419:I419"/>
    <mergeCell ref="J419:L419"/>
    <mergeCell ref="M419:O419"/>
    <mergeCell ref="P419:R419"/>
    <mergeCell ref="S419:U419"/>
    <mergeCell ref="V419:X419"/>
    <mergeCell ref="Y419:AA419"/>
    <mergeCell ref="AB419:AD419"/>
    <mergeCell ref="AE419:AG419"/>
    <mergeCell ref="AH419:AJ419"/>
    <mergeCell ref="AK419:AM419"/>
  </mergeCells>
  <phoneticPr fontId="0" type="noConversion"/>
  <dataValidations count="2">
    <dataValidation operator="equal" allowBlank="1" showErrorMessage="1" errorTitle="Achtung Młocie!!!!!" error="Wpisałeś nie to co trzeba!!!!!_x000a_Wypierdalaj do szkoły!!!!!" sqref="AE46 P335 Y293 M293 AB335 AE298 V256 AB46 AH293 D256 J256 Y83:AM83 G293 P167 M298 AK46 D209 D83:I83 D42:AM42 Y335 P46 J167 AH4 M4 J298 AB256 P298 Y298 V298 AK214 D424 S167 D4 V46 S298 P209 S4 Y4 M209 D167 Y167:AB167 AH298 AK167 M167 AE167 AK298 G167 M125:Y125 AH125 G335 AB4:AE4 V335 AB298 J335 S335 Y256 D251 S251 AK4 P251 AK251 J251 AB251 AE251 V251 Y251 G251 M251 AH251 AB209 AK335 AH335 D335 M335 G298 AH256 D298 V167 AE335 AK256 G4 AK125:AM125 AB125:AE125 J4 AH214 AE256 AE214 S256 P256 M256 G256 D293 S293 P293 AK293 J293 AB293 AE293 V293 V209 D125 D46:G46 Y88:AB88 AE209 G125:J125 S209 J88:O88 S46 AH209 P4 V4 AE88 J209 G209 AK209 Y209 S88:U88 AH167 J46 AE461 P377 AB377 AE340 M340 Y377 J340 P340 Y340 V340 S340 AH340 AK340 G377 V377 AB340 J377 S377 AK377 AH377 D377 M377 G340 D340 AE377 P419 AB419 AE382 M382 Y419 J382 P382 Y382 V382 S382 AH382 AK382 G419 V419 AB382 J419 S419 AK419 AH419 D419 M419 G382 D382 AE419 P461 AB461 AE424 M424 Y461 J424 P424 Y424 V424 S424 AH424 AK424 G461 V461 AB424 J461 S461 AK461 AH461 D461 M461 G424 P83:V83 M46" xr:uid="{ED06427E-BD3C-48E3-9224-31DCAEB1C6B9}">
      <formula1>0</formula1>
      <formula2>0</formula2>
    </dataValidation>
    <dataValidation operator="greaterThan" allowBlank="1" showErrorMessage="1" errorTitle="Achtung Młocie!!!!!" error="Wpisałeś nie to co trzeba!!!!!_x000a_Wypierdalaj do szkoły!!!!!" sqref="P114 Y72 AK114 AH114 Y408 AB366 S437 G156 Y324 V198 V185 P101 AE114 AB72 S198 J395 D92:D95 AH366 Y240 AK282 Y395 J240 Y282 J386:J389 M282 AH385:AH389 Y427:Y452 Y114 M8:M11 V72 J72 G114 J114 P428:P431 AE72 P198 AK156 J101 G101 V38 J302:J305 P156 AE240 AK385:AK389 AB240 J227 M38 G282 G408 G8:G11 Y198 S428:S431 P240 P185 S450 P176:P179 M198 S38 G30 AH30 AH101 J198 J8:J11 D282 D386:D389 J156 J185 AB30 AE324 J324 J218:J221 V240 J59 Y185 AH17 D240 AH198 AK324 M408 S282 AK72 G198 AE101 AK311 AH454:AH457 V227 M395 Y311 Y227 Y269 AE311 AK143 Y101 J30 P143 P134:P137 AH353 M386:M390 AH344:AH347 V59 M114 AH72 G72 AE227 M30 AK30 AH282 AE92:AE95 S324 S114 M240 P227 AE59 D72 AK392 G185 AB17 AE389 AE156 AH240 M227 AH156 P72 AE198 AB114 V114 D30 D59 M101 AH143 S408 AK454:AK457 G240 Y59 AB59 AB227 D198 M72 D114 J282 S101 AK59 AE185 AE454:AE457 AE176:AE179 J269 Y302:Y305 AK432:AK451 AE143 G227 Y30 AK101 AH185 S240 S227 Y156 Y143 AE218:AE221 J408 AH59 Y218:Y221 AB218:AB221 AE282 AE269 M269 M260:M263 V156 AH324 G143 D269 AB101 V50:V53 M156 M143 P59 AB282 AB269 AH269 AH260:AH263 M17 AK269 V176:V179 AB353 Y386:Y389 S185 AK260:AK263 V324 D227 D218:D221 V218:V221 AK366 S218:S221 AB260:AB263 AK353 V282 G428:G431 S8:S11 P38 P8:P11 V8:V11 V30 S269 AK198 AK185 AE302:AE305 V311 M450 G450 S395 M437 AE349:AE353 AE356:AE360 G324 AK408 AB446:AB451 M366 AH176:AH179 P449:P451 AH311 D156 S311 AH302:AH305 V454:V457 G366 S366 D434 M353 AK17 M344:M347 M185 D185 AE260:AE263 AK344:AK347 V269 P282 Y17 D324 D311 D302:D305 AB324 G146 AB302:AB305 M324 M311 M302:M305 P218:P221 AH227 AH218:AH221 AB427:AB444 S302:S305 Y366 V302:V305 D143 Y353 V143 V134:V137 D1 J50:J53 V101 J92:J95 D50:D53 G59 G50:G53 M59 AK8:AK11 J311 Y50:Y53 AE50:AE53 AK50:AK53 G92:G95 M92:M95 P92:P95 S92:S95 AB92:AB95 M50:M53 AH92:AH95 AK92:AK95 AK134:AK137 AH50:AH53 D17 D134:D137 G176:G179 Y176:Y179 P50:P53 M134:M137 S386:S389 J260:J263 J366 Y134:Y137 G134:G137 AE134:AE137 J176:J179 D176:D179 S176:S179 AH351 M218:M221 S260:S263 AK302:AK305 AB50:AB53 Y92:Y95 AH134:AH137 Y260:Y263 D260:D263 G218:G221 AK240 J450 G437 P30 S30 AB8:AB11 G311 P408 P269 P17 J17 V260:V263 V17 S17 AH8:AH11 J143 J134:J137 AE427:AE452 AE344:AE347 G17 P260:P263 S156 M176:M179 AB386 AB156 AB454:AB457 P324 AB143 AH408 G302:G305 P311 M428:M431 G269 G260:G263 D366 P366 P353 P344:P347 P302:P305 G353 AK227 AK218:AK221 AB134:AB137 D353 G344:G347 J353 J344:J347 D344:D347 G395 V366 V353 V344:V347 S353 S344:S347 Y344:Y347 AK176:AK179 AE30 AE17 AE8:AE11 AB176:AB179 AH427:AH431 P395 S143 AH392 S134:S137 P386:P389 AB391:AB394 AB399 D101 J437 V92:V95 AE408 V408 AE363:AE367 D408 AH433:AH437 AB408 D440:D443 AH440:AH444 P442:P444 Y454:Y457 Y8:Y11 D395 AE399 P435:P437 AB344:AB347 AE386 V395 V386:V389 AE391:AE394 G386:G389 J428:J431 V427:V452 D8:D11 AB198 AB185 D450 P455:P457 D427:D431 AK398:AK401 AH398:AH401 AB389 AK427:AK430 AH447:AH451 S72 S59 S50:S53" xr:uid="{EDE7FF00-9090-42EB-9B89-F0E50BBDF61E}">
      <formula1>0</formula1>
      <formula2>0</formula2>
    </dataValidation>
  </dataValidations>
  <pageMargins left="3.9583333333333331E-2" right="3.9583333333333331E-2" top="0" bottom="0" header="0.51180555555555551" footer="0.51180555555555551"/>
  <pageSetup paperSize="9" scale="26" firstPageNumber="0" fitToHeight="0" orientation="portrait" r:id="rId1"/>
  <headerFooter alignWithMargins="0"/>
  <cellWatches>
    <cellWatch r="AE207"/>
    <cellWatch r="Y128"/>
  </cellWatche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Arkusz4"/>
  <dimension ref="A1:AV374"/>
  <sheetViews>
    <sheetView zoomScale="70" zoomScaleNormal="70" workbookViewId="0">
      <selection activeCell="B4" sqref="B4"/>
    </sheetView>
  </sheetViews>
  <sheetFormatPr defaultRowHeight="14.4"/>
  <cols>
    <col min="1" max="1" width="28" customWidth="1"/>
    <col min="2" max="2" width="7.6640625" customWidth="1"/>
    <col min="3" max="3" width="7.44140625" customWidth="1"/>
    <col min="4" max="4" width="28.6640625" customWidth="1"/>
    <col min="7" max="7" width="9.88671875" customWidth="1"/>
    <col min="30" max="30" width="7.88671875" customWidth="1"/>
  </cols>
  <sheetData>
    <row r="1" spans="1:7" ht="18.75" customHeight="1"/>
    <row r="2" spans="1:7" ht="18.75" customHeight="1">
      <c r="D2" s="348" t="s">
        <v>9</v>
      </c>
      <c r="E2" s="348"/>
      <c r="F2" s="348"/>
      <c r="G2" s="348"/>
    </row>
    <row r="3" spans="1:7" ht="24" customHeight="1">
      <c r="A3" s="10" t="s">
        <v>2</v>
      </c>
      <c r="B3" s="11">
        <v>31</v>
      </c>
      <c r="D3" s="348"/>
      <c r="E3" s="348"/>
      <c r="F3" s="348"/>
      <c r="G3" s="348"/>
    </row>
    <row r="4" spans="1:7" ht="15.75" customHeight="1" thickBot="1">
      <c r="A4" s="12"/>
    </row>
    <row r="5" spans="1:7">
      <c r="A5" s="23" t="str">
        <f ca="1">IF(B5="","","1.")</f>
        <v>1.</v>
      </c>
      <c r="B5" s="152" cm="1">
        <f t="array" aca="1" ref="B5" ca="1">_xlfn.SINGLE(IF(INDIRECT("MAOP!J$"&amp;90+'Statystyki dnia'!$B$3)="w","",IF(INDIRECT("MAOP!J$"&amp;90+'Statystyki dnia'!$B$3),INDIRECT("MAOP!J$"&amp;90+'Statystyki dnia'!$B$3),"")))</f>
        <v>0.125</v>
      </c>
      <c r="C5" s="154" cm="1">
        <f t="array" aca="1" ref="C5" ca="1">_xlfn.SINGLE(IF(INDIRECT("MAOP!K$"&amp;90+'Statystyki dnia'!$B$3)="w","",IF(INDIRECT("MAOP!K$"&amp;90+'Statystyki dnia'!$B$3),INDIRECT("MAOP!K$"&amp;90+'Statystyki dnia'!$B$3),"")))</f>
        <v>0.52083333333333337</v>
      </c>
      <c r="D5" s="156" t="str">
        <f ca="1">IF(INDIRECT("MAOP!L$"&amp;90+'Statystyki dnia'!$B$3)="w","",IF(INDIRECT("MAOP!L$"&amp;90+'Statystyki dnia'!$B$3)&gt;0,MAOP!J$86,""))</f>
        <v>MARTYNA WYCIŚLAK</v>
      </c>
      <c r="E5" s="46"/>
    </row>
    <row r="6" spans="1:7">
      <c r="A6" s="23" t="str">
        <f ca="1">IF(B6="","","2.")</f>
        <v>2.</v>
      </c>
      <c r="B6" s="153" cm="1">
        <f t="array" aca="1" ref="B6" ca="1">_xlfn.SINGLE(IF(INDIRECT("MAOP!P$"&amp;342+'Statystyki dnia'!$B$3)="w","",IF(INDIRECT("MAOP!P$"&amp;342+'Statystyki dnia'!$B$3),INDIRECT("MAOP!P$"&amp;342+'Statystyki dnia'!$B$3),"")))</f>
        <v>0.125</v>
      </c>
      <c r="C6" s="151" cm="1">
        <f t="array" aca="1" ref="C6" ca="1">_xlfn.SINGLE(IF(INDIRECT("MAOP!Q$"&amp;342+'Statystyki dnia'!$B$3)="w","",IF(INDIRECT("MAOP!Q$"&amp;342+'Statystyki dnia'!$B$3),INDIRECT("MAOP!Q$"&amp;342+'Statystyki dnia'!$B$3),"")))</f>
        <v>0.52083333333333337</v>
      </c>
      <c r="D6" s="157" t="str">
        <f ca="1">IF(INDIRECT("MAOP!R$"&amp;342+'Statystyki dnia'!$B$3)="w","",IF(INDIRECT("MAOP!R$"&amp;342+'Statystyki dnia'!$B$3)&gt;0,MAOP!P$338,""))</f>
        <v>MATEUSZ ZIELIŃSKI</v>
      </c>
      <c r="E6" s="46"/>
    </row>
    <row r="7" spans="1:7">
      <c r="A7" s="23" t="str">
        <f ca="1">IF(B7="","","3.")</f>
        <v>3.</v>
      </c>
      <c r="B7" s="70" cm="1">
        <f t="array" aca="1" ref="B7" ca="1">_xlfn.SINGLE(IF(INDIRECT("MAOP!J$"&amp;300+'Statystyki dnia'!$B$3)="w","",IF(INDIRECT("MAOP!J$"&amp;300+'Statystyki dnia'!$B$3),INDIRECT("MAOP!J$"&amp;300+'Statystyki dnia'!$B$3),"")))</f>
        <v>0.125</v>
      </c>
      <c r="C7" s="48" cm="1">
        <f t="array" aca="1" ref="C7" ca="1">_xlfn.SINGLE(IF(INDIRECT("MAOP!K$"&amp;300+'Statystyki dnia'!$B$3)="w","",IF(INDIRECT("MAOP!K$"&amp;300+'Statystyki dnia'!$B$3),INDIRECT("MAOP!K$"&amp;300+'Statystyki dnia'!$B$3),"")))</f>
        <v>0.52083333333333337</v>
      </c>
      <c r="D7" s="96" t="str">
        <f ca="1">IF(INDIRECT("MAOP!L$"&amp;300+'Statystyki dnia'!$B$3)="w","",IF(INDIRECT("MAOP!L$"&amp;300+'Statystyki dnia'!$B$3)&gt;0,MAOP!J$296,""))</f>
        <v>OLIWIA CZULIŃSKA</v>
      </c>
      <c r="E7" s="46"/>
    </row>
    <row r="8" spans="1:7">
      <c r="A8" s="23" t="str">
        <f ca="1">IF(B8="","","4.")</f>
        <v>4.</v>
      </c>
      <c r="B8" s="97" cm="1">
        <f t="array" aca="1" ref="B8" ca="1">_xlfn.SINGLE(IF(INDIRECT("MAOP!P$"&amp;384+'Statystyki dnia'!$B$3)="w","",IF(INDIRECT("MAOP!P$"&amp;384+'Statystyki dnia'!$B$3),INDIRECT("MAOP!P$"&amp;384+'Statystyki dnia'!$B$3),"")))</f>
        <v>0.125</v>
      </c>
      <c r="C8" s="48" cm="1">
        <f t="array" aca="1" ref="C8" ca="1">_xlfn.SINGLE(IF(INDIRECT("MAOP!Q$"&amp;384+'Statystyki dnia'!$B$3)="w","",IF(INDIRECT("MAOP!Q$"&amp;384+'Statystyki dnia'!$B$3),INDIRECT("MAOP!Q$"&amp;384+'Statystyki dnia'!$B$3),"")))</f>
        <v>0.52083333333333337</v>
      </c>
      <c r="D8" s="96" t="str">
        <f ca="1">IF(INDIRECT("MAOP!R$"&amp;384+'Statystyki dnia'!$B$3)="w","",IF(INDIRECT("MAOP!R$"&amp;384+'Statystyki dnia'!$B$3)&gt;0,MAOP!P$380,""))</f>
        <v>FILIP ZĄB</v>
      </c>
      <c r="E8" s="46"/>
    </row>
    <row r="9" spans="1:7">
      <c r="A9" s="23" t="str">
        <f ca="1">IF(B9="","","5.")</f>
        <v>5.</v>
      </c>
      <c r="B9" s="97" cm="1">
        <f t="array" aca="1" ref="B9" ca="1">_xlfn.SINGLE(IF(INDIRECT("MAOP!J$"&amp;384+'Statystyki dnia'!$B$3)="w","",IF(INDIRECT("MAOP!J$"&amp;384+'Statystyki dnia'!$B$3),INDIRECT("MAOP!J$"&amp;384+'Statystyki dnia'!$B$3),"")))</f>
        <v>0.125</v>
      </c>
      <c r="C9" s="48" cm="1">
        <f t="array" aca="1" ref="C9" ca="1">_xlfn.SINGLE(IF(INDIRECT("MAOP!K$"&amp;384+'Statystyki dnia'!$B$3)="w","",IF(INDIRECT("MAOP!K$"&amp;384+'Statystyki dnia'!$B$3),INDIRECT("MAOP!K$"&amp;384+'Statystyki dnia'!$B$3),"")))</f>
        <v>0.52083333333333337</v>
      </c>
      <c r="D9" s="96" t="str">
        <f ca="1">IF(INDIRECT("MAOP!L$"&amp;384+'Statystyki dnia'!$B$3)="w","",IF(INDIRECT("MAOP!L$"&amp;384+'Statystyki dnia'!$B$3)&gt;0,MAOP!J$380,""))</f>
        <v>JAKUB TERPIS</v>
      </c>
      <c r="E9" s="46"/>
    </row>
    <row r="10" spans="1:7">
      <c r="A10" s="23" t="str">
        <f ca="1">IF(B10="","","6.")</f>
        <v>6.</v>
      </c>
      <c r="B10" s="69" cm="1">
        <f t="array" aca="1" ref="B10" ca="1">_xlfn.SINGLE(IF(INDIRECT("MAOP!P$"&amp;90+'Statystyki dnia'!$B$3)="w","",IF(INDIRECT("MAOP!P$"&amp;90+'Statystyki dnia'!$B$3),INDIRECT("MAOP!P$"&amp;90+'Statystyki dnia'!$B$3),"")))</f>
        <v>0.125</v>
      </c>
      <c r="C10" s="49" cm="1">
        <f t="array" aca="1" ref="C10" ca="1">_xlfn.SINGLE(IF(INDIRECT("MAOP!Q$"&amp;90+'Statystyki dnia'!$B$3)="w","",IF(INDIRECT("MAOP!Q$"&amp;90+'Statystyki dnia'!$B$3),INDIRECT("MAOP!Q$"&amp;90+'Statystyki dnia'!$B$3),"")))</f>
        <v>0.52083333333333337</v>
      </c>
      <c r="D10" s="95" t="str">
        <f ca="1">IF(INDIRECT("MAOP!R$"&amp;90+'Statystyki dnia'!$B$3)="w","",IF(INDIRECT("MAOP!R$"&amp;90+'Statystyki dnia'!$B$3)&gt;0,MAOP!P$86,""))</f>
        <v>ANASTASIIA DERKACH</v>
      </c>
      <c r="E10" s="46"/>
    </row>
    <row r="11" spans="1:7">
      <c r="A11" s="23" t="str">
        <f ca="1">IF(B11="","","7.")</f>
        <v>7.</v>
      </c>
      <c r="B11" s="70" cm="1">
        <f t="array" aca="1" ref="B11" ca="1">_xlfn.SINGLE(IF(INDIRECT("MAOP!P$"&amp;300+'Statystyki dnia'!$B$3)="w","",IF(INDIRECT("MAOP!P$"&amp;300+'Statystyki dnia'!$B$3),INDIRECT("MAOP!P$"&amp;300+'Statystyki dnia'!$B$3),"")))</f>
        <v>0.125</v>
      </c>
      <c r="C11" s="48" cm="1">
        <f t="array" aca="1" ref="C11" ca="1">_xlfn.SINGLE(IF(INDIRECT("MAOP!Q$"&amp;300+'Statystyki dnia'!$B$3)="w","",IF(INDIRECT("MAOP!Q$"&amp;300+'Statystyki dnia'!$B$3),INDIRECT("MAOP!Q$"&amp;300+'Statystyki dnia'!$B$3),"")))</f>
        <v>0.52083333333333337</v>
      </c>
      <c r="D11" s="95" t="str">
        <f ca="1">IF(INDIRECT("MAOP!R$"&amp;300+'Statystyki dnia'!$B$3)="w","",IF(INDIRECT("MAOP!R$"&amp;300+'Statystyki dnia'!$B$3)&gt;0,MAOP!P$296,""))</f>
        <v>SZYMON KIBAŁO</v>
      </c>
      <c r="E11" s="46"/>
    </row>
    <row r="12" spans="1:7">
      <c r="A12" s="23" t="str">
        <f ca="1">IF(B12="","","8.")</f>
        <v>8.</v>
      </c>
      <c r="B12" s="70" cm="1">
        <f t="array" aca="1" ref="B12" ca="1">_xlfn.SINGLE(IF(INDIRECT("MAOP!J$"&amp;342+'Statystyki dnia'!$B$3)="w","",IF(INDIRECT("MAOP!J$"&amp;342+'Statystyki dnia'!$B$3),INDIRECT("MAOP!J$"&amp;342+'Statystyki dnia'!$B$3),"")))</f>
        <v>0.125</v>
      </c>
      <c r="C12" s="48" cm="1">
        <f t="array" aca="1" ref="C12" ca="1">_xlfn.SINGLE(IF(INDIRECT("MAOP!K$"&amp;342+'Statystyki dnia'!$B$3)="w","",IF(INDIRECT("MAOP!K$"&amp;342+'Statystyki dnia'!$B$3),INDIRECT("MAOP!K$"&amp;342+'Statystyki dnia'!$B$3),"")))</f>
        <v>0.52083333333333337</v>
      </c>
      <c r="D12" s="96" t="str">
        <f ca="1">IF(INDIRECT("MAOP!L$"&amp;342+'Statystyki dnia'!$B$3)="w","",IF(INDIRECT("MAOP!L$"&amp;342+'Statystyki dnia'!$B$3)&gt;0,MAOP!J$338,""))</f>
        <v>ADAM KADŁUBOWSKI</v>
      </c>
      <c r="E12" s="46"/>
    </row>
    <row r="13" spans="1:7">
      <c r="A13" s="23" t="str">
        <f ca="1">IF(B13="","","9.")</f>
        <v>9.</v>
      </c>
      <c r="B13" s="70" cm="1">
        <f t="array" aca="1" ref="B13" ca="1">_xlfn.SINGLE(IF(INDIRECT("MAOP!Y$"&amp;6+'Statystyki dnia'!$B$3)="w","",IF(INDIRECT("MAOP!Y$"&amp;6+'Statystyki dnia'!$B$3),INDIRECT("MAOP!Y$"&amp;6+'Statystyki dnia'!$B$3),"")))</f>
        <v>0.16666666666666666</v>
      </c>
      <c r="C13" s="48" cm="1">
        <f t="array" aca="1" ref="C13" ca="1">_xlfn.SINGLE(IF(INDIRECT("MAOP!Z$"&amp;6+'Statystyki dnia'!$B$3)="w","",IF(INDIRECT("MAOP!Z$"&amp;6+'Statystyki dnia'!$B$3),INDIRECT("MAOP!Z$"&amp;6+'Statystyki dnia'!$B$3),"")))</f>
        <v>0.66666666666666663</v>
      </c>
      <c r="D13" s="71" t="str">
        <f ca="1">IF(INDIRECT("MAOP!AA$"&amp;6+'Statystyki dnia'!$B$3)="w","",IF(INDIRECT("MAOP!AA$"&amp;6+'Statystyki dnia'!$B$3)&gt;0,MAOP!Y$2,""))</f>
        <v>WIKTOR LISTOPAD</v>
      </c>
      <c r="E13" s="46"/>
    </row>
    <row r="14" spans="1:7">
      <c r="A14" s="23" t="str">
        <f ca="1">IF(B14="","","10.")</f>
        <v>10.</v>
      </c>
      <c r="B14" s="70" cm="1">
        <f t="array" aca="1" ref="B14" ca="1">_xlfn.SINGLE(IF(INDIRECT("MAOP!M$"&amp;174+'Statystyki dnia'!$B$3)="w","",IF(INDIRECT("MAOP!M$"&amp;174+'Statystyki dnia'!$B$3),INDIRECT("MAOP!M$"&amp;174+'Statystyki dnia'!$B$3),"")))</f>
        <v>0.16666666666666666</v>
      </c>
      <c r="C14" s="48" cm="1">
        <f t="array" aca="1" ref="C14" ca="1">_xlfn.SINGLE(IF(INDIRECT("MAOP!N$"&amp;174+'Statystyki dnia'!$B$3)="w","",IF(INDIRECT("MAOP!N$"&amp;174+'Statystyki dnia'!$B$3),INDIRECT("MAOP!N$"&amp;174+'Statystyki dnia'!$B$3),"")))</f>
        <v>0.66666666666666663</v>
      </c>
      <c r="D14" s="94" t="str">
        <f ca="1">IF(INDIRECT("MAOP!O$"&amp;174+'Statystyki dnia'!$B$3)="w","",IF(INDIRECT("MAOP!O$"&amp;174+'Statystyki dnia'!$B$3)&gt;0,MAOP!M$170,""))</f>
        <v>MATEUSZ DYNIA</v>
      </c>
      <c r="E14" s="46"/>
    </row>
    <row r="15" spans="1:7">
      <c r="A15" s="23" t="str">
        <f ca="1">IF(B15="","","11.")</f>
        <v>11.</v>
      </c>
      <c r="B15" s="70" cm="1">
        <f t="array" aca="1" ref="B15" ca="1">_xlfn.SINGLE(IF(INDIRECT("MAOP!G$"&amp;132+'Statystyki dnia'!$B$3)="w","",IF(INDIRECT("MAOP!G$"&amp;132+'Statystyki dnia'!$B$3),INDIRECT("MAOP!G$"&amp;132+'Statystyki dnia'!$B$3),"")))</f>
        <v>0.16666666666666666</v>
      </c>
      <c r="C15" s="48" cm="1">
        <f t="array" aca="1" ref="C15" ca="1">_xlfn.SINGLE(IF(INDIRECT("MAOP!H$"&amp;132+'Statystyki dnia'!$B$3)="w","",IF(INDIRECT("MAOP!H$"&amp;132+'Statystyki dnia'!$B$3),INDIRECT("MAOP!H$"&amp;132+'Statystyki dnia'!$B$3),"")))</f>
        <v>0.66666666666666663</v>
      </c>
      <c r="D15" s="98" t="str">
        <f ca="1">IF(INDIRECT("MAOP!I$"&amp;132+'Statystyki dnia'!$B$3)="w","",IF(INDIRECT("MAOP!I$"&amp;132+'Statystyki dnia'!$B$3)&gt;0,MAOP!G$128,""))</f>
        <v>OLEKSII DYRIV</v>
      </c>
      <c r="E15" s="46"/>
    </row>
    <row r="16" spans="1:7">
      <c r="A16" s="23" t="str">
        <f ca="1">IF(B16="","","12.")</f>
        <v>12.</v>
      </c>
      <c r="B16" s="70" cm="1">
        <f t="array" aca="1" ref="B16" ca="1">_xlfn.SINGLE(IF(INDIRECT("MAOP!AE$"&amp;6+'Statystyki dnia'!$B$3)="w","",IF(INDIRECT("MAOP!AE$"&amp;6+'Statystyki dnia'!$B$3),INDIRECT("MAOP!AE$"&amp;6+'Statystyki dnia'!$B$3),"")))</f>
        <v>0.16666666666666666</v>
      </c>
      <c r="C16" s="48" cm="1">
        <f t="array" aca="1" ref="C16" ca="1">_xlfn.SINGLE(IF(INDIRECT("MAOP!AF$"&amp;6+'Statystyki dnia'!$B$3)="w","",IF(INDIRECT("MAOP!AF$"&amp;6+'Statystyki dnia'!$B$3),INDIRECT("MAOP!AF$"&amp;6+'Statystyki dnia'!$B$3),"")))</f>
        <v>0.66666666666666663</v>
      </c>
      <c r="D16" s="71" t="str">
        <f ca="1">IF(INDIRECT("MAOP!AG$"&amp;6+'Statystyki dnia'!$B$3)="w","",IF(INDIRECT("MAOP!AG$"&amp;6+'Statystyki dnia'!$B$3)&gt;0,MAOP!AE$2,""))</f>
        <v>KORNELIA SOBKOWIAK</v>
      </c>
      <c r="E16" s="46"/>
    </row>
    <row r="17" spans="1:9">
      <c r="A17" s="23" t="str">
        <f ca="1">IF(B17="","","13.")</f>
        <v>13.</v>
      </c>
      <c r="B17" s="70" cm="1">
        <f t="array" aca="1" ref="B17" ca="1">_xlfn.SINGLE(IF(INDIRECT("MAOP!AH$"&amp;6+'Statystyki dnia'!$B$3)="w","",IF(INDIRECT("MAOP!AH$"&amp;6+'Statystyki dnia'!$B$3),INDIRECT("MAOP!AH$"&amp;6+'Statystyki dnia'!$B$3),"")))</f>
        <v>0.16666666666666666</v>
      </c>
      <c r="C17" s="48" cm="1">
        <f t="array" aca="1" ref="C17" ca="1">_xlfn.SINGLE(IF(INDIRECT("MAOP!AI$"&amp;6+'Statystyki dnia'!$B$3)="w","",IF(INDIRECT("MAOP!AI$"&amp;6+'Statystyki dnia'!$B$3),INDIRECT("MAOP!AI$"&amp;6+'Statystyki dnia'!$B$3),"")))</f>
        <v>0.66666666666666663</v>
      </c>
      <c r="D17" s="71" t="str">
        <f ca="1">IF(INDIRECT("MAOP!AJ$"&amp;6+'Statystyki dnia'!$B$3)="w","",IF(INDIRECT("MAOP!AJ$"&amp;6+'Statystyki dnia'!$B$3)&gt;0,MAOP!AH$2,""))</f>
        <v>ALEKSANDRA KALATA</v>
      </c>
    </row>
    <row r="18" spans="1:9">
      <c r="A18" s="23" t="str">
        <f ca="1">IF(B18="","","14.")</f>
        <v>14.</v>
      </c>
      <c r="B18" s="70" cm="1">
        <f t="array" aca="1" ref="B18" ca="1">_xlfn.SINGLE(IF(INDIRECT("MAOP!AB$"&amp;6+'Statystyki dnia'!$B$3)="w","",IF(INDIRECT("MAOP!AB$"&amp;6+'Statystyki dnia'!$B$3),INDIRECT("MAOP!AB$"&amp;6+'Statystyki dnia'!$B$3),"")))</f>
        <v>0.16666666666666666</v>
      </c>
      <c r="C18" s="48" cm="1">
        <f t="array" aca="1" ref="C18" ca="1">_xlfn.SINGLE(IF(INDIRECT("MAOP!AC$"&amp;6+'Statystyki dnia'!$B$3)="w","",IF(INDIRECT("MAOP!AC$"&amp;6+'Statystyki dnia'!$B$3),INDIRECT("MAOP!AC$"&amp;6+'Statystyki dnia'!$B$3),"")))</f>
        <v>0.66666666666666663</v>
      </c>
      <c r="D18" s="71" t="str">
        <f ca="1">IF(INDIRECT("MAOP!AD$"&amp;6+'Statystyki dnia'!$B$3)="w","",IF(INDIRECT("MAOP!AD$"&amp;6+'Statystyki dnia'!$B$3)&gt;0,MAOP!AB$2,""))</f>
        <v>EMILIA KANTYKA</v>
      </c>
    </row>
    <row r="19" spans="1:9">
      <c r="A19" s="23" t="str">
        <f ca="1">IF(B19="","","15.")</f>
        <v>15.</v>
      </c>
      <c r="B19" s="70" cm="1">
        <f t="array" aca="1" ref="B19" ca="1">_xlfn.SINGLE(IF(INDIRECT("MAOP!Y$"&amp;216+'Statystyki dnia'!$B$3)="w","",IF(INDIRECT("MAOP!Y$"&amp;216+'Statystyki dnia'!$B$3),INDIRECT("MAOP!Y$"&amp;216+'Statystyki dnia'!$B$3),"")))</f>
        <v>0.16666666666666666</v>
      </c>
      <c r="C19" s="48" cm="1">
        <f t="array" aca="1" ref="C19" ca="1">_xlfn.SINGLE(IF(INDIRECT("MAOP!Z$"&amp;216+'Statystyki dnia'!$B$3)="w","",IF(INDIRECT("MAOP!Z$"&amp;216+'Statystyki dnia'!$B$3),INDIRECT("MAOP!Z$"&amp;216+'Statystyki dnia'!$B$3),"")))</f>
        <v>0.66666666666666663</v>
      </c>
      <c r="D19" s="71" t="str">
        <f ca="1">IF(INDIRECT("MAOP!AA$"&amp;216+'Statystyki dnia'!$B$3)="w","",IF(INDIRECT("MAOP!AA$"&amp;216+'Statystyki dnia'!$B$3)&gt;0,MAOP!Y$212,""))</f>
        <v>ALESSANDRO BIENIECKI</v>
      </c>
    </row>
    <row r="20" spans="1:9" ht="15" customHeight="1">
      <c r="A20" s="23" t="str">
        <f ca="1">IF(B20="","","16.")</f>
        <v>16.</v>
      </c>
      <c r="B20" s="69" cm="1">
        <f t="array" aca="1" ref="B20" ca="1">_xlfn.SINGLE(IF(INDIRECT("MAOP!V$"&amp;132+'Statystyki dnia'!$B$3)="w","",IF(INDIRECT("MAOP!V$"&amp;132+'Statystyki dnia'!$B$3),INDIRECT("MAOP!V$"&amp;132+'Statystyki dnia'!$B$3),"")))</f>
        <v>0.16666666666666666</v>
      </c>
      <c r="C20" s="49" cm="1">
        <f t="array" aca="1" ref="C20" ca="1">_xlfn.SINGLE(IF(INDIRECT("MAOP!W$"&amp;132+'Statystyki dnia'!$B$3)="w","",IF(INDIRECT("MAOP!W$"&amp;132+'Statystyki dnia'!$B$3),INDIRECT("MAOP!W$"&amp;132+'Statystyki dnia'!$B$3),"")))</f>
        <v>0.66666666666666663</v>
      </c>
      <c r="D20" s="95" t="str">
        <f ca="1">IF(INDIRECT("MAOP!X$"&amp;132+'Statystyki dnia'!$B$3)="w","",IF(INDIRECT("MAOP!X$"&amp;132+'Statystyki dnia'!$B$3)&gt;0,MAOP!V$128,""))</f>
        <v>MACIEJ STEFAŃSKI</v>
      </c>
    </row>
    <row r="21" spans="1:9" ht="15" customHeight="1">
      <c r="A21" s="23" t="str">
        <f ca="1">IF(B21="","","17.")</f>
        <v>17.</v>
      </c>
      <c r="B21" s="70" cm="1">
        <f t="array" aca="1" ref="B21" ca="1">_xlfn.SINGLE(IF(INDIRECT("MAOP!P$"&amp;258+'Statystyki dnia'!$B$3)="w","",IF(INDIRECT("MAOP!P$"&amp;258+'Statystyki dnia'!$B$3),INDIRECT("MAOP!P$"&amp;258+'Statystyki dnia'!$B$3),"")))</f>
        <v>0.16666666666666666</v>
      </c>
      <c r="C21" s="48" cm="1">
        <f t="array" aca="1" ref="C21" ca="1">_xlfn.SINGLE(IF(INDIRECT("MAOP!Q$"&amp;258+'Statystyki dnia'!$B$3)="w","",IF(INDIRECT("MAOP!Q$"&amp;258+'Statystyki dnia'!$B$3),INDIRECT("MAOP!Q$"&amp;258+'Statystyki dnia'!$B$3),"")))</f>
        <v>0.66666666666666663</v>
      </c>
      <c r="D21" s="95" t="str">
        <f ca="1">IF(INDIRECT("MAOP!R$"&amp;258+'Statystyki dnia'!$B$3)="w","",IF(INDIRECT("MAOP!R$"&amp;258+'Statystyki dnia'!$B$3)&gt;0,MAOP!P$254,""))</f>
        <v>EMIL MALCZAK</v>
      </c>
    </row>
    <row r="22" spans="1:9" ht="15" customHeight="1">
      <c r="A22" s="23" t="str">
        <f ca="1">IF(B22="","","18.")</f>
        <v>18.</v>
      </c>
      <c r="B22" s="70" cm="1">
        <f t="array" aca="1" ref="B22" ca="1">_xlfn.SINGLE(IF(INDIRECT("MAOP!Y$"&amp;300+'Statystyki dnia'!$B$3)="w","",IF(INDIRECT("MAOP!Y$"&amp;300+'Statystyki dnia'!$B$3),INDIRECT("MAOP!Y$"&amp;300+'Statystyki dnia'!$B$3),"")))</f>
        <v>0.16666666666666666</v>
      </c>
      <c r="C22" s="48" cm="1">
        <f t="array" aca="1" ref="C22" ca="1">_xlfn.SINGLE(IF(INDIRECT("MAOP!Z$"&amp;300+'Statystyki dnia'!$B$3)="w","",IF(INDIRECT("MAOP!Z$"&amp;300+'Statystyki dnia'!$B$3),INDIRECT("MAOP!Z$"&amp;300+'Statystyki dnia'!$B$3),"")))</f>
        <v>0.66666666666666663</v>
      </c>
      <c r="D22" s="96" t="str">
        <f ca="1">IF(INDIRECT("MAOP!AA$"&amp;300+'Statystyki dnia'!$B$3)="w","",IF(INDIRECT("MAOP!AA$"&amp;300+'Statystyki dnia'!$B$3)&gt;0,MAOP!Y$296,""))</f>
        <v>KACPER JON</v>
      </c>
    </row>
    <row r="23" spans="1:9" ht="15" customHeight="1">
      <c r="A23" s="23" t="str">
        <f ca="1">IF(B23="","","19.")</f>
        <v>19.</v>
      </c>
      <c r="B23" s="97" cm="1">
        <f t="array" aca="1" ref="B23" ca="1">_xlfn.SINGLE(IF(INDIRECT("MAOP!D$"&amp;258+'Statystyki dnia'!$B$3)="w","",IF(INDIRECT("MAOP!D$"&amp;258+'Statystyki dnia'!$B$3),INDIRECT("MAOP!D$"&amp;258+'Statystyki dnia'!$B$3),"")))</f>
        <v>0.16666666666666666</v>
      </c>
      <c r="C23" s="48" cm="1">
        <f t="array" aca="1" ref="C23" ca="1">_xlfn.SINGLE(IF(INDIRECT("MAOP!E$"&amp;258+'Statystyki dnia'!$B$3)="w","",IF(INDIRECT("MAOP!E$"&amp;258+'Statystyki dnia'!$B$3),INDIRECT("MAOP!E$"&amp;258+'Statystyki dnia'!$B$3),"")))</f>
        <v>0.66666666666666663</v>
      </c>
      <c r="D23" s="95" t="str">
        <f ca="1">IF(INDIRECT("MAOP!F$"&amp;258+'Statystyki dnia'!$B$3)="w","",IF(INDIRECT("MAOP!F$"&amp;258+'Statystyki dnia'!$B$3)&gt;0,MAOP!D$254,""))</f>
        <v>IVAN KONDRATENKO</v>
      </c>
    </row>
    <row r="24" spans="1:9" ht="15" customHeight="1">
      <c r="A24" s="23" t="str">
        <f ca="1">IF(B24="","","20.")</f>
        <v>20.</v>
      </c>
      <c r="B24" s="97" cm="1">
        <f t="array" aca="1" ref="B24" ca="1">_xlfn.SINGLE(IF(INDIRECT("MAOP!G$"&amp;426+'Statystyki dnia'!$B$3)="w","",IF(INDIRECT("MAOP!G$"&amp;426+'Statystyki dnia'!$B$3),INDIRECT("MAOP!G$"&amp;426+'Statystyki dnia'!$B$3),"")))</f>
        <v>0.33333333333333331</v>
      </c>
      <c r="C24" s="155" cm="1">
        <f t="array" aca="1" ref="C24" ca="1">_xlfn.SINGLE(IF(INDIRECT("MAOP!H$"&amp;426+'Statystyki dnia'!$B$3)="w","",IF(INDIRECT("MAOP!H$"&amp;426+'Statystyki dnia'!$B$3),INDIRECT("MAOP!H$"&amp;426+'Statystyki dnia'!$B$3),"")))</f>
        <v>0.66666666666666663</v>
      </c>
      <c r="D24" s="96" t="str">
        <f ca="1">IF(INDIRECT("MAOP!I$"&amp;426+'Statystyki dnia'!$B$3)="w","",IF(INDIRECT("MAOP!I$"&amp;426+'Statystyki dnia'!$B$3)&gt;0,MAOP!G$422,""))</f>
        <v>KONRAD ŚWIEBOCKI PRAKTYKA</v>
      </c>
    </row>
    <row r="25" spans="1:9" ht="15" customHeight="1">
      <c r="A25" s="23" t="str">
        <f ca="1">IF(B25="","","21.")</f>
        <v>21.</v>
      </c>
      <c r="B25" s="97" cm="1">
        <f t="array" aca="1" ref="B25" ca="1">_xlfn.SINGLE(IF(INDIRECT("MAOP!P$"&amp;426+'Statystyki dnia'!$B$3)="w","",IF(INDIRECT("MAOP!P$"&amp;426+'Statystyki dnia'!$B$3),INDIRECT("MAOP!P$"&amp;426+'Statystyki dnia'!$B$3),"")))</f>
        <v>0.375</v>
      </c>
      <c r="C25" s="48" cm="1">
        <f t="array" aca="1" ref="C25" ca="1">_xlfn.SINGLE(IF(INDIRECT("MAOP!Q$"&amp;426+'Statystyki dnia'!$B$3)="w","",IF(INDIRECT("MAOP!Q$"&amp;426+'Statystyki dnia'!$B$3),INDIRECT("MAOP!Q$"&amp;426+'Statystyki dnia'!$B$3),"")))</f>
        <v>0.66666666666666663</v>
      </c>
      <c r="D25" s="96" t="str">
        <f ca="1">IF(INDIRECT("MAOP!R$"&amp;426+'Statystyki dnia'!$B$3)="w","",IF(INDIRECT("MAOP!R$"&amp;426+'Statystyki dnia'!$B$3)&gt;0,MAOP!P$422,""))</f>
        <v>NATALIA KUŚMIEREK RUDY ZSL</v>
      </c>
    </row>
    <row r="26" spans="1:9" ht="15" customHeight="1">
      <c r="A26" s="23" t="str">
        <f ca="1">IF(B26="","","22.")</f>
        <v>22.</v>
      </c>
      <c r="B26" s="70" cm="1">
        <f t="array" aca="1" ref="B26" ca="1">_xlfn.SINGLE(IF(INDIRECT("MAOP!AK$"&amp;174+'Statystyki dnia'!$B$3)="w","",IF(INDIRECT("MAOP!AK$"&amp;174+'Statystyki dnia'!$B$3),INDIRECT("MAOP!AK$"&amp;174+'Statystyki dnia'!$B$3),"")))</f>
        <v>0.4375</v>
      </c>
      <c r="C26" s="48" cm="1">
        <f t="array" aca="1" ref="C26" ca="1">_xlfn.SINGLE(IF(INDIRECT("MAOP!AL$"&amp;174+'Statystyki dnia'!$B$3)="w","",IF(INDIRECT("MAOP!AL$"&amp;174+'Statystyki dnia'!$B$3),INDIRECT("MAOP!AL$"&amp;174+'Statystyki dnia'!$B$3),"")))</f>
        <v>0.9375</v>
      </c>
      <c r="D26" s="94" t="str">
        <f ca="1">IF(INDIRECT("MAOP!AM$"&amp;174+'Statystyki dnia'!$B$3)="w","",IF(INDIRECT("MAOP!AM$"&amp;174+'Statystyki dnia'!$B$3)&gt;0,MAOP!AK$170,""))</f>
        <v>ANHELINA SOMCHENKO</v>
      </c>
    </row>
    <row r="27" spans="1:9" ht="15" customHeight="1">
      <c r="A27" s="23" t="str">
        <f ca="1">IF(B27="","","23.")</f>
        <v>23.</v>
      </c>
      <c r="B27" s="70" cm="1">
        <f t="array" aca="1" ref="B27" ca="1">_xlfn.SINGLE(IF(INDIRECT("MAOP!J$"&amp;48+'Statystyki dnia'!$B$3)="w","",IF(INDIRECT("MAOP!J$"&amp;48+'Statystyki dnia'!$B$3),INDIRECT("MAOP!J$"&amp;48+'Statystyki dnia'!$B$3),"")))</f>
        <v>0.4375</v>
      </c>
      <c r="C27" s="48" cm="1">
        <f t="array" aca="1" ref="C27" ca="1">_xlfn.SINGLE(IF(INDIRECT("MAOP!K$"&amp;48+'Statystyki dnia'!$B$3)="w","",IF(INDIRECT("MAOP!K$"&amp;48+'Statystyki dnia'!$B$3),INDIRECT("MAOP!K$"&amp;48+'Statystyki dnia'!$B$3),"")))</f>
        <v>0.9375</v>
      </c>
      <c r="D27" s="95" t="str">
        <f ca="1">IF(INDIRECT("MAOP!L$"&amp;48+'Statystyki dnia'!$B$3)="w","",IF(INDIRECT("MAOP!L$"&amp;48+'Statystyki dnia'!$B$3)&gt;0,MAOP!J$44,""))</f>
        <v>JOANNA ZDEB</v>
      </c>
    </row>
    <row r="28" spans="1:9" ht="15" customHeight="1">
      <c r="A28" s="23" t="str">
        <f ca="1">IF(B28="","","24.")</f>
        <v>24.</v>
      </c>
      <c r="B28" s="70" cm="1">
        <f t="array" aca="1" ref="B28" ca="1">_xlfn.SINGLE(IF(INDIRECT("MAOP!D$"&amp;6+'Statystyki dnia'!$B$3)="w","",IF(INDIRECT("MAOP!D$"&amp;6+'Statystyki dnia'!$B$3),INDIRECT("MAOP!D$"&amp;6+'Statystyki dnia'!$B$3),"")))</f>
        <v>0.4375</v>
      </c>
      <c r="C28" s="48" cm="1">
        <f t="array" aca="1" ref="C28" ca="1">_xlfn.SINGLE(IF(INDIRECT("MAOP!E$"&amp;6+'Statystyki dnia'!$B$3)="w","",IF(INDIRECT("MAOP!E$"&amp;6+'Statystyki dnia'!$B$3),INDIRECT("MAOP!E$"&amp;6+'Statystyki dnia'!$B$3),"")))</f>
        <v>0.9375</v>
      </c>
      <c r="D28" s="71" t="str">
        <f ca="1">IF(INDIRECT("MAOP!F$"&amp;6+'Statystyki dnia'!$B$3)="w","",IF(INDIRECT("MAOP!F$"&amp;6+'Statystyki dnia'!$B$3)&gt;0,MAOP!D$2,""))</f>
        <v>KAROLINA KAMIŃSKA</v>
      </c>
      <c r="F28" s="349" t="s">
        <v>10</v>
      </c>
      <c r="G28" s="349"/>
      <c r="H28" s="349"/>
      <c r="I28" s="349"/>
    </row>
    <row r="29" spans="1:9" ht="15" customHeight="1">
      <c r="A29" s="23" t="str">
        <f ca="1">IF(B29="","","25.")</f>
        <v>25.</v>
      </c>
      <c r="B29" s="69" cm="1">
        <f t="array" aca="1" ref="B29" ca="1">_xlfn.SINGLE(IF(INDIRECT("MAOP!P$"&amp;6+'Statystyki dnia'!$B$3)="w","",IF(INDIRECT("MAOP!P$"&amp;6+'Statystyki dnia'!$B$3),INDIRECT("MAOP!P$"&amp;6+'Statystyki dnia'!$B$3),"")))</f>
        <v>0.4375</v>
      </c>
      <c r="C29" s="49" cm="1">
        <f t="array" aca="1" ref="C29" ca="1">_xlfn.SINGLE(IF(INDIRECT("MAOP!Q$"&amp;6+'Statystyki dnia'!$B$3)="w","",IF(INDIRECT("MAOP!Q$"&amp;6+'Statystyki dnia'!$B$3),INDIRECT("MAOP!Q$"&amp;6+'Statystyki dnia'!$B$3),"")))</f>
        <v>0.9375</v>
      </c>
      <c r="D29" s="95" t="str">
        <f ca="1">IF(INDIRECT("MAOP!R$"&amp;6+'Statystyki dnia'!$B$3)="w","",IF(INDIRECT("MAOP!R$"&amp;6+'Statystyki dnia'!$B$3)&gt;0,MAOP!P$2,""))</f>
        <v>MATEUSZ MOLIŃSKI</v>
      </c>
      <c r="F29" s="349"/>
      <c r="G29" s="349"/>
      <c r="H29" s="349"/>
      <c r="I29" s="349"/>
    </row>
    <row r="30" spans="1:9" ht="15" customHeight="1">
      <c r="A30" s="23" t="str">
        <f ca="1">IF(B30="","","26.")</f>
        <v>26.</v>
      </c>
      <c r="B30" s="70" cm="1">
        <f t="array" aca="1" ref="B30" ca="1">_xlfn.SINGLE(IF(INDIRECT("MAOP!Y$"&amp;48+'Statystyki dnia'!$B$3)="w","",IF(INDIRECT("MAOP!Y$"&amp;48+'Statystyki dnia'!$B$3),INDIRECT("MAOP!Y$"&amp;48+'Statystyki dnia'!$B$3),"")))</f>
        <v>0.4375</v>
      </c>
      <c r="C30" s="48" cm="1">
        <f t="array" aca="1" ref="C30" ca="1">_xlfn.SINGLE(IF(INDIRECT("MAOP!Z$"&amp;48+'Statystyki dnia'!$B$3)="w","",IF(INDIRECT("MAOP!Z$"&amp;48+'Statystyki dnia'!$B$3),INDIRECT("MAOP!Z$"&amp;48+'Statystyki dnia'!$B$3),"")))</f>
        <v>0.9375</v>
      </c>
      <c r="D30" s="71" t="str">
        <f ca="1">IF(INDIRECT("MAOP!AA$"&amp;48+'Statystyki dnia'!$B$3)="w","",IF(INDIRECT("MAOP!AA$"&amp;48+'Statystyki dnia'!$B$3)&gt;0,MAOP!Y$44,""))</f>
        <v>MAKSYMILIAN SZYPA</v>
      </c>
      <c r="F30" s="349"/>
      <c r="G30" s="349"/>
      <c r="H30" s="349"/>
      <c r="I30" s="349"/>
    </row>
    <row r="31" spans="1:9" ht="15" customHeight="1">
      <c r="A31" s="23" t="str">
        <f ca="1">IF(B31="","","27.")</f>
        <v/>
      </c>
      <c r="B31" s="69" t="str" cm="1">
        <f t="array" aca="1" ref="B31" ca="1">_xlfn.SINGLE(IF(INDIRECT("MAOP!G$"&amp;90+'Statystyki dnia'!$B$3)="w","",IF(INDIRECT("MAOP!G$"&amp;90+'Statystyki dnia'!$B$3),INDIRECT("MAOP!G$"&amp;90+'Statystyki dnia'!$B$3),"")))</f>
        <v/>
      </c>
      <c r="C31" s="49" t="str" cm="1">
        <f t="array" aca="1" ref="C31" ca="1">_xlfn.SINGLE(IF(INDIRECT("MAOP!H$"&amp;90+'Statystyki dnia'!$B$3)="w","",IF(INDIRECT("MAOP!H$"&amp;90+'Statystyki dnia'!$B$3),INDIRECT("MAOP!H$"&amp;90+'Statystyki dnia'!$B$3),"")))</f>
        <v/>
      </c>
      <c r="D31" s="95" t="str">
        <f ca="1">IF(INDIRECT("MAOP!I$"&amp;90+'Statystyki dnia'!$B$3)="w","",IF(INDIRECT("MAOP!I$"&amp;90+'Statystyki dnia'!$B$3)&gt;0,MAOP!G$86,""))</f>
        <v/>
      </c>
      <c r="F31" s="349"/>
      <c r="G31" s="349"/>
      <c r="H31" s="349"/>
      <c r="I31" s="349"/>
    </row>
    <row r="32" spans="1:9" ht="15" customHeight="1">
      <c r="A32" s="23" t="str">
        <f ca="1">IF(B32="","","28.")</f>
        <v>28.</v>
      </c>
      <c r="B32" s="97" cm="1">
        <f t="array" aca="1" ref="B32" ca="1">_xlfn.SINGLE(IF(INDIRECT("MAOP!V$"&amp;384+'Statystyki dnia'!$B$3)="w","",IF(INDIRECT("MAOP!V$"&amp;384+'Statystyki dnia'!$B$3),INDIRECT("MAOP!V$"&amp;384+'Statystyki dnia'!$B$3),"")))</f>
        <v>0.4375</v>
      </c>
      <c r="C32" s="48" cm="1">
        <f t="array" aca="1" ref="C32" ca="1">_xlfn.SINGLE(IF(INDIRECT("MAOP!W$"&amp;384+'Statystyki dnia'!$B$3)="w","",IF(INDIRECT("MAOP!W$"&amp;384+'Statystyki dnia'!$B$3),INDIRECT("MAOP!W$"&amp;384+'Statystyki dnia'!$B$3),"")))</f>
        <v>0.9375</v>
      </c>
      <c r="D32" s="96" t="str">
        <f ca="1">IF(INDIRECT("MAOP!X$"&amp;384+'Statystyki dnia'!$B$3)="w","",IF(INDIRECT("MAOP!X$"&amp;384+'Statystyki dnia'!$B$3)&gt;0,MAOP!V$380,""))</f>
        <v>MARTYNA BAGIŃSKA</v>
      </c>
      <c r="F32" s="349"/>
      <c r="G32" s="349"/>
      <c r="H32" s="349"/>
      <c r="I32" s="349"/>
    </row>
    <row r="33" spans="1:10" ht="15" customHeight="1">
      <c r="A33" s="23" t="str">
        <f ca="1">IF(B33="","","29.")</f>
        <v>29.</v>
      </c>
      <c r="B33" s="70" cm="1">
        <f t="array" aca="1" ref="B33" ca="1">_xlfn.SINGLE(IF(INDIRECT("MAOP!S$"&amp;258+'Statystyki dnia'!$B$3)="w","",IF(INDIRECT("MAOP!S$"&amp;258+'Statystyki dnia'!$B$3),INDIRECT("MAOP!S$"&amp;258+'Statystyki dnia'!$B$3),"")))</f>
        <v>0.4375</v>
      </c>
      <c r="C33" s="48" cm="1">
        <f t="array" aca="1" ref="C33" ca="1">_xlfn.SINGLE(IF(INDIRECT("MAOP!T$"&amp;258+'Statystyki dnia'!$B$3)="w","",IF(INDIRECT("MAOP!T$"&amp;258+'Statystyki dnia'!$B$3),INDIRECT("MAOP!T$"&amp;258+'Statystyki dnia'!$B$3),"")))</f>
        <v>0.9375</v>
      </c>
      <c r="D33" s="96" t="str">
        <f ca="1">IF(INDIRECT("MAOP!U$"&amp;258+'Statystyki dnia'!$B$3)="w","",IF(INDIRECT("MAOP!U$"&amp;258+'Statystyki dnia'!$B$3)&gt;0,MAOP!S$254,""))</f>
        <v>ZUZANNA KOWALSKA</v>
      </c>
      <c r="F33" s="349"/>
      <c r="G33" s="349"/>
      <c r="H33" s="349"/>
      <c r="I33" s="349"/>
    </row>
    <row r="34" spans="1:10" ht="15" customHeight="1">
      <c r="A34" s="23" t="str">
        <f ca="1">IF(B34="","","30.")</f>
        <v>30.</v>
      </c>
      <c r="B34" s="69" cm="1">
        <f t="array" aca="1" ref="B34" ca="1">_xlfn.SINGLE(IF(INDIRECT("MAOP!AH$"&amp;48+'Statystyki dnia'!$B$3)="w","",IF(INDIRECT("MAOP!AH$"&amp;48+'Statystyki dnia'!$B$3),INDIRECT("MAOP!AH$"&amp;48+'Statystyki dnia'!$B$3),"")))</f>
        <v>0.4375</v>
      </c>
      <c r="C34" s="49" cm="1">
        <f t="array" aca="1" ref="C34" ca="1">_xlfn.SINGLE(IF(INDIRECT("MAOP!AI$"&amp;48+'Statystyki dnia'!$B$3)="w","",IF(INDIRECT("MAOP!AI$"&amp;48+'Statystyki dnia'!$B$3),INDIRECT("MAOP!AI$"&amp;48+'Statystyki dnia'!$B$3),"")))</f>
        <v>0.9375</v>
      </c>
      <c r="D34" s="95" t="str">
        <f ca="1">IF(INDIRECT("MAOP!AJ$"&amp;48+'Statystyki dnia'!$B$3)="w","",IF(INDIRECT("MAOP!AJ$"&amp;48+'Statystyki dnia'!$B$3)&gt;0,MAOP!AH$44,""))</f>
        <v>ZUZANNA OBŁĄK</v>
      </c>
      <c r="F34" s="349"/>
      <c r="G34" s="349"/>
      <c r="H34" s="349"/>
      <c r="I34" s="349"/>
    </row>
    <row r="35" spans="1:10" ht="15" customHeight="1">
      <c r="A35" s="23" t="str">
        <f ca="1">IF(B35="","","31.")</f>
        <v>31.</v>
      </c>
      <c r="B35" s="70" cm="1">
        <f t="array" aca="1" ref="B35" ca="1">_xlfn.SINGLE(IF(INDIRECT("MAOP!V$"&amp;6+'Statystyki dnia'!$B$3)="w","",IF(INDIRECT("MAOP!V$"&amp;6+'Statystyki dnia'!$B$3),INDIRECT("MAOP!V$"&amp;6+'Statystyki dnia'!$B$3),"")))</f>
        <v>0.52083333333333337</v>
      </c>
      <c r="C35" s="48" cm="1">
        <f t="array" aca="1" ref="C35" ca="1">_xlfn.SINGLE(IF(INDIRECT("MAOP!W$"&amp;6+'Statystyki dnia'!$B$3)="w","",IF(INDIRECT("MAOP!W$"&amp;6+'Statystyki dnia'!$B$3),INDIRECT("MAOP!W$"&amp;6+'Statystyki dnia'!$B$3),"")))</f>
        <v>1.0208333333333333</v>
      </c>
      <c r="D35" s="71" t="str">
        <f ca="1">IF(INDIRECT("MAOP!X$"&amp;6+'Statystyki dnia'!$B$3)="w","",IF(INDIRECT("MAOP!X$"&amp;6+'Statystyki dnia'!$B$3)&gt;0,MAOP!V$2,""))</f>
        <v>AMELIA SOLIŃSKA</v>
      </c>
    </row>
    <row r="36" spans="1:10" ht="18" customHeight="1">
      <c r="A36" s="23" t="str">
        <f ca="1">IF(B36="","","32.")</f>
        <v>32.</v>
      </c>
      <c r="B36" s="70" cm="1">
        <f t="array" aca="1" ref="B36" ca="1">_xlfn.SINGLE(IF(INDIRECT("MAOP!S$"&amp;6+'Statystyki dnia'!$B$3)="w","",IF(INDIRECT("MAOP!S$"&amp;6+'Statystyki dnia'!$B$3),INDIRECT("MAOP!S$"&amp;6+'Statystyki dnia'!$B$3),"")))</f>
        <v>0.58333333333333337</v>
      </c>
      <c r="C36" s="109" cm="1">
        <f t="array" aca="1" ref="C36" ca="1">_xlfn.SINGLE(IF(INDIRECT("MAOP!T$"&amp;6+'Statystyki dnia'!$B$3)="w","",IF(INDIRECT("MAOP!T$"&amp;6+'Statystyki dnia'!$B$3),INDIRECT("MAOP!T$"&amp;6+'Statystyki dnia'!$B$3),"")))</f>
        <v>1.0833333333333333</v>
      </c>
      <c r="D36" s="71" t="str">
        <f ca="1">IF(INDIRECT("MAOP!U$"&amp;6+'Statystyki dnia'!$B$3)="w","",IF(INDIRECT("MAOP!U$"&amp;6+'Statystyki dnia'!$B$3)&gt;0,MAOP!S$2,""))</f>
        <v>WIKTORIA DWORAKOWSKA</v>
      </c>
    </row>
    <row r="37" spans="1:10">
      <c r="A37" s="23" t="str">
        <f ca="1">IF(B37="","","33.")</f>
        <v>33.</v>
      </c>
      <c r="B37" s="70" cm="1">
        <f t="array" aca="1" ref="B37" ca="1">_xlfn.SINGLE(IF(INDIRECT("MAOP!J$"&amp;6+'Statystyki dnia'!$B$3)="w","",IF(INDIRECT("MAOP!J$"&amp;6+'Statystyki dnia'!$B$3),INDIRECT("MAOP!J$"&amp;6+'Statystyki dnia'!$B$3),"")))</f>
        <v>0.58333333333333337</v>
      </c>
      <c r="C37" s="48" cm="1">
        <f t="array" aca="1" ref="C37" ca="1">_xlfn.SINGLE(IF(INDIRECT("MAOP!K$"&amp;6+'Statystyki dnia'!$B$3)="w","",IF(INDIRECT("MAOP!K$"&amp;6+'Statystyki dnia'!$B$3),INDIRECT("MAOP!K$"&amp;6+'Statystyki dnia'!$B$3),"")))</f>
        <v>1.0833333333333333</v>
      </c>
      <c r="D37" s="71" t="str">
        <f ca="1">IF(INDIRECT("MAOP!L$"&amp;6+'Statystyki dnia'!$B$3)="w","",IF(INDIRECT("MAOP!L$"&amp;6+'Statystyki dnia'!$B$3)&gt;0,MAOP!J$2,""))</f>
        <v xml:space="preserve"> JULIA GŁOWACKA</v>
      </c>
    </row>
    <row r="38" spans="1:10">
      <c r="A38" s="23" t="str">
        <f ca="1">IF(B38="","","34.")</f>
        <v>34.</v>
      </c>
      <c r="B38" s="70" cm="1">
        <f t="array" aca="1" ref="B38" ca="1">_xlfn.SINGLE(IF(INDIRECT("MAOP!M$"&amp;6+'Statystyki dnia'!$B$3)="w","",IF(INDIRECT("MAOP!M$"&amp;6+'Statystyki dnia'!$B$3),INDIRECT("MAOP!M$"&amp;6+'Statystyki dnia'!$B$3),"")))</f>
        <v>0.58333333333333337</v>
      </c>
      <c r="C38" s="48" cm="1">
        <f t="array" aca="1" ref="C38" ca="1">_xlfn.SINGLE(IF(INDIRECT("MAOP!N$"&amp;6+'Statystyki dnia'!$B$3)="w","",IF(INDIRECT("MAOP!N$"&amp;6+'Statystyki dnia'!$B$3),INDIRECT("MAOP!N$"&amp;6+'Statystyki dnia'!$B$3),"")))</f>
        <v>1.0833333333333333</v>
      </c>
      <c r="D38" s="71" t="str">
        <f ca="1">IF(INDIRECT("MAOP!O$"&amp;6+'Statystyki dnia'!$B$3)="w","",IF(INDIRECT("MAOP!O$"&amp;6+'Statystyki dnia'!$B$3)&gt;0,MAOP!M$2,""))</f>
        <v>MATEUSZ JAKUBIEL</v>
      </c>
    </row>
    <row r="39" spans="1:10">
      <c r="A39" s="23" t="str">
        <f ca="1">IF(B39="","","35.")</f>
        <v>35.</v>
      </c>
      <c r="B39" s="70" cm="1">
        <f t="array" aca="1" ref="B39" ca="1">_xlfn.SINGLE(IF(INDIRECT("MAOP!D$"&amp;48+'Statystyki dnia'!$B$3)="w","",IF(INDIRECT("MAOP!D$"&amp;48+'Statystyki dnia'!$B$3),INDIRECT("MAOP!D$"&amp;48+'Statystyki dnia'!$B$3),"")))</f>
        <v>0.58333333333333337</v>
      </c>
      <c r="C39" s="48" cm="1">
        <f t="array" aca="1" ref="C39" ca="1">_xlfn.SINGLE(IF(INDIRECT("MAOP!E$"&amp;48+'Statystyki dnia'!$B$3)="w","",IF(INDIRECT("MAOP!E$"&amp;48+'Statystyki dnia'!$B$3),INDIRECT("MAOP!E$"&amp;48+'Statystyki dnia'!$B$3),"")))</f>
        <v>1.0833333333333333</v>
      </c>
      <c r="D39" s="95" t="str">
        <f ca="1">IF(INDIRECT("MAOP!F$"&amp;48+'Statystyki dnia'!$B$3)="w","",IF(INDIRECT("MAOP!F$"&amp;48+'Statystyki dnia'!$B$3)&gt;0,MAOP!D$44,""))</f>
        <v>RAFAŁ CIACH</v>
      </c>
    </row>
    <row r="40" spans="1:10">
      <c r="A40" s="23" t="str">
        <f ca="1">IF(B40="","","36.")</f>
        <v>36.</v>
      </c>
      <c r="B40" s="70" cm="1">
        <f t="array" aca="1" ref="B40" ca="1">_xlfn.SINGLE(IF(INDIRECT("MAOP!AB$"&amp;132+'Statystyki dnia'!$B$3)="w","",IF(INDIRECT("MAOP!AB$"&amp;132+'Statystyki dnia'!$B$3),INDIRECT("MAOP!AB$"&amp;132+'Statystyki dnia'!$B$3),"")))</f>
        <v>0.4375</v>
      </c>
      <c r="C40" s="48" cm="1">
        <f t="array" aca="1" ref="C40" ca="1">_xlfn.SINGLE(IF(INDIRECT("MAOP!AC$"&amp;132+'Statystyki dnia'!$B$3)="w","",IF(INDIRECT("MAOP!AC$"&amp;132+'Statystyki dnia'!$B$3),INDIRECT("MAOP!AC$"&amp;132+'Statystyki dnia'!$B$3),"")))</f>
        <v>0.9375</v>
      </c>
      <c r="D40" s="71" t="str">
        <f ca="1">IF(INDIRECT("MAOP!AD$"&amp;132+'Statystyki dnia'!$B$3)="w","",IF(INDIRECT("MAOP!AD$"&amp;132+'Statystyki dnia'!$B$3)&gt;0,MAOP!AB$128,""))</f>
        <v>DIANA KLUBKO</v>
      </c>
    </row>
    <row r="41" spans="1:10">
      <c r="A41" s="23" t="str">
        <f ca="1">IF(B41="","","37.")</f>
        <v>37.</v>
      </c>
      <c r="B41" s="69" cm="1">
        <f t="array" aca="1" ref="B41" ca="1">_xlfn.SINGLE(IF(INDIRECT("MAOP!AB$"&amp;90+'Statystyki dnia'!$B$3)="w","",IF(INDIRECT("MAOP!AB$"&amp;90+'Statystyki dnia'!$B$3),INDIRECT("MAOP!AB$"&amp;90+'Statystyki dnia'!$B$3),"")))</f>
        <v>0.75</v>
      </c>
      <c r="C41" s="49" cm="1">
        <f t="array" aca="1" ref="C41" ca="1">_xlfn.SINGLE(IF(INDIRECT("MAOP!AC$"&amp;90+'Statystyki dnia'!$B$3)="w","",IF(INDIRECT("MAOP!AC$"&amp;90+'Statystyki dnia'!$B$3),INDIRECT("MAOP!AC$"&amp;90+'Statystyki dnia'!$B$3),"")))</f>
        <v>1.25</v>
      </c>
      <c r="D41" s="95" t="str">
        <f ca="1">IF(INDIRECT("MAOP!AD$"&amp;90+'Statystyki dnia'!$B$3)="w","",IF(INDIRECT("MAOP!AD$"&amp;90+'Statystyki dnia'!$B$3)&gt;0,MAOP!AB$86,""))</f>
        <v>KATARZYNA ZBINKOWSKA</v>
      </c>
      <c r="J41">
        <v>34</v>
      </c>
    </row>
    <row r="42" spans="1:10">
      <c r="A42" s="23" t="str">
        <f ca="1">IF(B42="","","38.")</f>
        <v/>
      </c>
      <c r="B42" s="70" t="str" cm="1">
        <f t="array" aca="1" ref="B42" ca="1">_xlfn.SINGLE(IF(INDIRECT("MAOP!G$"&amp;258+'Statystyki dnia'!$B$3)="w","",IF(INDIRECT("MAOP!G$"&amp;258+'Statystyki dnia'!$B$3),INDIRECT("MAOP!G$"&amp;258+'Statystyki dnia'!$B$3),"")))</f>
        <v/>
      </c>
      <c r="C42" s="48" t="str" cm="1">
        <f t="array" aca="1" ref="C42" ca="1">_xlfn.SINGLE(IF(INDIRECT("MAOP!H$"&amp;258+'Statystyki dnia'!$B$3)="w","",IF(INDIRECT("MAOP!H$"&amp;258+'Statystyki dnia'!$B$3),INDIRECT("MAOP!H$"&amp;258+'Statystyki dnia'!$B$3),"")))</f>
        <v/>
      </c>
      <c r="D42" s="96" t="str">
        <f ca="1">IF(INDIRECT("MAOP!I$"&amp;258+'Statystyki dnia'!$B$3)="w","",IF(INDIRECT("MAOP!I$"&amp;258+'Statystyki dnia'!$B$3)&gt;0,MAOP!G$254,""))</f>
        <v/>
      </c>
      <c r="J42" t="s">
        <v>107</v>
      </c>
    </row>
    <row r="43" spans="1:10">
      <c r="A43" s="23" t="str">
        <f ca="1">IF(B43="","","39.")</f>
        <v/>
      </c>
      <c r="B43" s="70" t="str" cm="1">
        <f t="array" aca="1" ref="B43" ca="1">_xlfn.SINGLE(IF(INDIRECT("MAOP!V$"&amp;258+'Statystyki dnia'!$B$3)="w","",IF(INDIRECT("MAOP!V$"&amp;258+'Statystyki dnia'!$B$3),INDIRECT("MAOP!V$"&amp;258+'Statystyki dnia'!$B$3),"")))</f>
        <v/>
      </c>
      <c r="C43" s="48" t="str" cm="1">
        <f t="array" aca="1" ref="C43" ca="1">_xlfn.SINGLE(IF(INDIRECT("MAOP!W$"&amp;258+'Statystyki dnia'!$B$3)="w","",IF(INDIRECT("MAOP!W$"&amp;258+'Statystyki dnia'!$B$3),INDIRECT("MAOP!W$"&amp;258+'Statystyki dnia'!$B$3),"")))</f>
        <v/>
      </c>
      <c r="D43" s="95" t="str">
        <f ca="1">IF(INDIRECT("MAOP!X$"&amp;258+'Statystyki dnia'!$B$3)="w","",IF(INDIRECT("MAOP!X$"&amp;258+'Statystyki dnia'!$B$3)&gt;0,MAOP!V$254,""))</f>
        <v/>
      </c>
    </row>
    <row r="44" spans="1:10">
      <c r="A44" s="23" t="str">
        <f ca="1">IF(B44="","","40.")</f>
        <v/>
      </c>
      <c r="B44" s="97" t="str" cm="1">
        <f t="array" aca="1" ref="B44" ca="1">_xlfn.SINGLE(IF(INDIRECT("MAOP!D$"&amp;174+'Statystyki dnia'!$B$3)="w","",IF(INDIRECT("MAOP!D$"&amp;174+'Statystyki dnia'!$B$3),INDIRECT("MAOP!D$"&amp;174+'Statystyki dnia'!$B$3),"")))</f>
        <v/>
      </c>
      <c r="C44" s="48" t="str" cm="1">
        <f t="array" aca="1" ref="C44" ca="1">_xlfn.SINGLE(IF(INDIRECT("MAOP!E$"&amp;174+'Statystyki dnia'!$B$3)="w","",IF(INDIRECT("MAOP!E$"&amp;174+'Statystyki dnia'!$B$3),INDIRECT("MAOP!E$"&amp;174+'Statystyki dnia'!$B$3),"")))</f>
        <v/>
      </c>
      <c r="D44" s="94" t="str">
        <f ca="1">IF(INDIRECT("MAOP!F$"&amp;174+'Statystyki dnia'!$B$3)="w","",IF(INDIRECT("MAOP!F$"&amp;174+'Statystyki dnia'!$B$3)&gt;0,MAOP!D$170,""))</f>
        <v/>
      </c>
    </row>
    <row r="45" spans="1:10">
      <c r="A45" s="23" t="str">
        <f ca="1">IF(B45="","","41.")</f>
        <v/>
      </c>
      <c r="B45" s="70" t="str" cm="1">
        <f t="array" aca="1" ref="B45" ca="1">_xlfn.SINGLE(IF(INDIRECT("MAOP!V$"&amp;300+'Statystyki dnia'!$B$3)="w","",IF(INDIRECT("MAOP!V$"&amp;300+'Statystyki dnia'!$B$3),INDIRECT("MAOP!V$"&amp;300+'Statystyki dnia'!$B$3),"")))</f>
        <v/>
      </c>
      <c r="C45" s="48" t="str" cm="1">
        <f t="array" aca="1" ref="C45" ca="1">_xlfn.SINGLE(IF(INDIRECT("MAOP!W$"&amp;300+'Statystyki dnia'!$B$3)="w","",IF(INDIRECT("MAOP!W$"&amp;300+'Statystyki dnia'!$B$3),INDIRECT("MAOP!W$"&amp;300+'Statystyki dnia'!$B$3),"")))</f>
        <v/>
      </c>
      <c r="D45" s="95" t="str">
        <f ca="1">IF(INDIRECT("MAOP!X$"&amp;300+'Statystyki dnia'!$B$3)="w","",IF(INDIRECT("MAOP!X$"&amp;300+'Statystyki dnia'!$B$3)&gt;0,MAOP!V$296,""))</f>
        <v/>
      </c>
    </row>
    <row r="46" spans="1:10">
      <c r="A46" s="23" t="str">
        <f ca="1">IF(B46="","","42.")</f>
        <v/>
      </c>
      <c r="B46" s="70" t="str" cm="1">
        <f t="array" aca="1" ref="B46" ca="1">_xlfn.SINGLE(IF(INDIRECT("MAOP!M$"&amp;132+'Statystyki dnia'!$B$3)="w","",IF(INDIRECT("MAOP!M$"&amp;132+'Statystyki dnia'!$B$3),INDIRECT("MAOP!M$"&amp;132+'Statystyki dnia'!$B$3),"")))</f>
        <v/>
      </c>
      <c r="C46" s="48" t="str" cm="1">
        <f t="array" aca="1" ref="C46" ca="1">_xlfn.SINGLE(IF(INDIRECT("MAOP!N$"&amp;132+'Statystyki dnia'!$B$3)="w","",IF(INDIRECT("MAOP!N$"&amp;132+'Statystyki dnia'!$B$3),INDIRECT("MAOP!N$"&amp;132+'Statystyki dnia'!$B$3),"")))</f>
        <v/>
      </c>
      <c r="D46" s="71" t="str">
        <f ca="1">IF(INDIRECT("MAOP!O$"&amp;132+'Statystyki dnia'!$B$3)="w","",IF(INDIRECT("MAOP!O$"&amp;132+'Statystyki dnia'!$B$3)&gt;0,MAOP!M$128,""))</f>
        <v/>
      </c>
    </row>
    <row r="47" spans="1:10">
      <c r="A47" s="23" t="str">
        <f ca="1">IF(B47="","","43.")</f>
        <v/>
      </c>
      <c r="B47" s="69" t="str" cm="1">
        <f t="array" aca="1" ref="B47" ca="1">_xlfn.SINGLE(IF(INDIRECT("MAOP!AB$"&amp;174+'Statystyki dnia'!$B$3)="w","",IF(INDIRECT("MAOP!AB$"&amp;174+'Statystyki dnia'!$B$3),INDIRECT("MAOP!AB$"&amp;174+'Statystyki dnia'!$B$3),"")))</f>
        <v/>
      </c>
      <c r="C47" s="49" t="str" cm="1">
        <f t="array" aca="1" ref="C47" ca="1">_xlfn.SINGLE(IF(INDIRECT("MAOP!AC$"&amp;174+'Statystyki dnia'!$B$3)="w","",IF(INDIRECT("MAOP!AC$"&amp;174+'Statystyki dnia'!$B$3),INDIRECT("MAOP!AC$"&amp;174+'Statystyki dnia'!$B$3),"")))</f>
        <v/>
      </c>
      <c r="D47" s="96" t="str">
        <f ca="1">IF(INDIRECT("MAOP!AD$"&amp;174+'Statystyki dnia'!$B$3)="w","",IF(INDIRECT("MAOP!AD$"&amp;174+'Statystyki dnia'!$B$3)&gt;0,MAOP!AB$170,""))</f>
        <v/>
      </c>
    </row>
    <row r="48" spans="1:10">
      <c r="A48" s="23" t="str">
        <f ca="1">IF(B48="","","44.")</f>
        <v/>
      </c>
      <c r="B48" s="70" t="str" cm="1">
        <f t="array" aca="1" ref="B48" ca="1">_xlfn.SINGLE(IF(INDIRECT("MAOP!G$"&amp;48+'Statystyki dnia'!$B$3)="w","",IF(INDIRECT("MAOP!G$"&amp;48+'Statystyki dnia'!$B$3),INDIRECT("MAOP!G$"&amp;48+'Statystyki dnia'!$B$3),"")))</f>
        <v/>
      </c>
      <c r="C48" s="48" t="str" cm="1">
        <f t="array" aca="1" ref="C48" ca="1">_xlfn.SINGLE(IF(INDIRECT("MAOP!H$"&amp;48+'Statystyki dnia'!$B$3)="w","",IF(INDIRECT("MAOP!H$"&amp;48+'Statystyki dnia'!$B$3),INDIRECT("MAOP!H$"&amp;48+'Statystyki dnia'!$B$3),"")))</f>
        <v/>
      </c>
      <c r="D48" s="71" t="str">
        <f ca="1">IF(INDIRECT("MAOP!I$"&amp;48+'Statystyki dnia'!$B$3)="w","",IF(INDIRECT("MAOP!I$"&amp;48+'Statystyki dnia'!$B$3)&gt;0,MAOP!G$44,""))</f>
        <v/>
      </c>
    </row>
    <row r="49" spans="1:33">
      <c r="A49" s="23" t="str">
        <f ca="1">IF(B49="","","45.")</f>
        <v/>
      </c>
      <c r="B49" s="70" t="str" cm="1">
        <f t="array" aca="1" ref="B49" ca="1">_xlfn.SINGLE(IF(INDIRECT("MAOP!AE$"&amp;174+'Statystyki dnia'!$B$3)="w","",IF(INDIRECT("MAOP!AE$"&amp;174+'Statystyki dnia'!$B$3),INDIRECT("MAOP!AE$"&amp;174+'Statystyki dnia'!$B$3),"")))</f>
        <v/>
      </c>
      <c r="C49" s="48" t="str" cm="1">
        <f t="array" aca="1" ref="C49" ca="1">_xlfn.SINGLE(IF(INDIRECT("MAOP!AF$"&amp;174+'Statystyki dnia'!$B$3)="w","",IF(INDIRECT("MAOP!AF$"&amp;174+'Statystyki dnia'!$B$3),INDIRECT("MAOP!AF$"&amp;174+'Statystyki dnia'!$B$3),"")))</f>
        <v/>
      </c>
      <c r="D49" s="71" t="str">
        <f ca="1">IF(INDIRECT("MAOP!AG$"&amp;174+'Statystyki dnia'!$B$3)="w","",IF(INDIRECT("MAOP!AG$"&amp;174+'Statystyki dnia'!$B$3)&gt;0,MAOP!AE$170,""))</f>
        <v/>
      </c>
    </row>
    <row r="50" spans="1:33">
      <c r="A50" s="23" t="str">
        <f ca="1">IF(B50="","","46.")</f>
        <v/>
      </c>
      <c r="B50" s="70" t="str" cm="1">
        <f t="array" aca="1" ref="B50" ca="1">_xlfn.SINGLE(IF(INDIRECT("MAOP!S$"&amp;90+'Statystyki dnia'!$B$3)="w","",IF(INDIRECT("MAOP!S$"&amp;90+'Statystyki dnia'!$B$3),INDIRECT("MAOP!S$"&amp;90+'Statystyki dnia'!$B$3),"")))</f>
        <v/>
      </c>
      <c r="C50" s="48" t="str" cm="1">
        <f t="array" aca="1" ref="C50" ca="1">_xlfn.SINGLE(IF(INDIRECT("MAOP!T$"&amp;90+'Statystyki dnia'!$B$3)="w","",IF(INDIRECT("MAOP!T$"&amp;90+'Statystyki dnia'!$B$3),INDIRECT("MAOP!T$"&amp;90+'Statystyki dnia'!$B$3),"")))</f>
        <v/>
      </c>
      <c r="D50" s="95" t="str">
        <f ca="1">IF(INDIRECT("MAOP!U$"&amp;90+'Statystyki dnia'!$B$3)="w","",IF(INDIRECT("MAOP!U$"&amp;90+'Statystyki dnia'!$B$3)&gt;0,MAOP!S$86,""))</f>
        <v/>
      </c>
    </row>
    <row r="51" spans="1:33">
      <c r="A51" s="23" t="str">
        <f ca="1">IF(B51="","","47.")</f>
        <v/>
      </c>
      <c r="B51" s="97" t="str" cm="1">
        <f t="array" aca="1" ref="B51" ca="1">_xlfn.SINGLE(IF(INDIRECT("MAOP!D$"&amp;90+'Statystyki dnia'!$B$3)="w","",IF(INDIRECT("MAOP!D$"&amp;90+'Statystyki dnia'!$B$3),INDIRECT("MAOP!D$"&amp;90+'Statystyki dnia'!$B$3),"")))</f>
        <v/>
      </c>
      <c r="C51" s="48" t="str" cm="1">
        <f t="array" aca="1" ref="C51" ca="1">_xlfn.SINGLE(IF(INDIRECT("MAOP!E$"&amp;90+'Statystyki dnia'!$B$3)="w","",IF(INDIRECT("MAOP!E$"&amp;90+'Statystyki dnia'!$B$3),INDIRECT("MAOP!E$"&amp;90+'Statystyki dnia'!$B$3),"")))</f>
        <v/>
      </c>
      <c r="D51" s="71" t="str">
        <f ca="1">IF(INDIRECT("MAOP!F$"&amp;90+'Statystyki dnia'!$B$3)="w","",IF(INDIRECT("MAOP!F$"&amp;90+'Statystyki dnia'!$B$3)&gt;0,MAOP!D$86,""))</f>
        <v/>
      </c>
    </row>
    <row r="52" spans="1:33" ht="15" customHeight="1">
      <c r="A52" s="23" t="str">
        <f ca="1">IF(B52="","","48.")</f>
        <v/>
      </c>
      <c r="B52" s="70" t="str" cm="1">
        <f t="array" aca="1" ref="B52" ca="1">_xlfn.SINGLE(IF(INDIRECT("MAOP!G$"&amp;6+'Statystyki dnia'!$B$3)="w","",IF(INDIRECT("MAOP!G$"&amp;6+'Statystyki dnia'!$B$3),INDIRECT("MAOP!G$"&amp;6+'Statystyki dnia'!$B$3),"")))</f>
        <v/>
      </c>
      <c r="C52" s="48" t="str" cm="1">
        <f t="array" aca="1" ref="C52" ca="1">_xlfn.SINGLE(IF(INDIRECT("MAOP!H$"&amp;6+'Statystyki dnia'!$B$3)="w","",IF(INDIRECT("MAOP!H$"&amp;6+'Statystyki dnia'!$B$3),INDIRECT("MAOP!H$"&amp;6+'Statystyki dnia'!$B$3),"")))</f>
        <v/>
      </c>
      <c r="D52" s="71" t="str">
        <f ca="1">IF(INDIRECT("MAOP!I$"&amp;6+'Statystyki dnia'!$B$3)="w","",IF(INDIRECT("MAOP!I$"&amp;6+'Statystyki dnia'!$B$3)&gt;0,MAOP!G$2,""))</f>
        <v/>
      </c>
    </row>
    <row r="53" spans="1:33">
      <c r="A53" s="23" t="str">
        <f ca="1">IF(B53="","","49.")</f>
        <v/>
      </c>
      <c r="B53" s="149" t="str" cm="1">
        <f t="array" aca="1" ref="B53" ca="1">_xlfn.SINGLE(IF(INDIRECT("MAOP!AH$"&amp;90+'Statystyki dnia'!$B$3)="w","",IF(INDIRECT("MAOP!AH$"&amp;90+'Statystyki dnia'!$B$3),INDIRECT("MAOP!AH$"&amp;90+'Statystyki dnia'!$B$3),"")))</f>
        <v/>
      </c>
      <c r="C53" s="150" t="str" cm="1">
        <f t="array" aca="1" ref="C53" ca="1">_xlfn.SINGLE(IF(INDIRECT("MAOP!AI$"&amp;90+'Statystyki dnia'!$B$3)="w","",IF(INDIRECT("MAOP!AI$"&amp;90+'Statystyki dnia'!$B$3),INDIRECT("MAOP!AI$"&amp;90+'Statystyki dnia'!$B$3),"")))</f>
        <v/>
      </c>
      <c r="D53" s="158" t="str">
        <f ca="1">IF(INDIRECT("MAOP!AJ$"&amp;90+'Statystyki dnia'!$B$3)="w","",IF(INDIRECT("MAOP!AJ$"&amp;90+'Statystyki dnia'!$B$3)&gt;0,MAOP!AH$86,""))</f>
        <v/>
      </c>
    </row>
    <row r="54" spans="1:33">
      <c r="A54" s="23" t="str">
        <f ca="1">IF(B54="","","50.")</f>
        <v/>
      </c>
      <c r="B54" s="70" t="str" cm="1">
        <f t="array" aca="1" ref="B54" ca="1">_xlfn.SINGLE(IF(INDIRECT("MAOP!S$"&amp;48+'Statystyki dnia'!$B$3)="w","",IF(INDIRECT("MAOP!S$"&amp;48+'Statystyki dnia'!$B$3),INDIRECT("MAOP!S$"&amp;48+'Statystyki dnia'!$B$3),"")))</f>
        <v/>
      </c>
      <c r="C54" s="48" t="str" cm="1">
        <f t="array" aca="1" ref="C54" ca="1">_xlfn.SINGLE(IF(INDIRECT("MAOP!T$"&amp;48+'Statystyki dnia'!$B$3)="w","",IF(INDIRECT("MAOP!T$"&amp;48+'Statystyki dnia'!$B$3),INDIRECT("MAOP!T$"&amp;48+'Statystyki dnia'!$B$3),"")))</f>
        <v/>
      </c>
      <c r="D54" s="95" t="str">
        <f ca="1">IF(INDIRECT("MAOP!U$"&amp;48+'Statystyki dnia'!$B$3)="w","",IF(INDIRECT("MAOP!U$"&amp;48+'Statystyki dnia'!$B$3)&gt;0,MAOP!S$44,""))</f>
        <v/>
      </c>
    </row>
    <row r="55" spans="1:33">
      <c r="A55" s="23" t="str">
        <f ca="1">IF(B55="","","51.")</f>
        <v/>
      </c>
      <c r="B55" s="70" t="str" cm="1">
        <f t="array" aca="1" ref="B55" ca="1">_xlfn.SINGLE(IF(INDIRECT("MAOP!J$"&amp;216+'Statystyki dnia'!$B$3)="w","",IF(INDIRECT("MAOP!J$"&amp;216+'Statystyki dnia'!$B$3),INDIRECT("MAOP!J$"&amp;216+'Statystyki dnia'!$B$3),"")))</f>
        <v/>
      </c>
      <c r="C55" s="48" t="str" cm="1">
        <f t="array" aca="1" ref="C55" ca="1">_xlfn.SINGLE(IF(INDIRECT("MAOP!K$"&amp;216+'Statystyki dnia'!$B$3)="w","",IF(INDIRECT("MAOP!K$"&amp;216+'Statystyki dnia'!$B$3),INDIRECT("MAOP!K$"&amp;216+'Statystyki dnia'!$B$3),"")))</f>
        <v/>
      </c>
      <c r="D55" s="71" t="str">
        <f ca="1">IF(INDIRECT("MAOP!L$"&amp;216+'Statystyki dnia'!$B$3)="w","",IF(INDIRECT("MAOP!L$"&amp;216+'Statystyki dnia'!$B$3)&gt;0,MAOP!J$212,""))</f>
        <v/>
      </c>
      <c r="F55" s="15"/>
      <c r="G55" s="15"/>
      <c r="H55" s="15"/>
      <c r="I55" s="15"/>
      <c r="J55" s="15"/>
      <c r="K55" s="15"/>
      <c r="L55" s="15"/>
      <c r="M55" s="15"/>
      <c r="N55" s="15"/>
      <c r="O55" s="15"/>
      <c r="P55" s="15"/>
      <c r="Q55" s="15"/>
      <c r="R55" s="15"/>
      <c r="S55" s="15"/>
      <c r="T55" s="15"/>
      <c r="U55" s="15"/>
      <c r="V55" s="15"/>
      <c r="W55" s="15"/>
      <c r="X55" s="15"/>
      <c r="Y55" s="15"/>
      <c r="Z55" s="15"/>
      <c r="AA55" s="15"/>
      <c r="AB55" s="15"/>
      <c r="AC55" s="15"/>
      <c r="AD55" s="15"/>
      <c r="AE55" s="15"/>
      <c r="AF55" s="15"/>
      <c r="AG55" s="15"/>
    </row>
    <row r="56" spans="1:33">
      <c r="A56" s="23" t="str">
        <f ca="1">IF(B56="","","52.")</f>
        <v/>
      </c>
      <c r="B56" s="97" t="str" cm="1">
        <f t="array" aca="1" ref="B56" ca="1">_xlfn.SINGLE(IF(INDIRECT("MAOP!G$"&amp;384+'Statystyki dnia'!$B$3)="w","",IF(INDIRECT("MAOP!G$"&amp;384+'Statystyki dnia'!$B$3),INDIRECT("MAOP!G$"&amp;384+'Statystyki dnia'!$B$3),"")))</f>
        <v/>
      </c>
      <c r="C56" s="48" t="str" cm="1">
        <f t="array" aca="1" ref="C56" ca="1">_xlfn.SINGLE(IF(INDIRECT("MAOP!H$"&amp;384+'Statystyki dnia'!$B$3)="w","",IF(INDIRECT("MAOP!H$"&amp;384+'Statystyki dnia'!$B$3),INDIRECT("MAOP!H$"&amp;384+'Statystyki dnia'!$B$3),"")))</f>
        <v/>
      </c>
      <c r="D56" s="96" t="str">
        <f ca="1">IF(INDIRECT("MAOP!I$"&amp;384+'Statystyki dnia'!$B$3)="w","",IF(INDIRECT("MAOP!I$"&amp;384+'Statystyki dnia'!$B$3)&gt;0,MAOP!G$380,""))</f>
        <v/>
      </c>
      <c r="F56" s="15"/>
      <c r="G56" s="15"/>
      <c r="H56" s="15"/>
      <c r="I56" s="15"/>
      <c r="J56" s="15"/>
      <c r="K56" s="15"/>
      <c r="L56" s="15"/>
      <c r="M56" s="15"/>
      <c r="N56" s="15"/>
      <c r="O56" s="15"/>
      <c r="P56" s="15"/>
      <c r="Q56" s="15"/>
      <c r="R56" s="15"/>
      <c r="S56" s="15"/>
      <c r="T56" s="15"/>
      <c r="U56" s="15"/>
      <c r="V56" s="15"/>
      <c r="W56" s="15"/>
      <c r="X56" s="15"/>
      <c r="Y56" s="15"/>
      <c r="Z56" s="15"/>
      <c r="AA56" s="15"/>
      <c r="AB56" s="15"/>
      <c r="AC56" s="15"/>
      <c r="AD56" s="15"/>
      <c r="AE56" s="15"/>
      <c r="AF56" s="15"/>
      <c r="AG56" s="15"/>
    </row>
    <row r="57" spans="1:33">
      <c r="A57" s="23" t="str">
        <f ca="1">IF(B57="","","53.")</f>
        <v/>
      </c>
      <c r="B57" s="70" t="str" cm="1">
        <f t="array" aca="1" ref="B57" ca="1">_xlfn.SINGLE(IF(INDIRECT("MAOP!Y$"&amp;132+'Statystyki dnia'!$B$3)="w","",IF(INDIRECT("MAOP!Y$"&amp;132+'Statystyki dnia'!$B$3),INDIRECT("MAOP!Y$"&amp;132+'Statystyki dnia'!$B$3),"")))</f>
        <v/>
      </c>
      <c r="C57" s="48" t="str" cm="1">
        <f t="array" aca="1" ref="C57" ca="1">_xlfn.SINGLE(IF(INDIRECT("MAOP!Z$"&amp;132+'Statystyki dnia'!$B$3)="w","",IF(INDIRECT("MAOP!Z$"&amp;132+'Statystyki dnia'!$B$3),INDIRECT("MAOP!Z$"&amp;132+'Statystyki dnia'!$B$3),"")))</f>
        <v/>
      </c>
      <c r="D57" s="71" t="str">
        <f ca="1">IF(INDIRECT("MAOP!AA$"&amp;132+'Statystyki dnia'!$B$3)="w","",IF(INDIRECT("MAOP!AA$"&amp;132+'Statystyki dnia'!$B$3)&gt;0,MAOP!Y$128,""))</f>
        <v/>
      </c>
      <c r="F57" s="15"/>
      <c r="G57" s="15"/>
      <c r="H57" s="15"/>
      <c r="I57" s="15"/>
      <c r="J57" s="15"/>
      <c r="K57" s="15"/>
      <c r="L57" s="15"/>
      <c r="M57" s="15"/>
      <c r="N57" s="15"/>
      <c r="O57" s="15"/>
      <c r="P57" s="15"/>
      <c r="Q57" s="15"/>
      <c r="R57" s="15"/>
      <c r="S57" s="15"/>
      <c r="T57" s="15"/>
      <c r="U57" s="15"/>
      <c r="V57" s="15"/>
      <c r="W57" s="15"/>
      <c r="X57" s="15"/>
      <c r="Y57" s="15"/>
      <c r="Z57" s="15"/>
      <c r="AA57" s="15"/>
      <c r="AB57" s="15"/>
      <c r="AC57" s="15"/>
      <c r="AD57" s="15"/>
      <c r="AE57" s="15"/>
      <c r="AF57" s="15"/>
      <c r="AG57" s="15"/>
    </row>
    <row r="58" spans="1:33">
      <c r="A58" s="23" t="str">
        <f ca="1">IF(B58="","","54.")</f>
        <v/>
      </c>
      <c r="B58" s="70" t="str" cm="1">
        <f t="array" aca="1" ref="B58" ca="1">_xlfn.SINGLE(IF(INDIRECT("MAOP!AK$"&amp;6+'Statystyki dnia'!$B$3)="w","",IF(INDIRECT("MAOP!AK$"&amp;6+'Statystyki dnia'!$B$3),INDIRECT("MAOP!AK$"&amp;6+'Statystyki dnia'!$B$3),"")))</f>
        <v/>
      </c>
      <c r="C58" s="48" t="str" cm="1">
        <f t="array" aca="1" ref="C58" ca="1">_xlfn.SINGLE(IF(INDIRECT("MAOP!AL$"&amp;6+'Statystyki dnia'!$B$3)="w","",IF(INDIRECT("MAOP!AL$"&amp;6+'Statystyki dnia'!$B$3),INDIRECT("MAOP!AL$"&amp;6+'Statystyki dnia'!$B$3),"")))</f>
        <v/>
      </c>
      <c r="D58" s="71" t="str">
        <f ca="1">IF(INDIRECT("MAOP!AM$"&amp;6+'Statystyki dnia'!$B$3)="w","",IF(INDIRECT("MAOP!AM$"&amp;6+'Statystyki dnia'!$B$3)&gt;0,MAOP!AK$2,""))</f>
        <v/>
      </c>
      <c r="E58" s="15"/>
      <c r="F58" s="15"/>
      <c r="G58" s="15"/>
      <c r="H58" s="15"/>
      <c r="I58" s="15"/>
      <c r="J58" s="15"/>
      <c r="K58" s="15"/>
      <c r="L58" s="15"/>
      <c r="M58" s="15"/>
      <c r="N58" s="15"/>
      <c r="O58" s="15"/>
      <c r="P58" s="15"/>
      <c r="Q58" s="15"/>
      <c r="R58" s="15"/>
      <c r="S58" s="15"/>
      <c r="T58" s="15"/>
      <c r="U58" s="15"/>
      <c r="V58" s="15"/>
      <c r="W58" s="15"/>
      <c r="X58" s="15"/>
      <c r="Y58" s="15"/>
      <c r="Z58" s="15"/>
      <c r="AA58" s="15"/>
      <c r="AB58" s="15"/>
      <c r="AC58" s="15"/>
      <c r="AD58" s="15"/>
      <c r="AE58" s="15"/>
      <c r="AF58" s="15"/>
      <c r="AG58" s="15"/>
    </row>
    <row r="59" spans="1:33">
      <c r="A59" s="23" t="str">
        <f ca="1">IF(B59="","","55.")</f>
        <v/>
      </c>
      <c r="B59" s="69" t="str" cm="1">
        <f t="array" aca="1" ref="B59" ca="1">_xlfn.SINGLE(IF(INDIRECT("MAOP!P$"&amp;132+'Statystyki dnia'!$B$3)="w","",IF(INDIRECT("MAOP!P$"&amp;132+'Statystyki dnia'!$B$3),INDIRECT("MAOP!P$"&amp;132+'Statystyki dnia'!$B$3),"")))</f>
        <v/>
      </c>
      <c r="C59" s="49" t="str" cm="1">
        <f t="array" aca="1" ref="C59" ca="1">_xlfn.SINGLE(IF(INDIRECT("MAOP!Q$"&amp;132+'Statystyki dnia'!$B$3)="w","",IF(INDIRECT("MAOP!Q$"&amp;132+'Statystyki dnia'!$B$3),INDIRECT("MAOP!Q$"&amp;132+'Statystyki dnia'!$B$3),"")))</f>
        <v/>
      </c>
      <c r="D59" s="95" t="str">
        <f ca="1">IF(INDIRECT("MAOP!R$"&amp;132+'Statystyki dnia'!$B$3)="w","",IF(INDIRECT("MAOP!R$"&amp;132+'Statystyki dnia'!$B$3)&gt;0,MAOP!P$128,""))</f>
        <v/>
      </c>
      <c r="E59" s="15"/>
      <c r="F59" s="24"/>
      <c r="G59" s="24"/>
      <c r="H59" s="24"/>
      <c r="I59" s="24"/>
      <c r="J59" s="24"/>
      <c r="K59" s="24"/>
      <c r="L59" s="24"/>
      <c r="M59" s="24"/>
      <c r="N59" s="24"/>
      <c r="O59" s="24"/>
      <c r="P59" s="24"/>
      <c r="Q59" s="24"/>
      <c r="R59" s="24"/>
      <c r="S59" s="24"/>
      <c r="T59" s="24"/>
      <c r="U59" s="24"/>
      <c r="V59" s="24"/>
      <c r="W59" s="24"/>
      <c r="X59" s="24"/>
      <c r="Y59" s="24"/>
      <c r="Z59" s="24"/>
      <c r="AA59" s="24"/>
      <c r="AB59" s="24"/>
      <c r="AC59" s="24"/>
      <c r="AD59" s="24"/>
      <c r="AE59" s="15"/>
      <c r="AF59" s="15"/>
      <c r="AG59" s="15"/>
    </row>
    <row r="60" spans="1:33">
      <c r="A60" s="23" t="str">
        <f ca="1">IF(B60="","","56.")</f>
        <v/>
      </c>
      <c r="B60" s="70" t="str" cm="1">
        <f t="array" aca="1" ref="B60" ca="1">_xlfn.SINGLE(IF(INDIRECT("MAOP!AH$"&amp;342+'Statystyki dnia'!$B$3)="w","",IF(INDIRECT("MAOP!AH$"&amp;342+'Statystyki dnia'!$B$3),INDIRECT("MAOP!AH$"&amp;342+'Statystyki dnia'!$B$3),"")))</f>
        <v/>
      </c>
      <c r="C60" s="48" t="str" cm="1">
        <f t="array" aca="1" ref="C60" ca="1">_xlfn.SINGLE(IF(INDIRECT("MAOP!AI$"&amp;342+'Statystyki dnia'!$B$3)="w","",IF(INDIRECT("MAOP!AI$"&amp;342+'Statystyki dnia'!$B$3),INDIRECT("MAOP!AI$"&amp;342+'Statystyki dnia'!$B$3),"")))</f>
        <v/>
      </c>
      <c r="D60" s="96" t="str">
        <f ca="1">IF(INDIRECT("MAOP!AJ$"&amp;342+'Statystyki dnia'!$B$3)="w","",IF(INDIRECT("MAOP!AJ$"&amp;342+'Statystyki dnia'!$B$3)&gt;0,MAOP!AH$338,""))</f>
        <v/>
      </c>
      <c r="E60" s="15"/>
      <c r="F60" s="24"/>
      <c r="G60" s="24"/>
      <c r="H60" s="24"/>
      <c r="I60" s="24"/>
      <c r="J60" s="24"/>
      <c r="K60" s="24"/>
      <c r="L60" s="24"/>
      <c r="M60" s="24"/>
      <c r="N60" s="24"/>
      <c r="O60" s="24"/>
      <c r="P60" s="24"/>
      <c r="Q60" s="24"/>
      <c r="R60" s="24"/>
      <c r="S60" s="24"/>
      <c r="T60" s="24"/>
      <c r="U60" s="24"/>
      <c r="V60" s="24"/>
      <c r="W60" s="24"/>
      <c r="X60" s="24"/>
      <c r="Y60" s="24"/>
      <c r="Z60" s="24"/>
      <c r="AA60" s="24"/>
      <c r="AB60" s="24"/>
      <c r="AC60" s="24"/>
      <c r="AD60" s="24"/>
      <c r="AE60" s="15"/>
      <c r="AF60" s="15"/>
      <c r="AG60" s="15"/>
    </row>
    <row r="61" spans="1:33">
      <c r="A61" s="23" t="str">
        <f ca="1">IF(B61="","","57.")</f>
        <v/>
      </c>
      <c r="B61" s="70" t="str" cm="1">
        <f t="array" aca="1" ref="B61" ca="1">_xlfn.SINGLE(IF(INDIRECT("MAOP!AB$"&amp;216+'Statystyki dnia'!$B$3)="w","",IF(INDIRECT("MAOP!AB$"&amp;216+'Statystyki dnia'!$B$3),INDIRECT("MAOP!AB$"&amp;216+'Statystyki dnia'!$B$3),"")))</f>
        <v/>
      </c>
      <c r="C61" s="48" t="str" cm="1">
        <f t="array" aca="1" ref="C61" ca="1">_xlfn.SINGLE(IF(INDIRECT("MAOP!AC$"&amp;216+'Statystyki dnia'!$B$3)="w","",IF(INDIRECT("MAOP!AC$"&amp;216+'Statystyki dnia'!$B$3),INDIRECT("MAOP!AC$"&amp;216+'Statystyki dnia'!$B$3),"")))</f>
        <v/>
      </c>
      <c r="D61" s="71" t="str">
        <f ca="1">IF(INDIRECT("MAOP!AD$"&amp;216+'Statystyki dnia'!$B$3)="w","",IF(INDIRECT("MAOP!AD$"&amp;216+'Statystyki dnia'!$B$3)&gt;0,MAOP!AB$212,""))</f>
        <v/>
      </c>
      <c r="E61" s="15"/>
      <c r="AC61" s="24"/>
      <c r="AD61" s="24"/>
      <c r="AE61" s="15"/>
      <c r="AF61" s="15"/>
      <c r="AG61" s="15"/>
    </row>
    <row r="62" spans="1:33">
      <c r="A62" s="23" t="str">
        <f ca="1">IF(B62="","","58.")</f>
        <v/>
      </c>
      <c r="B62" s="70" t="str" cm="1">
        <f t="array" aca="1" ref="B62" ca="1">_xlfn.SINGLE(IF(INDIRECT("MAOP!V$"&amp;216+'Statystyki dnia'!$B$3)="w","",IF(INDIRECT("MAOP!V$"&amp;216+'Statystyki dnia'!$B$3),INDIRECT("MAOP!V$"&amp;216+'Statystyki dnia'!$B$3),"")))</f>
        <v/>
      </c>
      <c r="C62" s="48" t="str" cm="1">
        <f t="array" aca="1" ref="C62" ca="1">_xlfn.SINGLE(IF(INDIRECT("MAOP!W$"&amp;216+'Statystyki dnia'!$B$3)="w","",IF(INDIRECT("MAOP!W$"&amp;216+'Statystyki dnia'!$B$3),INDIRECT("MAOP!W$"&amp;216+'Statystyki dnia'!$B$3),"")))</f>
        <v/>
      </c>
      <c r="D62" s="71" t="str">
        <f ca="1">IF(INDIRECT("MAOP!X$"&amp;216+'Statystyki dnia'!$B$3)="w","",IF(INDIRECT("MAOP!X$"&amp;216+'Statystyki dnia'!$B$3)&gt;0,MAOP!V$212,""))</f>
        <v/>
      </c>
      <c r="E62" s="24"/>
      <c r="AC62" s="24"/>
      <c r="AD62" s="24"/>
      <c r="AE62" s="15"/>
      <c r="AF62" s="15"/>
      <c r="AG62" s="15"/>
    </row>
    <row r="63" spans="1:33">
      <c r="A63" s="23" t="str">
        <f ca="1">IF(B63="","","59.")</f>
        <v/>
      </c>
      <c r="B63" s="70" t="str" cm="1">
        <f t="array" aca="1" ref="B63" ca="1">_xlfn.SINGLE(IF(INDIRECT("MAOP!AE$"&amp;48+'Statystyki dnia'!$B$3)="w","",IF(INDIRECT("MAOP!AE$"&amp;48+'Statystyki dnia'!$B$3),INDIRECT("MAOP!AE$"&amp;48+'Statystyki dnia'!$B$3),"")))</f>
        <v/>
      </c>
      <c r="C63" s="48" t="str" cm="1">
        <f t="array" aca="1" ref="C63" ca="1">_xlfn.SINGLE(IF(INDIRECT("MAOP!AF$"&amp;48+'Statystyki dnia'!$B$3)="w","",IF(INDIRECT("MAOP!AF$"&amp;48+'Statystyki dnia'!$B$3),INDIRECT("MAOP!AF$"&amp;48+'Statystyki dnia'!$B$3),"")))</f>
        <v/>
      </c>
      <c r="D63" s="71" t="str">
        <f ca="1">IF(INDIRECT("MAOP!AG$"&amp;48+'Statystyki dnia'!$B$3)="w","",IF(INDIRECT("MAOP!AG$"&amp;48+'Statystyki dnia'!$B$3)&gt;0,MAOP!AE$44,""))</f>
        <v/>
      </c>
      <c r="E63" s="24"/>
      <c r="AC63" s="24"/>
      <c r="AD63" s="24"/>
      <c r="AE63" s="15"/>
      <c r="AF63" s="15"/>
      <c r="AG63" s="15"/>
    </row>
    <row r="64" spans="1:33">
      <c r="A64" s="23" t="str">
        <f ca="1">IF(B64="","","60.")</f>
        <v/>
      </c>
      <c r="B64" s="97" t="str" cm="1">
        <f t="array" aca="1" ref="B64" ca="1">_xlfn.SINGLE(IF(INDIRECT("MAOP!AK$"&amp;426+'Statystyki dnia'!$B$3)="w","",IF(INDIRECT("MAOP!AK$"&amp;426+'Statystyki dnia'!$B$3),INDIRECT("MAOP!AK$"&amp;426+'Statystyki dnia'!$B$3),"")))</f>
        <v/>
      </c>
      <c r="C64" s="48" t="str" cm="1">
        <f t="array" aca="1" ref="C64" ca="1">_xlfn.SINGLE(IF(INDIRECT("MAOP!AL$"&amp;426+'Statystyki dnia'!$B$3)="w","",IF(INDIRECT("MAOP!AL$"&amp;426+'Statystyki dnia'!$B$3),INDIRECT("MAOP!AL$"&amp;426+'Statystyki dnia'!$B$3),"")))</f>
        <v/>
      </c>
      <c r="D64" s="96" t="str">
        <f ca="1">IF(INDIRECT("MAOP!AM$"&amp;426+'Statystyki dnia'!$B$3)="w","",IF(INDIRECT("MAOP!AM$"&amp;426+'Statystyki dnia'!$B$3)&gt;0,MAOP!AK$422,""))</f>
        <v/>
      </c>
      <c r="AC64" s="24"/>
      <c r="AD64" s="24"/>
      <c r="AE64" s="15"/>
      <c r="AF64" s="15"/>
      <c r="AG64" s="15"/>
    </row>
    <row r="65" spans="1:33">
      <c r="A65" s="23" t="str">
        <f ca="1">IF(B65="","","61.")</f>
        <v/>
      </c>
      <c r="B65" s="70" t="str" cm="1">
        <f t="array" aca="1" ref="B65" ca="1">_xlfn.SINGLE(IF(INDIRECT("MAOP!AE$"&amp;342+'Statystyki dnia'!$B$3)="w","",IF(INDIRECT("MAOP!AE$"&amp;342+'Statystyki dnia'!$B$3),INDIRECT("MAOP!AE$"&amp;342+'Statystyki dnia'!$B$3),"")))</f>
        <v/>
      </c>
      <c r="C65" s="48" t="str" cm="1">
        <f t="array" aca="1" ref="C65" ca="1">_xlfn.SINGLE(IF(INDIRECT("MAOP!AF$"&amp;342+'Statystyki dnia'!$B$3)="w","",IF(INDIRECT("MAOP!AF$"&amp;342+'Statystyki dnia'!$B$3),INDIRECT("MAOP!AF$"&amp;342+'Statystyki dnia'!$B$3),"")))</f>
        <v/>
      </c>
      <c r="D65" s="96" t="str">
        <f ca="1">IF(INDIRECT("MAOP!AG$"&amp;342+'Statystyki dnia'!$B$3)="w","",IF(INDIRECT("MAOP!AG$"&amp;342+'Statystyki dnia'!$B$3)&gt;0,MAOP!AE$338,""))</f>
        <v/>
      </c>
      <c r="AC65" s="24"/>
      <c r="AD65" s="24"/>
      <c r="AE65" s="15"/>
      <c r="AF65" s="15"/>
      <c r="AG65" s="15"/>
    </row>
    <row r="66" spans="1:33">
      <c r="A66" s="23" t="str">
        <f ca="1">IF(B66="","","62.")</f>
        <v/>
      </c>
      <c r="B66" s="97" t="str" cm="1">
        <f t="array" aca="1" ref="B66" ca="1">_xlfn.SINGLE(IF(INDIRECT("MAOP!V$"&amp;426+'Statystyki dnia'!$B$3)="w","",IF(INDIRECT("MAOP!V$"&amp;426+'Statystyki dnia'!$B$3),INDIRECT("MAOP!V$"&amp;426+'Statystyki dnia'!$B$3),"")))</f>
        <v/>
      </c>
      <c r="C66" s="48" t="str" cm="1">
        <f t="array" aca="1" ref="C66" ca="1">_xlfn.SINGLE(IF(INDIRECT("MAOP!W$"&amp;426+'Statystyki dnia'!$B$3)="w","",IF(INDIRECT("MAOP!W$"&amp;426+'Statystyki dnia'!$B$3),INDIRECT("MAOP!W$"&amp;426+'Statystyki dnia'!$B$3),"")))</f>
        <v/>
      </c>
      <c r="D66" s="96" t="str">
        <f ca="1">IF(INDIRECT("MAOP!X$"&amp;426+'Statystyki dnia'!$B$3)="w","",IF(INDIRECT("MAOP!X$"&amp;426+'Statystyki dnia'!$B$3)&gt;0,MAOP!W$422,""))</f>
        <v/>
      </c>
      <c r="AC66" s="24"/>
      <c r="AD66" s="24"/>
      <c r="AE66" s="15"/>
      <c r="AF66" s="15"/>
      <c r="AG66" s="15"/>
    </row>
    <row r="67" spans="1:33">
      <c r="A67" s="23" t="str">
        <f ca="1">IF(B67="","","63.")</f>
        <v/>
      </c>
      <c r="B67" s="97" t="str" cm="1">
        <f t="array" aca="1" ref="B67" ca="1">_xlfn.SINGLE(IF(INDIRECT("MAOP!Y$"&amp;426+'Statystyki dnia'!$B$3)="w","",IF(INDIRECT("MAOP!Y$"&amp;426+'Statystyki dnia'!$B$3),INDIRECT("MAOP!Y$"&amp;426+'Statystyki dnia'!$B$3),"")))</f>
        <v/>
      </c>
      <c r="C67" s="48" t="str" cm="1">
        <f t="array" aca="1" ref="C67" ca="1">_xlfn.SINGLE(IF(INDIRECT("MAOP!Z$"&amp;426+'Statystyki dnia'!$B$3)="w","",IF(INDIRECT("MAOP!Z$"&amp;426+'Statystyki dnia'!$B$3),INDIRECT("MAOP!Z$"&amp;426+'Statystyki dnia'!$B$3),"")))</f>
        <v/>
      </c>
      <c r="D67" s="96" t="str">
        <f ca="1">IF(INDIRECT("MAOP!AA$"&amp;426+'Statystyki dnia'!$B$3)="w","",IF(INDIRECT("MAOP!AA$"&amp;426+'Statystyki dnia'!$B$3)&gt;0,MAOP!Y$422,""))</f>
        <v/>
      </c>
      <c r="AC67" s="24"/>
      <c r="AD67" s="24"/>
      <c r="AE67" s="15"/>
      <c r="AF67" s="15"/>
      <c r="AG67" s="15"/>
    </row>
    <row r="68" spans="1:33">
      <c r="A68" s="23" t="str">
        <f ca="1">IF(B68="","","64.")</f>
        <v/>
      </c>
      <c r="B68" s="97" t="str" cm="1">
        <f t="array" aca="1" ref="B68" ca="1">_xlfn.SINGLE(IF(INDIRECT("MAOP!AB$"&amp;426+'Statystyki dnia'!$B$3)="w","",IF(INDIRECT("MAOP!AB$"&amp;426+'Statystyki dnia'!$B$3),INDIRECT("MAOP!AB$"&amp;426+'Statystyki dnia'!$B$3),"")))</f>
        <v/>
      </c>
      <c r="C68" s="48" t="str" cm="1">
        <f t="array" aca="1" ref="C68" ca="1">_xlfn.SINGLE(IF(INDIRECT("MAOP!AC$"&amp;426+'Statystyki dnia'!$B$3)="w","",IF(INDIRECT("MAOP!AC$"&amp;426+'Statystyki dnia'!$B$3),INDIRECT("MAOP!AC$"&amp;426+'Statystyki dnia'!$B$3),"")))</f>
        <v/>
      </c>
      <c r="D68" s="96" t="str">
        <f ca="1">IF(INDIRECT("MAOP!AD$"&amp;426+'Statystyki dnia'!$B$3)="w","",IF(INDIRECT("MAOP!AD$"&amp;426+'Statystyki dnia'!$B$3)&gt;0,MAOP!AB$422,""))</f>
        <v/>
      </c>
      <c r="AC68" s="24"/>
      <c r="AD68" s="24"/>
      <c r="AE68" s="15"/>
      <c r="AF68" s="15"/>
      <c r="AG68" s="15"/>
    </row>
    <row r="69" spans="1:33">
      <c r="A69" s="23" t="str">
        <f ca="1">IF(B69="","","65.")</f>
        <v/>
      </c>
      <c r="B69" s="97" t="str" cm="1">
        <f t="array" aca="1" ref="B69" ca="1">_xlfn.SINGLE(IF(INDIRECT("MAOP!D$"&amp;426+'Statystyki dnia'!$B$3)="w","",IF(INDIRECT("MAOP!D$"&amp;426+'Statystyki dnia'!$B$3),INDIRECT("MAOP!D$"&amp;426+'Statystyki dnia'!$B$3),"")))</f>
        <v/>
      </c>
      <c r="C69" s="48" t="str" cm="1">
        <f t="array" aca="1" ref="C69" ca="1">_xlfn.SINGLE(IF(INDIRECT("MAOP!E$"&amp;426+'Statystyki dnia'!$B$3)="w","",IF(INDIRECT("MAOP!E$"&amp;426+'Statystyki dnia'!$B$3),INDIRECT("MAOP!E$"&amp;426+'Statystyki dnia'!$B$3),"")))</f>
        <v/>
      </c>
      <c r="D69" s="96" t="str">
        <f ca="1">IF(INDIRECT("MAOP!F$"&amp;426+'Statystyki dnia'!$B$3)="w","",IF(INDIRECT("MAOP!F$"&amp;426+'Statystyki dnia'!$B$3)&gt;0,MAOP!D$422,""))</f>
        <v/>
      </c>
      <c r="AC69" s="24"/>
      <c r="AD69" s="24"/>
      <c r="AE69" s="15"/>
      <c r="AF69" s="15"/>
      <c r="AG69" s="15"/>
    </row>
    <row r="70" spans="1:33">
      <c r="A70" s="23" t="str">
        <f ca="1">IF(B70="","","67.")</f>
        <v/>
      </c>
      <c r="B70" s="97" t="str" cm="1">
        <f t="array" aca="1" ref="B70" ca="1">_xlfn.SINGLE(IF(INDIRECT("MAOP!AK$"&amp;384+'Statystyki dnia'!$B$3)="w","",IF(INDIRECT("MAOP!AK$"&amp;384+'Statystyki dnia'!$B$3),INDIRECT("MAOP!AK$"&amp;384+'Statystyki dnia'!$B$3),"")))</f>
        <v/>
      </c>
      <c r="C70" s="48" t="str" cm="1">
        <f t="array" aca="1" ref="C70" ca="1">_xlfn.SINGLE(IF(INDIRECT("MAOP!AL$"&amp;384+'Statystyki dnia'!$B$3)="w","",IF(INDIRECT("MAOP!AL$"&amp;384+'Statystyki dnia'!$B$3),INDIRECT("MAOP!AL$"&amp;384+'Statystyki dnia'!$B$3),"")))</f>
        <v/>
      </c>
      <c r="D70" s="96" t="str">
        <f ca="1">IF(INDIRECT("MAOP!AM$"&amp;384+'Statystyki dnia'!$B$3)="w","",IF(INDIRECT("MAOP!AM$"&amp;384+'Statystyki dnia'!$B$3)&gt;0,MAOP!AK$380,""))</f>
        <v/>
      </c>
      <c r="AC70" s="24"/>
      <c r="AD70" s="24"/>
      <c r="AE70" s="15"/>
      <c r="AF70" s="15"/>
      <c r="AG70" s="15"/>
    </row>
    <row r="71" spans="1:33">
      <c r="A71" s="23" t="str">
        <f ca="1">IF(B71="","","68.")</f>
        <v/>
      </c>
      <c r="B71" s="97" t="str" cm="1">
        <f t="array" aca="1" ref="B71" ca="1">_xlfn.SINGLE(IF(INDIRECT("MAOP!AH$"&amp;384+'Statystyki dnia'!$B$3)="w","",IF(INDIRECT("MAOP!AH$"&amp;384+'Statystyki dnia'!$B$3),INDIRECT("MAOP!AH$"&amp;384+'Statystyki dnia'!$B$3),"")))</f>
        <v/>
      </c>
      <c r="C71" s="48" t="str" cm="1">
        <f t="array" aca="1" ref="C71" ca="1">_xlfn.SINGLE(IF(INDIRECT("MAOP!AI$"&amp;384+'Statystyki dnia'!$B$3)="w","",IF(INDIRECT("MAOP!AI$"&amp;384+'Statystyki dnia'!$B$3),INDIRECT("MAOP!AI$"&amp;384+'Statystyki dnia'!$B$3),"")))</f>
        <v/>
      </c>
      <c r="D71" s="96" t="str">
        <f ca="1">IF(INDIRECT("MAOP!AJ$"&amp;384+'Statystyki dnia'!$B$3)="w","",IF(INDIRECT("MAOP!AJ$"&amp;384+'Statystyki dnia'!$B$3)&gt;0,MAOP!AH$380,""))</f>
        <v/>
      </c>
      <c r="AC71" s="24"/>
      <c r="AD71" s="24"/>
      <c r="AE71" s="15"/>
      <c r="AF71" s="15"/>
      <c r="AG71" s="15"/>
    </row>
    <row r="72" spans="1:33">
      <c r="A72" s="23" t="str">
        <f ca="1">IF(B72="","","69.")</f>
        <v/>
      </c>
      <c r="B72" s="97" t="str" cm="1">
        <f t="array" aca="1" ref="B72" ca="1">_xlfn.SINGLE(IF(INDIRECT("MAOP!AE$"&amp;426+'Statystyki dnia'!$B$3)="w","",IF(INDIRECT("MAOP!AE$"&amp;426+'Statystyki dnia'!$B$3),INDIRECT("MAOP!AE$"&amp;426+'Statystyki dnia'!$B$3),"")))</f>
        <v/>
      </c>
      <c r="C72" s="48" t="str" cm="1">
        <f t="array" aca="1" ref="C72" ca="1">_xlfn.SINGLE(IF(INDIRECT("MAOP!AF$"&amp;426+'Statystyki dnia'!$B$3)="w","",IF(INDIRECT("MAOP!AF$"&amp;426+'Statystyki dnia'!$B$3),INDIRECT("MAOP!AF$"&amp;426+'Statystyki dnia'!$B$3),"")))</f>
        <v/>
      </c>
      <c r="D72" s="96" t="str">
        <f ca="1">IF(INDIRECT("MAOP!AG$"&amp;426+'Statystyki dnia'!$B$3)="w","",IF(INDIRECT("MAOP!AG$"&amp;426+'Statystyki dnia'!$B$3)&gt;0,MAOP!AE$422,""))</f>
        <v/>
      </c>
      <c r="AC72" s="24"/>
      <c r="AD72" s="24"/>
      <c r="AE72" s="15"/>
      <c r="AF72" s="15"/>
      <c r="AG72" s="15"/>
    </row>
    <row r="73" spans="1:33">
      <c r="A73" s="23" t="str">
        <f ca="1">IF(B73="","","70.")</f>
        <v/>
      </c>
      <c r="B73" s="97" t="str" cm="1">
        <f t="array" aca="1" ref="B73" ca="1">_xlfn.SINGLE(IF(INDIRECT("MAOP!AH$"&amp;426+'Statystyki dnia'!$B$3)="w","",IF(INDIRECT("MAOP!AH$"&amp;426+'Statystyki dnia'!$B$3),INDIRECT("MAOP!AH$"&amp;426+'Statystyki dnia'!$B$3),"")))</f>
        <v/>
      </c>
      <c r="C73" s="48" t="str" cm="1">
        <f t="array" aca="1" ref="C73" ca="1">_xlfn.SINGLE(IF(INDIRECT("MAOP!AI$"&amp;426+'Statystyki dnia'!$B$3)="w","",IF(INDIRECT("MAOP!AI$"&amp;426+'Statystyki dnia'!$B$3),INDIRECT("MAOP!AI$"&amp;426+'Statystyki dnia'!$B$3),"")))</f>
        <v/>
      </c>
      <c r="D73" s="96" t="str">
        <f ca="1">IF(INDIRECT("MAOP!AJ$"&amp;426+'Statystyki dnia'!$B$3)="w","",IF(INDIRECT("MAOP!AJ$"&amp;426+'Statystyki dnia'!$B$3)&gt;0,MAOP!AH$422,""))</f>
        <v/>
      </c>
      <c r="AC73" s="24"/>
      <c r="AD73" s="24"/>
      <c r="AE73" s="15"/>
      <c r="AF73" s="15"/>
      <c r="AG73" s="15"/>
    </row>
    <row r="74" spans="1:33">
      <c r="A74" s="23" t="str">
        <f ca="1">IF(B74="","","71.")</f>
        <v/>
      </c>
      <c r="B74" s="97" t="str" cm="1">
        <f t="array" aca="1" ref="B74" ca="1">_xlfn.SINGLE(IF(INDIRECT("MAOP!AE$"&amp;384+'Statystyki dnia'!$B$3)="w","",IF(INDIRECT("MAOP!AE$"&amp;384+'Statystyki dnia'!$B$3),INDIRECT("MAOP!AE$"&amp;384+'Statystyki dnia'!$B$3),"")))</f>
        <v/>
      </c>
      <c r="C74" s="48" t="str" cm="1">
        <f t="array" aca="1" ref="C74" ca="1">_xlfn.SINGLE(IF(INDIRECT("MAOP!AF$"&amp;384+'Statystyki dnia'!$B$3)="w","",IF(INDIRECT("MAOP!AF$"&amp;384+'Statystyki dnia'!$B$3),INDIRECT("MAOP!AF$"&amp;384+'Statystyki dnia'!$B$3),"")))</f>
        <v/>
      </c>
      <c r="D74" s="96" t="str">
        <f ca="1">IF(INDIRECT("MAOP!AG$"&amp;384+'Statystyki dnia'!$B$3)="w","",IF(INDIRECT("MAOP!AG$"&amp;384+'Statystyki dnia'!$B$3)&gt;0,MAOP!AE$380,""))</f>
        <v/>
      </c>
      <c r="AC74" s="24"/>
      <c r="AD74" s="24"/>
      <c r="AE74" s="15"/>
      <c r="AF74" s="15"/>
      <c r="AG74" s="15"/>
    </row>
    <row r="75" spans="1:33">
      <c r="A75" s="23" t="str">
        <f ca="1">IF(B75="","","72.")</f>
        <v/>
      </c>
      <c r="B75" s="97" t="str" cm="1">
        <f t="array" aca="1" ref="B75" ca="1">_xlfn.SINGLE(IF(INDIRECT("MAOP!AB$"&amp;384+'Statystyki dnia'!$B$3)="w","",IF(INDIRECT("MAOP!AB$"&amp;384+'Statystyki dnia'!$B$3),INDIRECT("MAOP!AB$"&amp;384+'Statystyki dnia'!$B$3),"")))</f>
        <v/>
      </c>
      <c r="C75" s="48" t="str" cm="1">
        <f t="array" aca="1" ref="C75" ca="1">_xlfn.SINGLE(IF(INDIRECT("MAOP!AC$"&amp;384+'Statystyki dnia'!$B$3)="w","",IF(INDIRECT("MAOP!AC$"&amp;384+'Statystyki dnia'!$B$3),INDIRECT("MAOP!AC$"&amp;384+'Statystyki dnia'!$B$3),"")))</f>
        <v/>
      </c>
      <c r="D75" s="96" t="str">
        <f ca="1">IF(INDIRECT("MAOP!AD$"&amp;384+'Statystyki dnia'!$B$3)="w","",IF(INDIRECT("MAOP!AD$"&amp;384+'Statystyki dnia'!$B$3)&gt;0,MAOP!AB$380,""))</f>
        <v/>
      </c>
      <c r="AC75" s="24"/>
      <c r="AD75" s="24"/>
      <c r="AE75" s="15"/>
      <c r="AF75" s="15"/>
      <c r="AG75" s="15"/>
    </row>
    <row r="76" spans="1:33">
      <c r="A76" s="23" t="str">
        <f ca="1">IF(B76="","","73.")</f>
        <v/>
      </c>
      <c r="B76" s="70" t="str" cm="1">
        <f t="array" aca="1" ref="B76" ca="1">_xlfn.SINGLE(IF(INDIRECT("MAOP!AE$"&amp;132+'Statystyki dnia'!$B$3)="w","",IF(INDIRECT("MAOP!AE$"&amp;132+'Statystyki dnia'!$B$3),INDIRECT("MAOP!AE$"&amp;132+'Statystyki dnia'!$B$3),"")))</f>
        <v/>
      </c>
      <c r="C76" s="48" t="str" cm="1">
        <f t="array" aca="1" ref="C76" ca="1">_xlfn.SINGLE(IF(INDIRECT("MAOP!AF$"&amp;132+'Statystyki dnia'!$B$3)="w","",IF(INDIRECT("MAOP!AF$"&amp;132+'Statystyki dnia'!$B$3),INDIRECT("MAOP!AF$"&amp;132+'Statystyki dnia'!$B$3),"")))</f>
        <v/>
      </c>
      <c r="D76" s="71" t="str">
        <f ca="1">IF(INDIRECT("MAOP!AG$"&amp;132+'Statystyki dnia'!$B$3)="w","",IF(INDIRECT("MAOP!AG$"&amp;132+'Statystyki dnia'!$B$3)&gt;0,MAOP!AE$128,""))</f>
        <v/>
      </c>
      <c r="AC76" s="24"/>
      <c r="AD76" s="24"/>
      <c r="AE76" s="15"/>
      <c r="AF76" s="15"/>
      <c r="AG76" s="15"/>
    </row>
    <row r="77" spans="1:33">
      <c r="A77" s="23" t="str">
        <f ca="1">IF(B77="","","74.")</f>
        <v/>
      </c>
      <c r="B77" s="70" t="str" cm="1">
        <f t="array" aca="1" ref="B77" ca="1">_xlfn.SINGLE(IF(INDIRECT("MAOP!S$"&amp;300+'Statystyki dnia'!$B$3)="w","",IF(INDIRECT("MAOP!S$"&amp;300+'Statystyki dnia'!$B$3),INDIRECT("MAOP!S$"&amp;300+'Statystyki dnia'!$B$3),"")))</f>
        <v/>
      </c>
      <c r="C77" s="48" t="str" cm="1">
        <f t="array" aca="1" ref="C77" ca="1">_xlfn.SINGLE(IF(INDIRECT("MAOP!T$"&amp;300+'Statystyki dnia'!$B$3)="w","",IF(INDIRECT("MAOP!T$"&amp;300+'Statystyki dnia'!$B$3),INDIRECT("MAOP!T$"&amp;300+'Statystyki dnia'!$B$3),"")))</f>
        <v/>
      </c>
      <c r="D77" s="96" t="str">
        <f ca="1">IF(INDIRECT("MAOP!U$"&amp;300+'Statystyki dnia'!$B$3)="w","",IF(INDIRECT("MAOP!U$"&amp;300+'Statystyki dnia'!$B$3)&gt;0,MAOP!S$296,""))</f>
        <v/>
      </c>
      <c r="AC77" s="24"/>
      <c r="AD77" s="24"/>
      <c r="AE77" s="15"/>
      <c r="AF77" s="15"/>
      <c r="AG77" s="15"/>
    </row>
    <row r="78" spans="1:33">
      <c r="A78" s="23" t="str">
        <f ca="1">IF(B78="","","75.")</f>
        <v/>
      </c>
      <c r="B78" s="70" t="str" cm="1">
        <f t="array" aca="1" ref="B78" ca="1">_xlfn.SINGLE(IF(INDIRECT("MAOP!AK$"&amp;216+'Statystyki dnia'!$B$3)="w","",IF(INDIRECT("MAOP!AK$"&amp;216+'Statystyki dnia'!$B$3),INDIRECT("MAOP!AK$"&amp;216+'Statystyki dnia'!$B$3),"")))</f>
        <v/>
      </c>
      <c r="C78" s="48" t="str" cm="1">
        <f t="array" aca="1" ref="C78" ca="1">_xlfn.SINGLE(IF(INDIRECT("MAOP!AL$"&amp;216+'Statystyki dnia'!$B$3)="w","",IF(INDIRECT("MAOP!AL$"&amp;216+'Statystyki dnia'!$B$3),INDIRECT("MAOP!AL$"&amp;216+'Statystyki dnia'!$B$3),"")))</f>
        <v/>
      </c>
      <c r="D78" s="95" t="str">
        <f ca="1">IF(INDIRECT("MAOP!AM$"&amp;216+'Statystyki dnia'!$B$3)="w","",IF(INDIRECT("MAOP!AM$"&amp;216+'Statystyki dnia'!$B$3)&gt;0,MAOP!AK$212,""))</f>
        <v/>
      </c>
      <c r="AC78" s="24"/>
      <c r="AD78" s="24"/>
      <c r="AE78" s="15"/>
      <c r="AF78" s="15"/>
      <c r="AG78" s="15"/>
    </row>
    <row r="79" spans="1:33">
      <c r="A79" s="23" t="str">
        <f ca="1">IF(B79="","","76.")</f>
        <v/>
      </c>
      <c r="B79" s="70" t="str" cm="1">
        <f t="array" aca="1" ref="B79" ca="1">_xlfn.SINGLE(IF(INDIRECT("MAOP!J$"&amp;174+'Statystyki dnia'!$B$3)="w","",IF(INDIRECT("MAOP!J$"&amp;174+'Statystyki dnia'!$B$3),INDIRECT("MAOP!J$"&amp;174+'Statystyki dnia'!$B$3),"")))</f>
        <v/>
      </c>
      <c r="C79" s="48" t="str" cm="1">
        <f t="array" aca="1" ref="C79" ca="1">_xlfn.SINGLE(IF(INDIRECT("MAOP!K$"&amp;174+'Statystyki dnia'!$B$3)="w","",IF(INDIRECT("MAOP!K$"&amp;174+'Statystyki dnia'!$B$3),INDIRECT("MAOP!K$"&amp;174+'Statystyki dnia'!$B$3),"")))</f>
        <v/>
      </c>
      <c r="D79" s="71" t="str">
        <f ca="1">IF(INDIRECT("MAOP!L$"&amp;174+'Statystyki dnia'!$B$3)="w","",IF(INDIRECT("MAOP!L$"&amp;174+'Statystyki dnia'!$B$3)&gt;0,MAOP!J$170,""))</f>
        <v/>
      </c>
      <c r="AC79" s="24"/>
      <c r="AD79" s="24"/>
      <c r="AE79" s="15"/>
      <c r="AF79" s="15"/>
      <c r="AG79" s="15"/>
    </row>
    <row r="80" spans="1:33">
      <c r="A80" s="23" t="str">
        <f ca="1">IF(B80="","","77.")</f>
        <v/>
      </c>
      <c r="B80" s="70" t="str" cm="1">
        <f t="array" aca="1" ref="B80" ca="1">_xlfn.SINGLE(IF(INDIRECT("MAOP!AE$"&amp;90+'Statystyki dnia'!$B$3)="w","",IF(INDIRECT("MAOP!AE$"&amp;90+'Statystyki dnia'!$B$3),INDIRECT("MAOP!AE$"&amp;90+'Statystyki dnia'!$B$3),"")))</f>
        <v/>
      </c>
      <c r="C80" s="48" t="str" cm="1">
        <f t="array" aca="1" ref="C80" ca="1">_xlfn.SINGLE(IF(INDIRECT("MAOP!AF$"&amp;90+'Statystyki dnia'!$B$3)="w","",IF(INDIRECT("MAOP!AF$"&amp;90+'Statystyki dnia'!$B$3),INDIRECT("MAOP!AF$"&amp;90+'Statystyki dnia'!$B$3),"")))</f>
        <v/>
      </c>
      <c r="D80" s="71" t="str">
        <f ca="1">IF(INDIRECT("MAOP!AG$"&amp;90+'Statystyki dnia'!$B$3)="w","",IF(INDIRECT("MAOP!AG$"&amp;90+'Statystyki dnia'!$B$3)&gt;0,MAOP!AE$86,""))</f>
        <v/>
      </c>
      <c r="AC80" s="24"/>
      <c r="AD80" s="24"/>
      <c r="AE80" s="15"/>
      <c r="AF80" s="15"/>
      <c r="AG80" s="15"/>
    </row>
    <row r="81" spans="1:33">
      <c r="A81" s="23" t="str">
        <f ca="1">IF(B81="","","78.")</f>
        <v/>
      </c>
      <c r="B81" s="69" t="str" cm="1">
        <f t="array" aca="1" ref="B81" ca="1">_xlfn.SINGLE(IF(INDIRECT("MAOP!M$"&amp;90+'Statystyki dnia'!$B$3)="w","",IF(INDIRECT("MAOP!M$"&amp;90+'Statystyki dnia'!$B$3),INDIRECT("MAOP!M$"&amp;90+'Statystyki dnia'!$B$3),"")))</f>
        <v/>
      </c>
      <c r="C81" s="49" t="str" cm="1">
        <f t="array" aca="1" ref="C81" ca="1">_xlfn.SINGLE(IF(INDIRECT("MAOP!N$"&amp;90+'Statystyki dnia'!$B$3)="w","",IF(INDIRECT("MAOP!N$"&amp;90+'Statystyki dnia'!$B$3),INDIRECT("MAOP!N$"&amp;90+'Statystyki dnia'!$B$3),"")))</f>
        <v/>
      </c>
      <c r="D81" s="95" t="str">
        <f ca="1">IF(INDIRECT("MAOP!O$"&amp;90+'Statystyki dnia'!$B$3)="w","",IF(INDIRECT("MAOP!O$"&amp;90+'Statystyki dnia'!$B$3)&gt;0,MAOP!M$86,""))</f>
        <v/>
      </c>
      <c r="AC81" s="24"/>
      <c r="AD81" s="24"/>
      <c r="AE81" s="15"/>
      <c r="AF81" s="15"/>
      <c r="AG81" s="15"/>
    </row>
    <row r="82" spans="1:33">
      <c r="A82" s="23" t="str">
        <f ca="1">IF(B82="","","79.")</f>
        <v/>
      </c>
      <c r="B82" s="70" t="str" cm="1">
        <f t="array" aca="1" ref="B82" ca="1">_xlfn.SINGLE(IF(INDIRECT("MAOP!G$"&amp;342+'Statystyki dnia'!$B$3)="w","",IF(INDIRECT("MAOP!G$"&amp;342+'Statystyki dnia'!$B$3),INDIRECT("MAOP!G$"&amp;342+'Statystyki dnia'!$B$3),"")))</f>
        <v/>
      </c>
      <c r="C82" s="48" t="str" cm="1">
        <f t="array" aca="1" ref="C82" ca="1">_xlfn.SINGLE(IF(INDIRECT("MAOP!H$"&amp;342+'Statystyki dnia'!$B$3)="w","",IF(INDIRECT("MAOP!H$"&amp;342+'Statystyki dnia'!$B$3),INDIRECT("MAOP!H$"&amp;342+'Statystyki dnia'!$B$3),"")))</f>
        <v/>
      </c>
      <c r="D82" s="96" t="str">
        <f ca="1">IF(INDIRECT("MAOP!I$"&amp;342+'Statystyki dnia'!$B$3)="w","",IF(INDIRECT("MAOP!I$"&amp;342+'Statystyki dnia'!$B$3)&gt;0,MAOP!G$338,""))</f>
        <v/>
      </c>
      <c r="AC82" s="24"/>
      <c r="AD82" s="24"/>
      <c r="AE82" s="15"/>
      <c r="AF82" s="15"/>
      <c r="AG82" s="15"/>
    </row>
    <row r="83" spans="1:33">
      <c r="A83" s="23" t="str">
        <f ca="1">IF(B83="","","80.")</f>
        <v/>
      </c>
      <c r="B83" s="69" t="str" cm="1">
        <f t="array" aca="1" ref="B83" ca="1">_xlfn.SINGLE(IF(INDIRECT("MAOP!P$"&amp;216+'Statystyki dnia'!$B$3)="w","",IF(INDIRECT("MAOP!P$"&amp;216+'Statystyki dnia'!$B$3),INDIRECT("MAOP!P$"&amp;216+'Statystyki dnia'!$B$3),"")))</f>
        <v/>
      </c>
      <c r="C83" s="49" t="str" cm="1">
        <f t="array" aca="1" ref="C83" ca="1">_xlfn.SINGLE(IF(INDIRECT("MAOP!Q$"&amp;216+'Statystyki dnia'!$B$3)="w","",IF(INDIRECT("MAOP!Q$"&amp;216+'Statystyki dnia'!$B$3),INDIRECT("MAOP!Q$"&amp;216+'Statystyki dnia'!$B$3),"")))</f>
        <v/>
      </c>
      <c r="D83" s="95" t="str">
        <f ca="1">IF(INDIRECT("MAOP!R$"&amp;216+'Statystyki dnia'!$B$3)="w","",IF(INDIRECT("MAOP!R$"&amp;216+'Statystyki dnia'!$B$3)&gt;0,MAOP!P$212,""))</f>
        <v/>
      </c>
      <c r="AC83" s="24"/>
      <c r="AD83" s="24"/>
      <c r="AE83" s="15"/>
      <c r="AF83" s="15"/>
      <c r="AG83" s="15"/>
    </row>
    <row r="84" spans="1:33">
      <c r="A84" s="23" t="str">
        <f ca="1">IF(B84="","","81.")</f>
        <v/>
      </c>
      <c r="B84" s="97" t="str" cm="1">
        <f t="array" aca="1" ref="B84" ca="1">_xlfn.SINGLE(IF(INDIRECT("MAOP!D$"&amp;342+'Statystyki dnia'!$B$3)="w","",IF(INDIRECT("MAOP!D$"&amp;342+'Statystyki dnia'!$B$3),INDIRECT("MAOP!D$"&amp;342+'Statystyki dnia'!$B$3),"")))</f>
        <v/>
      </c>
      <c r="C84" s="48" t="str" cm="1">
        <f t="array" aca="1" ref="C84" ca="1">_xlfn.SINGLE(IF(INDIRECT("MAOP!E$"&amp;342+'Statystyki dnia'!$B$3)="w","",IF(INDIRECT("MAOP!E$"&amp;342+'Statystyki dnia'!$B$3),INDIRECT("MAOP!E$"&amp;342+'Statystyki dnia'!$B$3),"")))</f>
        <v/>
      </c>
      <c r="D84" s="96" t="str">
        <f ca="1">IF(INDIRECT("MAOP!F$"&amp;342+'Statystyki dnia'!$B$3)="w","",IF(INDIRECT("MAOP!F$"&amp;342+'Statystyki dnia'!$B$3)&gt;0,MAOP!D$338,""))</f>
        <v/>
      </c>
      <c r="AC84" s="24"/>
      <c r="AD84" s="24"/>
      <c r="AE84" s="15"/>
      <c r="AF84" s="15"/>
      <c r="AG84" s="15"/>
    </row>
    <row r="85" spans="1:33">
      <c r="A85" s="23" t="str">
        <f ca="1">IF(B85="","","82.")</f>
        <v/>
      </c>
      <c r="B85" s="70" t="str" cm="1">
        <f t="array" aca="1" ref="B85" ca="1">_xlfn.SINGLE(IF(INDIRECT("MAOP!V$"&amp;342+'Statystyki dnia'!$B$3)="w","",IF(INDIRECT("MAOP!V$"&amp;342+'Statystyki dnia'!$B$3),INDIRECT("MAOP!V$"&amp;342+'Statystyki dnia'!$B$3),"")))</f>
        <v/>
      </c>
      <c r="C85" s="48" t="str" cm="1">
        <f t="array" aca="1" ref="C85" ca="1">_xlfn.SINGLE(IF(INDIRECT("MAOP!W$"&amp;342+'Statystyki dnia'!$B$3)="w","",IF(INDIRECT("MAOP!W$"&amp;342+'Statystyki dnia'!$B$3),INDIRECT("MAOP!W$"&amp;342+'Statystyki dnia'!$B$3),"")))</f>
        <v/>
      </c>
      <c r="D85" s="96" t="str">
        <f ca="1">IF(INDIRECT("MAOP!X$"&amp;342+'Statystyki dnia'!$B$3)="w","",IF(INDIRECT("MAOP!X$"&amp;342+'Statystyki dnia'!$B$3)&gt;0,MAOP!V$338,""))</f>
        <v/>
      </c>
      <c r="AC85" s="24"/>
      <c r="AD85" s="24"/>
      <c r="AE85" s="15"/>
      <c r="AF85" s="15"/>
      <c r="AG85" s="15"/>
    </row>
    <row r="86" spans="1:33">
      <c r="A86" s="23" t="str">
        <f ca="1">IF(B86="","","83.")</f>
        <v/>
      </c>
      <c r="B86" s="69" t="str" cm="1">
        <f t="array" aca="1" ref="B86" ca="1">_xlfn.SINGLE(IF(INDIRECT("MAOP!AK$"&amp;90+'Statystyki dnia'!$B$3)="w","",IF(INDIRECT("MAOP!AK$"&amp;90+'Statystyki dnia'!$B$3),INDIRECT("MAOP!AK$"&amp;90+'Statystyki dnia'!$B$3),"")))</f>
        <v/>
      </c>
      <c r="C86" s="49" t="str" cm="1">
        <f t="array" aca="1" ref="C86" ca="1">_xlfn.SINGLE(IF(INDIRECT("MAOP!AL$"&amp;90+'Statystyki dnia'!$B$3)="w","",IF(INDIRECT("MAOP!AL$"&amp;90+'Statystyki dnia'!$B$3),INDIRECT("MAOP!AL$"&amp;90+'Statystyki dnia'!$B$3),"")))</f>
        <v/>
      </c>
      <c r="D86" s="95" t="str">
        <f ca="1">IF(INDIRECT("MAOP!AM$"&amp;90+'Statystyki dnia'!$B$3)="w","",IF(INDIRECT("MAOP!AM$"&amp;90+'Statystyki dnia'!$B$3)&gt;0,MAOP!AK$86,""))</f>
        <v/>
      </c>
      <c r="AC86" s="24"/>
      <c r="AD86" s="24"/>
      <c r="AE86" s="15"/>
      <c r="AF86" s="15"/>
      <c r="AG86" s="15"/>
    </row>
    <row r="87" spans="1:33">
      <c r="A87" s="23" t="str">
        <f ca="1">IF(B87="","","84.")</f>
        <v/>
      </c>
      <c r="B87" s="69" t="str" cm="1">
        <f t="array" aca="1" ref="B87" ca="1">_xlfn.SINGLE(IF(INDIRECT("MAOP!AE$"&amp;216+'Statystyki dnia'!$B$3)="w","",IF(INDIRECT("MAOP!AE$"&amp;216+'Statystyki dnia'!$B$3),INDIRECT("MAOP!AE$"&amp;216+'Statystyki dnia'!$B$3),"")))</f>
        <v/>
      </c>
      <c r="C87" s="49" t="str" cm="1">
        <f t="array" aca="1" ref="C87" ca="1">_xlfn.SINGLE(IF(INDIRECT("MAOP!AF$"&amp;216+'Statystyki dnia'!$B$3)="w","",IF(INDIRECT("MAOP!AF$"&amp;216+'Statystyki dnia'!$B$3),INDIRECT("MAOP!AF$"&amp;216+'Statystyki dnia'!$B$3),"")))</f>
        <v/>
      </c>
      <c r="D87" s="95" t="str">
        <f ca="1">IF(INDIRECT("MAOP!AG$"&amp;216+'Statystyki dnia'!$B$3)="w","",IF(INDIRECT("MAOP!AG$"&amp;216+'Statystyki dnia'!$B$3)&gt;0,MAOP!AE$212,""))</f>
        <v/>
      </c>
      <c r="AC87" s="24"/>
      <c r="AD87" s="24"/>
      <c r="AE87" s="15"/>
      <c r="AF87" s="15"/>
      <c r="AG87" s="15"/>
    </row>
    <row r="88" spans="1:33">
      <c r="A88" s="23" t="str">
        <f ca="1">IF(B88="","","85.")</f>
        <v/>
      </c>
      <c r="B88" s="70" t="str" cm="1">
        <f t="array" aca="1" ref="B88" ca="1">_xlfn.SINGLE(IF(INDIRECT("MAOP!Y$"&amp;90+'Statystyki dnia'!$B$3)="w","",IF(INDIRECT("MAOP!Y$"&amp;90+'Statystyki dnia'!$B$3),INDIRECT("MAOP!Y$"&amp;90+'Statystyki dnia'!$B$3),"")))</f>
        <v/>
      </c>
      <c r="C88" s="48" t="str" cm="1">
        <f t="array" aca="1" ref="C88" ca="1">_xlfn.SINGLE(IF(INDIRECT("MAOP!Z$"&amp;90+'Statystyki dnia'!$B$3)="w","",IF(INDIRECT("MAOP!Z$"&amp;90+'Statystyki dnia'!$B$3),INDIRECT("MAOP!Z$"&amp;90+'Statystyki dnia'!$B$3),"")))</f>
        <v/>
      </c>
      <c r="D88" s="71" t="str">
        <f ca="1">IF(INDIRECT("MAOP!AA$"&amp;90+'Statystyki dnia'!$B$3)="w","",IF(INDIRECT("MAOP!AA$"&amp;90+'Statystyki dnia'!$B$3)&gt;0,MAOP!Y$86,""))</f>
        <v/>
      </c>
      <c r="AC88" s="24"/>
      <c r="AD88" s="24"/>
      <c r="AE88" s="15"/>
      <c r="AF88" s="15"/>
      <c r="AG88" s="15"/>
    </row>
    <row r="89" spans="1:33">
      <c r="A89" s="14"/>
      <c r="B89" s="69" t="str" cm="1">
        <f t="array" aca="1" ref="B89" ca="1">_xlfn.SINGLE(IF(INDIRECT("MAOP!S$"&amp;216+'Statystyki dnia'!$B$3)="w","",IF(INDIRECT("MAOP!S$"&amp;216+'Statystyki dnia'!$B$3),INDIRECT("MAOP!S$"&amp;216+'Statystyki dnia'!$B$3),"")))</f>
        <v/>
      </c>
      <c r="C89" s="49" t="str" cm="1">
        <f t="array" aca="1" ref="C89" ca="1">_xlfn.SINGLE(IF(INDIRECT("MAOP!T$"&amp;216+'Statystyki dnia'!$B$3)="w","",IF(INDIRECT("MAOP!T$"&amp;216+'Statystyki dnia'!$B$3),INDIRECT("MAOP!T$"&amp;216+'Statystyki dnia'!$B$3),"")))</f>
        <v/>
      </c>
      <c r="D89" s="95" t="str">
        <f ca="1">IF(INDIRECT("MAOP!U$"&amp;216+'Statystyki dnia'!$B$3)="w","",IF(INDIRECT("MAOP!U$"&amp;216+'Statystyki dnia'!$B$3)&gt;0,MAOP!S$212,""))</f>
        <v/>
      </c>
      <c r="AC89" s="24"/>
      <c r="AD89" s="24"/>
      <c r="AE89" s="15"/>
      <c r="AF89" s="15"/>
      <c r="AG89" s="15"/>
    </row>
    <row r="90" spans="1:33">
      <c r="A90" s="14"/>
      <c r="B90" s="70" t="str" cm="1">
        <f t="array" aca="1" ref="B90" ca="1">_xlfn.SINGLE(IF(INDIRECT("MAOP!M$"&amp;258+'Statystyki dnia'!$B$3)="w","",IF(INDIRECT("MAOP!M$"&amp;258+'Statystyki dnia'!$B$3),INDIRECT("MAOP!M$"&amp;258+'Statystyki dnia'!$B$3),"")))</f>
        <v/>
      </c>
      <c r="C90" s="48" t="str" cm="1">
        <f t="array" aca="1" ref="C90" ca="1">_xlfn.SINGLE(IF(INDIRECT("MAOP!N$"&amp;258+'Statystyki dnia'!$B$3)="w","",IF(INDIRECT("MAOP!N$"&amp;258+'Statystyki dnia'!$B$3),INDIRECT("MAOP!N$"&amp;258+'Statystyki dnia'!$B$3),"")))</f>
        <v/>
      </c>
      <c r="D90" s="95" t="str">
        <f ca="1">IF(INDIRECT("MAOP!O$"&amp;258+'Statystyki dnia'!$B$3)="w","",IF(INDIRECT("MAOP!O$"&amp;258+'Statystyki dnia'!$B$3)&gt;0,MAOP!M$254,""))</f>
        <v/>
      </c>
      <c r="AC90" s="24"/>
      <c r="AD90" s="24"/>
      <c r="AE90" s="15"/>
      <c r="AF90" s="15"/>
      <c r="AG90" s="15"/>
    </row>
    <row r="91" spans="1:33">
      <c r="A91" s="14"/>
      <c r="B91" s="70" t="str" cm="1">
        <f t="array" aca="1" ref="B91" ca="1">_xlfn.SINGLE(IF(INDIRECT("MAOP!AB$"&amp;258+'Statystyki dnia'!$B$3)="w","",IF(INDIRECT("MAOP!AB$"&amp;258+'Statystyki dnia'!$B$3),INDIRECT("MAOP!AB$"&amp;258+'Statystyki dnia'!$B$3),"")))</f>
        <v/>
      </c>
      <c r="C91" s="48" t="str" cm="1">
        <f t="array" aca="1" ref="C91" ca="1">_xlfn.SINGLE(IF(INDIRECT("MAOP!AC$"&amp;258+'Statystyki dnia'!$B$3)="w","",IF(INDIRECT("MAOP!AC$"&amp;258+'Statystyki dnia'!$B$3),INDIRECT("MAOP!AC$"&amp;258+'Statystyki dnia'!$B$3),"")))</f>
        <v/>
      </c>
      <c r="D91" s="96" t="str">
        <f ca="1">IF(INDIRECT("MAOP!AD$"&amp;258+'Statystyki dnia'!$B$3)="w","",IF(INDIRECT("MAOP!AD$"&amp;258+'Statystyki dnia'!$B$3)&gt;0,MAOP!AB$254,""))</f>
        <v/>
      </c>
      <c r="AC91" s="24"/>
      <c r="AD91" s="24"/>
      <c r="AE91" s="15"/>
      <c r="AF91" s="15"/>
      <c r="AG91" s="15"/>
    </row>
    <row r="92" spans="1:33">
      <c r="A92" s="14"/>
      <c r="B92" s="70" t="str" cm="1">
        <f t="array" aca="1" ref="B92" ca="1">_xlfn.SINGLE(IF(INDIRECT("MAOP!AK$"&amp;300+'Statystyki dnia'!$B$3)="w","",IF(INDIRECT("MAOP!AK$"&amp;300+'Statystyki dnia'!$B$3),INDIRECT("MAOP!AK$"&amp;300+'Statystyki dnia'!$B$3),"")))</f>
        <v/>
      </c>
      <c r="C92" s="48" t="str" cm="1">
        <f t="array" aca="1" ref="C92" ca="1">_xlfn.SINGLE(IF(INDIRECT("MAOP!AL$"&amp;300+'Statystyki dnia'!$B$3)="w","",IF(INDIRECT("MAOP!AL$"&amp;300+'Statystyki dnia'!$B$3),INDIRECT("MAOP!AL$"&amp;300+'Statystyki dnia'!$B$3),"")))</f>
        <v/>
      </c>
      <c r="D92" s="96" t="str">
        <f ca="1">IF(INDIRECT("MAOP!AM$"&amp;300+'Statystyki dnia'!$B$3)="w","",IF(INDIRECT("MAOP!AM$"&amp;300+'Statystyki dnia'!$B$3)&gt;0,MAOP!AK$296,""))</f>
        <v/>
      </c>
      <c r="AC92" s="24"/>
      <c r="AD92" s="24"/>
      <c r="AE92" s="15"/>
      <c r="AF92" s="15"/>
      <c r="AG92" s="15"/>
    </row>
    <row r="93" spans="1:33">
      <c r="A93" s="14"/>
      <c r="B93" s="97" t="str" cm="1">
        <f t="array" aca="1" ref="B93" ca="1">_xlfn.SINGLE(IF(INDIRECT("MAOP!J$"&amp;426+'Statystyki dnia'!$B$3)="w","",IF(INDIRECT("MAOP!J$"&amp;426+'Statystyki dnia'!$B$3),INDIRECT("MAOP!J$"&amp;426+'Statystyki dnia'!$B$3),"")))</f>
        <v/>
      </c>
      <c r="C93" s="48" t="str" cm="1">
        <f t="array" aca="1" ref="C93" ca="1">_xlfn.SINGLE(IF(INDIRECT("MAOP!K$"&amp;426+'Statystyki dnia'!$B$3)="w","",IF(INDIRECT("MAOP!K$"&amp;426+'Statystyki dnia'!$B$3),INDIRECT("MAOP!K$"&amp;426+'Statystyki dnia'!$B$3),"")))</f>
        <v/>
      </c>
      <c r="D93" s="96" t="str">
        <f ca="1">IF(INDIRECT("MAOP!L$"&amp;426+'Statystyki dnia'!$B$3)="w","",IF(INDIRECT("MAOP!L$"&amp;426+'Statystyki dnia'!$B$3)&gt;0,MAOP!J$422,""))</f>
        <v/>
      </c>
      <c r="AC93" s="24"/>
      <c r="AD93" s="24"/>
      <c r="AE93" s="15"/>
      <c r="AF93" s="15"/>
      <c r="AG93" s="15"/>
    </row>
    <row r="94" spans="1:33">
      <c r="A94" s="14"/>
      <c r="B94" s="70" t="str" cm="1">
        <f t="array" aca="1" ref="B94" ca="1">_xlfn.SINGLE(IF(INDIRECT("MAOP!AH$"&amp;216+'Statystyki dnia'!$B$3)="w","",IF(INDIRECT("MAOP!AH$"&amp;216+'Statystyki dnia'!$B$3),INDIRECT("MAOP!AH$"&amp;216+'Statystyki dnia'!$B$3),"")))</f>
        <v/>
      </c>
      <c r="C94" s="48" t="str" cm="1">
        <f t="array" aca="1" ref="C94" ca="1">_xlfn.SINGLE(IF(INDIRECT("MAOP!AI$"&amp;216+'Statystyki dnia'!$B$3)="w","",IF(INDIRECT("MAOP!AI$"&amp;216+'Statystyki dnia'!$B$3),INDIRECT("MAOP!AI$"&amp;216+'Statystyki dnia'!$B$3),"")))</f>
        <v/>
      </c>
      <c r="D94" s="71" t="str">
        <f ca="1">IF(INDIRECT("MAOP!AJ$"&amp;216+'Statystyki dnia'!$B$3)="w","",IF(INDIRECT("MAOP!AJ$"&amp;216+'Statystyki dnia'!$B$3)&gt;0,MAOP!AH$212,""))</f>
        <v/>
      </c>
      <c r="AC94" s="24"/>
      <c r="AD94" s="24"/>
      <c r="AE94" s="15"/>
      <c r="AF94" s="15"/>
      <c r="AG94" s="15"/>
    </row>
    <row r="95" spans="1:33">
      <c r="A95" s="14"/>
      <c r="B95" s="70" t="str" cm="1">
        <f t="array" aca="1" ref="B95" ca="1">_xlfn.SINGLE(IF(INDIRECT("MAOP!Y$"&amp;258+'Statystyki dnia'!$B$3)="w","",IF(INDIRECT("MAOP!Y$"&amp;258+'Statystyki dnia'!$B$3),INDIRECT("MAOP!Y$"&amp;258+'Statystyki dnia'!$B$3),"")))</f>
        <v/>
      </c>
      <c r="C95" s="48" t="str" cm="1">
        <f t="array" aca="1" ref="C95" ca="1">_xlfn.SINGLE(IF(INDIRECT("MAOP!Z$"&amp;258+'Statystyki dnia'!$B$3)="w","",IF(INDIRECT("MAOP!Z$"&amp;258+'Statystyki dnia'!$B$3),INDIRECT("MAOP!Z$"&amp;258+'Statystyki dnia'!$B$3),"")))</f>
        <v/>
      </c>
      <c r="D95" s="96" t="str">
        <f ca="1">IF(INDIRECT("MAOP!AA$"&amp;258+'Statystyki dnia'!$B$3)="w","",IF(INDIRECT("MAOP!AA$"&amp;258+'Statystyki dnia'!$B$3)&gt;0,MAOP!Y$254,""))</f>
        <v/>
      </c>
      <c r="AC95" s="24"/>
      <c r="AD95" s="24"/>
      <c r="AE95" s="15"/>
      <c r="AF95" s="15"/>
      <c r="AG95" s="15"/>
    </row>
    <row r="96" spans="1:33">
      <c r="A96" s="14"/>
      <c r="B96" s="70" t="str" cm="1">
        <f t="array" aca="1" ref="B96" ca="1">_xlfn.SINGLE(IF(INDIRECT("MAOP!AE$"&amp;258+'Statystyki dnia'!$B$3)="w","",IF(INDIRECT("MAOP!AE$"&amp;258+'Statystyki dnia'!$B$3),INDIRECT("MAOP!AE$"&amp;258+'Statystyki dnia'!$B$3),"")))</f>
        <v/>
      </c>
      <c r="C96" s="48" t="str" cm="1">
        <f t="array" aca="1" ref="C96" ca="1">_xlfn.SINGLE(IF(INDIRECT("MAOP!AF$"&amp;258+'Statystyki dnia'!$B$3)="w","",IF(INDIRECT("MAOP!AF$"&amp;258+'Statystyki dnia'!$B$3),INDIRECT("MAOP!AF$"&amp;258+'Statystyki dnia'!$B$3),"")))</f>
        <v/>
      </c>
      <c r="D96" s="96" t="str">
        <f ca="1">IF(INDIRECT("MAOP!AG$"&amp;258+'Statystyki dnia'!$B$3)="w","",IF(INDIRECT("MAOP!AG$"&amp;258+'Statystyki dnia'!$B$3)&gt;0,MAOP!AE$254,""))</f>
        <v/>
      </c>
      <c r="AC96" s="24"/>
      <c r="AD96" s="24"/>
      <c r="AE96" s="15"/>
      <c r="AF96" s="15"/>
      <c r="AG96" s="15"/>
    </row>
    <row r="97" spans="1:33">
      <c r="A97" s="14"/>
      <c r="B97" s="70" t="str" cm="1">
        <f t="array" aca="1" ref="B97" ca="1">_xlfn.SINGLE(IF(INDIRECT("MAOP!S$"&amp;342+'Statystyki dnia'!$B$3)="w","",IF(INDIRECT("MAOP!S$"&amp;342+'Statystyki dnia'!$B$3),INDIRECT("MAOP!S$"&amp;342+'Statystyki dnia'!$B$3),"")))</f>
        <v/>
      </c>
      <c r="C97" s="48" t="str" cm="1">
        <f t="array" aca="1" ref="C97" ca="1">_xlfn.SINGLE(IF(INDIRECT("MAOP!T$"&amp;342+'Statystyki dnia'!$B$3)="w","",IF(INDIRECT("MAOP!T$"&amp;342+'Statystyki dnia'!$B$3),INDIRECT("MAOP!T$"&amp;342+'Statystyki dnia'!$B$3),"")))</f>
        <v/>
      </c>
      <c r="D97" s="96" t="str">
        <f ca="1">IF(INDIRECT("MAOP!U$"&amp;342+'Statystyki dnia'!$B$3)="w","",IF(INDIRECT("MAOP!U$"&amp;342+'Statystyki dnia'!$B$3)&gt;0,MAOP!S$338,""))</f>
        <v/>
      </c>
      <c r="AC97" s="24"/>
      <c r="AD97" s="24"/>
      <c r="AE97" s="15"/>
      <c r="AF97" s="15"/>
      <c r="AG97" s="15"/>
    </row>
    <row r="98" spans="1:33">
      <c r="A98" s="14"/>
      <c r="B98" s="70" t="str" cm="1">
        <f t="array" aca="1" ref="B98" ca="1">_xlfn.SINGLE(IF(INDIRECT("MAOP!G$"&amp;300+'Statystyki dnia'!$B$3)="w","",IF(INDIRECT("MAOP!G$"&amp;300+'Statystyki dnia'!$B$3),INDIRECT("MAOP!G$"&amp;300+'Statystyki dnia'!$B$3),"")))</f>
        <v/>
      </c>
      <c r="C98" s="48" t="str" cm="1">
        <f t="array" aca="1" ref="C98" ca="1">_xlfn.SINGLE(IF(INDIRECT("MAOP!H$"&amp;300+'Statystyki dnia'!$B$3)="w","",IF(INDIRECT("MAOP!H$"&amp;300+'Statystyki dnia'!$B$3),INDIRECT("MAOP!H$"&amp;300+'Statystyki dnia'!$B$3),"")))</f>
        <v/>
      </c>
      <c r="D98" s="95" t="str">
        <f ca="1">IF(INDIRECT("MAOP!I$"&amp;300+'Statystyki dnia'!$B$3)="w","",IF(INDIRECT("MAOP!I$"&amp;300+'Statystyki dnia'!$B$3)&gt;0,MAOP!G$296,""))</f>
        <v/>
      </c>
      <c r="AC98" s="24"/>
      <c r="AD98" s="24"/>
      <c r="AE98" s="15"/>
      <c r="AF98" s="15"/>
      <c r="AG98" s="15"/>
    </row>
    <row r="99" spans="1:33">
      <c r="A99" s="14"/>
      <c r="B99" s="70" cm="1">
        <f t="array" aca="1" ref="B99" ca="1">_xlfn.SINGLE(IF(INDIRECT("MAOP!P$"&amp;48+'Statystyki dnia'!$B$3)="w","",IF(INDIRECT("MAOP!P$"&amp;48+'Statystyki dnia'!$B$3),INDIRECT("MAOP!P$"&amp;48+'Statystyki dnia'!$B$3),"")))</f>
        <v>0.4375</v>
      </c>
      <c r="C99" s="48" cm="1">
        <f t="array" aca="1" ref="C99" ca="1">_xlfn.SINGLE(IF(INDIRECT("MAOP!Q$"&amp;48+'Statystyki dnia'!$B$3)="w","",IF(INDIRECT("MAOP!Q$"&amp;48+'Statystyki dnia'!$B$3),INDIRECT("MAOP!Q$"&amp;48+'Statystyki dnia'!$B$3),"")))</f>
        <v>0.9375</v>
      </c>
      <c r="D99" s="71" t="str">
        <f ca="1">IF(INDIRECT("MAOP!R$"&amp;48+'Statystyki dnia'!$B$3)="w","",IF(INDIRECT("MAOP!R$"&amp;48+'Statystyki dnia'!$B$3)&gt;0,MAOP!P$44,""))</f>
        <v>DOMINIK LUSZCZEK</v>
      </c>
      <c r="AC99" s="24"/>
      <c r="AD99" s="24"/>
      <c r="AE99" s="15"/>
      <c r="AF99" s="15"/>
      <c r="AG99" s="15"/>
    </row>
    <row r="100" spans="1:33">
      <c r="A100" s="14"/>
      <c r="B100" s="69" t="str" cm="1">
        <f t="array" aca="1" ref="B100" ca="1">_xlfn.SINGLE(IF(INDIRECT("MAOP!S$"&amp;174+'Statystyki dnia'!$B$3)="w","",IF(INDIRECT("MAOP!S$"&amp;174+'Statystyki dnia'!$B$3),INDIRECT("MAOP!S$"&amp;174+'Statystyki dnia'!$B$3),"")))</f>
        <v/>
      </c>
      <c r="C100" s="48" t="str" cm="1">
        <f t="array" aca="1" ref="C100" ca="1">_xlfn.SINGLE(IF(INDIRECT("MAOP!T$"&amp;174+'Statystyki dnia'!$B$3)="w","",IF(INDIRECT("MAOP!T$"&amp;174+'Statystyki dnia'!$B$3),INDIRECT("MAOP!T$"&amp;174+'Statystyki dnia'!$B$3),"")))</f>
        <v/>
      </c>
      <c r="D100" s="94" t="str">
        <f ca="1">IF(INDIRECT("MAOP!U$"&amp;174+'Statystyki dnia'!$B$3)="w","",IF(INDIRECT("MAOP!U$"&amp;174+'Statystyki dnia'!$B$3)&gt;0,MAOP!S$170,""))</f>
        <v/>
      </c>
      <c r="AC100" s="24"/>
      <c r="AD100" s="24"/>
      <c r="AE100" s="15"/>
      <c r="AF100" s="15"/>
      <c r="AG100" s="15"/>
    </row>
    <row r="101" spans="1:33">
      <c r="A101" s="14"/>
      <c r="B101" s="97" t="str" cm="1">
        <f t="array" aca="1" ref="B101" ca="1">_xlfn.SINGLE(IF(INDIRECT("MAOP!Y$"&amp;384+'Statystyki dnia'!$B$3)="w","",IF(INDIRECT("MAOP!Y$"&amp;384+'Statystyki dnia'!$B$3),INDIRECT("MAOP!Y$"&amp;384+'Statystyki dnia'!$B$3),"")))</f>
        <v/>
      </c>
      <c r="C101" s="48" t="str" cm="1">
        <f t="array" aca="1" ref="C101" ca="1">_xlfn.SINGLE(IF(INDIRECT("MAOP!Z$"&amp;384+'Statystyki dnia'!$B$3)="w","",IF(INDIRECT("MAOP!Z$"&amp;384+'Statystyki dnia'!$B$3),INDIRECT("MAOP!Z$"&amp;384+'Statystyki dnia'!$B$3),"")))</f>
        <v/>
      </c>
      <c r="D101" s="96" t="str">
        <f ca="1">IF(INDIRECT("MAOP!AA$"&amp;384+'Statystyki dnia'!$B$3)="w","",IF(INDIRECT("MAOP!AA$"&amp;384+'Statystyki dnia'!$B$3)&gt;0,MAOP!Y$380,""))</f>
        <v/>
      </c>
      <c r="AC101" s="24"/>
      <c r="AD101" s="24"/>
      <c r="AE101" s="15"/>
      <c r="AF101" s="15"/>
      <c r="AG101" s="15"/>
    </row>
    <row r="102" spans="1:33">
      <c r="A102" s="14"/>
      <c r="B102" s="70" t="str" cm="1">
        <f t="array" aca="1" ref="B102" ca="1">_xlfn.SINGLE(IF(INDIRECT("MAOP!AK$"&amp;342+'Statystyki dnia'!$B$3)="w","",IF(INDIRECT("MAOP!AK$"&amp;342+'Statystyki dnia'!$B$3),INDIRECT("MAOP!AK$"&amp;342+'Statystyki dnia'!$B$3),"")))</f>
        <v/>
      </c>
      <c r="C102" s="48" t="str" cm="1">
        <f t="array" aca="1" ref="C102" ca="1">_xlfn.SINGLE(IF(INDIRECT("MAOP!AL$"&amp;342+'Statystyki dnia'!$B$3)="w","",IF(INDIRECT("MAOP!AL$"&amp;342+'Statystyki dnia'!$B$3),INDIRECT("MAOP!AL$"&amp;342+'Statystyki dnia'!$B$3),"")))</f>
        <v/>
      </c>
      <c r="D102" s="96" t="str">
        <f ca="1">IF(INDIRECT("MAOP!AM$"&amp;342+'Statystyki dnia'!$B$3)="w","",IF(INDIRECT("MAOP!AM$"&amp;342+'Statystyki dnia'!$B$3)&gt;0,MAOP!AK$338,""))</f>
        <v/>
      </c>
      <c r="AC102" s="24"/>
      <c r="AD102" s="24"/>
      <c r="AE102" s="15"/>
      <c r="AF102" s="15"/>
      <c r="AG102" s="15"/>
    </row>
    <row r="103" spans="1:33">
      <c r="A103" s="14"/>
      <c r="B103" s="70" t="str" cm="1">
        <f t="array" aca="1" ref="B103" ca="1">_xlfn.SINGLE(IF(INDIRECT("MAOP!S$"&amp;132+'Statystyki dnia'!$B$3)="w","",IF(INDIRECT("MAOP!S$"&amp;132+'Statystyki dnia'!$B$3),INDIRECT("MAOP!S$"&amp;132+'Statystyki dnia'!$B$3),"")))</f>
        <v/>
      </c>
      <c r="C103" s="48" t="str" cm="1">
        <f t="array" aca="1" ref="C103" ca="1">_xlfn.SINGLE(IF(INDIRECT("MAOP!T$"&amp;132+'Statystyki dnia'!$B$3)="w","",IF(INDIRECT("MAOP!T$"&amp;132+'Statystyki dnia'!$B$3),INDIRECT("MAOP!T$"&amp;132+'Statystyki dnia'!$B$3),"")))</f>
        <v/>
      </c>
      <c r="D103" s="71" t="str">
        <f ca="1">IF(INDIRECT("MAOP!U$"&amp;132+'Statystyki dnia'!$B$3)="w","",IF(INDIRECT("MAOP!U$"&amp;132+'Statystyki dnia'!$B$3)&gt;0,MAOP!S$128,""))</f>
        <v/>
      </c>
      <c r="AC103" s="24"/>
      <c r="AD103" s="24"/>
      <c r="AE103" s="15"/>
      <c r="AF103" s="15"/>
      <c r="AG103" s="15"/>
    </row>
    <row r="104" spans="1:33">
      <c r="A104" s="14"/>
      <c r="B104" s="97" t="str" cm="1">
        <f t="array" aca="1" ref="B104" ca="1">_xlfn.SINGLE(IF(INDIRECT("MAOP!D$"&amp;216+'Statystyki dnia'!$B$3)="w","",IF(INDIRECT("MAOP!D$"&amp;216+'Statystyki dnia'!$B$3),INDIRECT("MAOP!D$"&amp;216+'Statystyki dnia'!$B$3),"")))</f>
        <v/>
      </c>
      <c r="C104" s="48" t="str" cm="1">
        <f t="array" aca="1" ref="C104" ca="1">_xlfn.SINGLE(IF(INDIRECT("MAOP!E$"&amp;216+'Statystyki dnia'!$B$3)="w","",IF(INDIRECT("MAOP!E$"&amp;216+'Statystyki dnia'!$B$3),INDIRECT("MAOP!E$"&amp;216+'Statystyki dnia'!$B$3),"")))</f>
        <v/>
      </c>
      <c r="D104" s="71" t="str">
        <f ca="1">IF(INDIRECT("MAOP!F$"&amp;216+'Statystyki dnia'!$B$3)="w","",IF(INDIRECT("MAOP!F$"&amp;216+'Statystyki dnia'!$B$3)&gt;0,MAOP!D$212,""))</f>
        <v/>
      </c>
      <c r="AC104" s="24"/>
      <c r="AD104" s="24"/>
      <c r="AE104" s="15"/>
      <c r="AF104" s="15"/>
      <c r="AG104" s="15"/>
    </row>
    <row r="105" spans="1:33">
      <c r="A105" s="14"/>
      <c r="B105" s="70" t="str" cm="1">
        <f t="array" aca="1" ref="B105" ca="1">_xlfn.SINGLE(IF(INDIRECT("MAOP!AK$"&amp;132+'Statystyki dnia'!$B$3)="w","",IF(INDIRECT("MAOP!AK$"&amp;132+'Statystyki dnia'!$B$3),INDIRECT("MAOP!AK$"&amp;132+'Statystyki dnia'!$B$3),"")))</f>
        <v/>
      </c>
      <c r="C105" s="48" t="str" cm="1">
        <f t="array" aca="1" ref="C105" ca="1">_xlfn.SINGLE(IF(INDIRECT("MAOP!AL$"&amp;132+'Statystyki dnia'!$B$3)="w","",IF(INDIRECT("MAOP!AL$"&amp;132+'Statystyki dnia'!$B$3),INDIRECT("MAOP!AL$"&amp;132+'Statystyki dnia'!$B$3),"")))</f>
        <v/>
      </c>
      <c r="D105" s="71" t="str">
        <f ca="1">IF(INDIRECT("MAOP!AM$"&amp;132+'Statystyki dnia'!$B$3)="w","",IF(INDIRECT("MAOP!AM$"&amp;132+'Statystyki dnia'!$B$3)&gt;0,MAOP!AK$128,""))</f>
        <v/>
      </c>
    </row>
    <row r="106" spans="1:33">
      <c r="A106" s="14"/>
      <c r="B106" s="70" t="str" cm="1">
        <f t="array" aca="1" ref="B106" ca="1">_xlfn.SINGLE(IF(INDIRECT("MAOP!V$"&amp;48+'Statystyki dnia'!$B$3)="w","",IF(INDIRECT("MAOP!V$"&amp;48+'Statystyki dnia'!$B$3),INDIRECT("MAOP!V$"&amp;48+'Statystyki dnia'!$B$3),"")))</f>
        <v/>
      </c>
      <c r="C106" s="48" t="str" cm="1">
        <f t="array" aca="1" ref="C106" ca="1">_xlfn.SINGLE(IF(INDIRECT("MAOP!W$"&amp;48+'Statystyki dnia'!$B$3)="w","",IF(INDIRECT("MAOP!W$"&amp;48+'Statystyki dnia'!$B$3),INDIRECT("MAOP!W$"&amp;48+'Statystyki dnia'!$B$3),"")))</f>
        <v/>
      </c>
      <c r="D106" s="71" t="str">
        <f ca="1">IF(INDIRECT("MAOP!X$"&amp;48+'Statystyki dnia'!$B$3)="w","",IF(INDIRECT("MAOP!X$"&amp;48+'Statystyki dnia'!$B$3)&gt;0,MAOP!V$44,""))</f>
        <v/>
      </c>
    </row>
    <row r="107" spans="1:33">
      <c r="A107" s="14"/>
      <c r="B107" s="70" t="str" cm="1">
        <f t="array" aca="1" ref="B107" ca="1">_xlfn.SINGLE(IF(INDIRECT("MAOP!AK$"&amp;258+'Statystyki dnia'!$B$3)="w","",IF(INDIRECT("MAOP!AK$"&amp;258+'Statystyki dnia'!$B$3),INDIRECT("MAOP!AK$"&amp;258+'Statystyki dnia'!$B$3),"")))</f>
        <v/>
      </c>
      <c r="C107" s="48" t="str" cm="1">
        <f t="array" aca="1" ref="C107" ca="1">_xlfn.SINGLE(IF(INDIRECT("MAOP!AL$"&amp;258+'Statystyki dnia'!$B$3)="w","",IF(INDIRECT("MAOP!AL$"&amp;258+'Statystyki dnia'!$B$3),INDIRECT("MAOP!AL$"&amp;258+'Statystyki dnia'!$B$3),"")))</f>
        <v/>
      </c>
      <c r="D107" s="96" t="str">
        <f ca="1">IF(INDIRECT("MAOP!AM$"&amp;258+'Statystyki dnia'!$B$3)="w","",IF(INDIRECT("MAOP!AM$"&amp;258+'Statystyki dnia'!$B$3)&gt;0,MAOP!AK$254,""))</f>
        <v/>
      </c>
    </row>
    <row r="108" spans="1:33">
      <c r="A108" s="14"/>
      <c r="B108" s="97" t="str" cm="1">
        <f t="array" aca="1" ref="B108" ca="1">_xlfn.SINGLE(IF(INDIRECT("MAOP!M$"&amp;426+'Statystyki dnia'!$B$3)="w","",IF(INDIRECT("MAOP!M$"&amp;426+'Statystyki dnia'!$B$3),INDIRECT("MAOP!M$"&amp;426+'Statystyki dnia'!$B$3),"")))</f>
        <v/>
      </c>
      <c r="C108" s="48" t="str" cm="1">
        <f t="array" aca="1" ref="C108" ca="1">_xlfn.SINGLE(IF(INDIRECT("MAOP!N$"&amp;426+'Statystyki dnia'!$B$3)="w","",IF(INDIRECT("MAOP!N$"&amp;426+'Statystyki dnia'!$B$3),INDIRECT("MAOP!N$"&amp;426+'Statystyki dnia'!$B$3),"")))</f>
        <v/>
      </c>
      <c r="D108" s="96" t="str">
        <f ca="1">IF(INDIRECT("MAOP!L$"&amp;426+'Statystyki dnia'!$B$3)="w","",IF(INDIRECT("MAOP!O$"&amp;426+'Statystyki dnia'!$B$3)&gt;0,MAOP!M$422,""))</f>
        <v/>
      </c>
    </row>
    <row r="109" spans="1:33">
      <c r="A109" s="14"/>
      <c r="B109" s="70" cm="1">
        <f t="array" aca="1" ref="B109" ca="1">_xlfn.SINGLE(IF(INDIRECT("MAOP!AB$"&amp;48+'Statystyki dnia'!$B$3)="w","",IF(INDIRECT("MAOP!AB$"&amp;48+'Statystyki dnia'!$B$3),INDIRECT("MAOP!AB$"&amp;48+'Statystyki dnia'!$B$3),"")))</f>
        <v>0.75</v>
      </c>
      <c r="C109" s="48" cm="1">
        <f t="array" aca="1" ref="C109" ca="1">_xlfn.SINGLE(IF(INDIRECT("MAOP!AC$"&amp;48+'Statystyki dnia'!$B$3)="w","",IF(INDIRECT("MAOP!AC$"&amp;48+'Statystyki dnia'!$B$3),INDIRECT("MAOP!AC$"&amp;48+'Statystyki dnia'!$B$3),"")))</f>
        <v>1.25</v>
      </c>
      <c r="D109" s="71" t="str">
        <f ca="1">IF(INDIRECT("MAOP!AD$"&amp;48+'Statystyki dnia'!$B$3)="w","",IF(INDIRECT("MAOP!AD$"&amp;48+'Statystyki dnia'!$B$3)&gt;0,MAOP!AB$44,""))</f>
        <v>JULIA ZIĘTARA</v>
      </c>
    </row>
    <row r="110" spans="1:33">
      <c r="A110" s="14"/>
      <c r="B110" s="70" t="str" cm="1">
        <f t="array" aca="1" ref="B110" ca="1">_xlfn.SINGLE(IF(INDIRECT("MAOP!AK$"&amp;48+'Statystyki dnia'!$B$3)="w","",IF(INDIRECT("MAOP!AK$"&amp;48+'Statystyki dnia'!$B$3),INDIRECT("MAOP!AK$"&amp;48+'Statystyki dnia'!$B$3),"")))</f>
        <v/>
      </c>
      <c r="C110" s="48" t="str" cm="1">
        <f t="array" aca="1" ref="C110" ca="1">_xlfn.SINGLE(IF(INDIRECT("MAOP!AL$"&amp;48+'Statystyki dnia'!$B$3)="w","",IF(INDIRECT("MAOP!AL$"&amp;48+'Statystyki dnia'!$B$3),INDIRECT("MAOP!AL$"&amp;48+'Statystyki dnia'!$B$3),"")))</f>
        <v/>
      </c>
      <c r="D110" s="71" t="str">
        <f ca="1">IF(INDIRECT("MAOP!AM$"&amp;48+'Statystyki dnia'!$B$3)="w","",IF(INDIRECT("MAOP!AM$"&amp;48+'Statystyki dnia'!$B$3)&gt;0,MAOP!AK$44,""))</f>
        <v/>
      </c>
    </row>
    <row r="111" spans="1:33">
      <c r="A111" s="14"/>
      <c r="B111" s="70" t="str" cm="1">
        <f t="array" aca="1" ref="B111" ca="1">_xlfn.SINGLE(IF(INDIRECT("MAOP!AE$"&amp;300+'Statystyki dnia'!$B$3)="w","",IF(INDIRECT("MAOP!AE$"&amp;300+'Statystyki dnia'!$B$3),INDIRECT("MAOP!AE$"&amp;300+'Statystyki dnia'!$B$3),"")))</f>
        <v/>
      </c>
      <c r="C111" s="48" t="str" cm="1">
        <f t="array" aca="1" ref="C111" ca="1">_xlfn.SINGLE(IF(INDIRECT("MAOP!AF$"&amp;300+'Statystyki dnia'!$B$3)="w","",IF(INDIRECT("MAOP!AF$"&amp;300+'Statystyki dnia'!$B$3),INDIRECT("MAOP!AF$"&amp;300+'Statystyki dnia'!$B$3),"")))</f>
        <v/>
      </c>
      <c r="D111" s="96" t="str">
        <f ca="1">IF(INDIRECT("MAOP!AG$"&amp;300+'Statystyki dnia'!$B$3)="w","",IF(INDIRECT("MAOP!AG$"&amp;300+'Statystyki dnia'!$B$3)&gt;0,MAOP!AE$296,""))</f>
        <v/>
      </c>
    </row>
    <row r="112" spans="1:33">
      <c r="A112" s="14"/>
      <c r="B112" s="97" t="str" cm="1">
        <f t="array" aca="1" ref="B112" ca="1">_xlfn.SINGLE(IF(INDIRECT("MAOP!D$"&amp;132+'Statystyki dnia'!$B$3)="w","",IF(INDIRECT("MAOP!D$"&amp;132+'Statystyki dnia'!$B$3),INDIRECT("MAOP!D$"&amp;132+'Statystyki dnia'!$B$3),"")))</f>
        <v/>
      </c>
      <c r="C112" s="48" t="str" cm="1">
        <f t="array" aca="1" ref="C112" ca="1">_xlfn.SINGLE(IF(INDIRECT("MAOP!E$"&amp;132+'Statystyki dnia'!$B$3)="w","",IF(INDIRECT("MAOP!E$"&amp;132+'Statystyki dnia'!$B$3),INDIRECT("MAOP!E$"&amp;132+'Statystyki dnia'!$B$3),"")))</f>
        <v/>
      </c>
      <c r="D112" s="71" t="str">
        <f ca="1">IF(INDIRECT("MAOP!F$"&amp;132+'Statystyki dnia'!$B$3)="w","",IF(INDIRECT("MAOP!F$"&amp;132+'Statystyki dnia'!$B$3)&gt;0,MAOP!D$128,""))</f>
        <v/>
      </c>
    </row>
    <row r="113" spans="1:4">
      <c r="A113" s="14"/>
      <c r="B113" s="70" t="str" cm="1">
        <f t="array" aca="1" ref="B113" ca="1">IF(INDIRECT("MAOP!Y$"&amp;174+'Statystyki dnia'!$B$3)="w","",IF(INDIRECT("MAOP!Y$"&amp;174+'Statystyki dnia'!$B$3),INDIRECT("MAOP!Y$"&amp;174+'Statystyki dnia'!$B$3),""))</f>
        <v/>
      </c>
      <c r="C113" s="48" t="str" cm="1">
        <f t="array" aca="1" ref="C113" ca="1">_xlfn.SINGLE(IF(INDIRECT("MAOP!Z$"&amp;174+'Statystyki dnia'!$B$3)="w","",IF(INDIRECT("MAOP!Z$"&amp;174+'Statystyki dnia'!$B$3),INDIRECT("MAOP!Z$"&amp;174+'Statystyki dnia'!$B$3),"")))</f>
        <v/>
      </c>
      <c r="D113" s="94" t="str">
        <f ca="1">IF(INDIRECT("MAOP!AA$"&amp;174+'Statystyki dnia'!$B$3)="w","",IF(INDIRECT("MAOP!AA$"&amp;174+'Statystyki dnia'!$B$3)&gt;0,MAOP!Y$170,""))</f>
        <v/>
      </c>
    </row>
    <row r="114" spans="1:4">
      <c r="A114" s="14"/>
      <c r="B114" s="70" t="str" cm="1">
        <f t="array" aca="1" ref="B114" ca="1">_xlfn.SINGLE(IF(INDIRECT("MAOP!M$"&amp;48+'Statystyki dnia'!$B$3)="w","",IF(INDIRECT("MAOP!M$"&amp;48+'Statystyki dnia'!$B$3),INDIRECT("MAOP!M$"&amp;48+'Statystyki dnia'!$B$3),"")))</f>
        <v/>
      </c>
      <c r="C114" s="48" t="str" cm="1">
        <f t="array" aca="1" ref="C114" ca="1">_xlfn.SINGLE(IF(INDIRECT("MAOP!N$"&amp;48+'Statystyki dnia'!$B$3)="w","",IF(INDIRECT("MAOP!N$"&amp;48+'Statystyki dnia'!$B$3),INDIRECT("MAOP!N$"&amp;48+'Statystyki dnia'!$B$3),"")))</f>
        <v/>
      </c>
      <c r="D114" s="71" t="str">
        <f ca="1">IF(INDIRECT("MAOP!O$"&amp;48+'Statystyki dnia'!$B$3)="w","",IF(INDIRECT("MAOP!O$"&amp;48+'Statystyki dnia'!$B$3)&gt;0,MAOP!M$44,""))</f>
        <v/>
      </c>
    </row>
    <row r="115" spans="1:4">
      <c r="A115" s="14"/>
      <c r="B115" s="70" t="str" cm="1">
        <f t="array" aca="1" ref="B115" ca="1">_xlfn.SINGLE(IF(INDIRECT("MAOP!M$"&amp;342+'Statystyki dnia'!$B$3)="w","",IF(INDIRECT("MAOP!M$"&amp;342+'Statystyki dnia'!$B$3),INDIRECT("MAOP!M$"&amp;342+'Statystyki dnia'!$B$3),"")))</f>
        <v/>
      </c>
      <c r="C115" s="48" t="str" cm="1">
        <f t="array" aca="1" ref="C115" ca="1">_xlfn.SINGLE(IF(INDIRECT("MAOP!N$"&amp;342+'Statystyki dnia'!$B$3)="w","",IF(INDIRECT("MAOP!N$"&amp;342+'Statystyki dnia'!$B$3),INDIRECT("MAOP!N$"&amp;342+'Statystyki dnia'!$B$3),"")))</f>
        <v/>
      </c>
      <c r="D115" s="96" t="str">
        <f ca="1">IF(INDIRECT("MAOP!O$"&amp;342+'Statystyki dnia'!$B$3)="w","",IF(INDIRECT("MAOP!O$"&amp;342+'Statystyki dnia'!$B$3)&gt;0,MAOP!M$338,""))</f>
        <v/>
      </c>
    </row>
    <row r="116" spans="1:4">
      <c r="A116" s="15"/>
      <c r="B116" s="70" t="str" cm="1">
        <f t="array" aca="1" ref="B116" ca="1">_xlfn.SINGLE(IF(INDIRECT("MAOP!V$"&amp;174+'Statystyki dnia'!$B$3)="w","",IF(INDIRECT("MAOP!V$"&amp;174+'Statystyki dnia'!$B$3),INDIRECT("MAOP!V$"&amp;174+'Statystyki dnia'!$B$3),"")))</f>
        <v/>
      </c>
      <c r="C116" s="48" t="str" cm="1">
        <f t="array" aca="1" ref="C116" ca="1">_xlfn.SINGLE(IF(INDIRECT("MAOP!W$"&amp;174+'Statystyki dnia'!$B$3)="w","",IF(INDIRECT("MAOP!W$"&amp;174+'Statystyki dnia'!$B$3),INDIRECT("MAOP!W$"&amp;174+'Statystyki dnia'!$B$3),"")))</f>
        <v/>
      </c>
      <c r="D116" s="94" t="str">
        <f ca="1">IF(INDIRECT("MAOP!X$"&amp;174+'Statystyki dnia'!$B$3)="w","",IF(INDIRECT("MAOP!X$"&amp;174+'Statystyki dnia'!$B$3)&gt;0,MAOP!V$170,""))</f>
        <v/>
      </c>
    </row>
    <row r="117" spans="1:4">
      <c r="B117" s="70" t="str" cm="1">
        <f t="array" aca="1" ref="B117" ca="1">_xlfn.SINGLE(IF(INDIRECT("MAOP!AH$"&amp;132+'Statystyki dnia'!$B$3)="w","",IF(INDIRECT("MAOP!AH$"&amp;132+'Statystyki dnia'!$B$3),INDIRECT("MAOP!AH$"&amp;132+'Statystyki dnia'!$B$3),"")))</f>
        <v/>
      </c>
      <c r="C117" s="48" t="str" cm="1">
        <f t="array" aca="1" ref="C117" ca="1">_xlfn.SINGLE(IF(INDIRECT("MAOP!AI$"&amp;132+'Statystyki dnia'!$B$3)="w","",IF(INDIRECT("MAOP!AI$"&amp;132+'Statystyki dnia'!$B$3),INDIRECT("MAOP!AI$"&amp;132+'Statystyki dnia'!$B$3),"")))</f>
        <v/>
      </c>
      <c r="D117" s="71" t="str">
        <f ca="1">IF(INDIRECT("MAOP!AJ$"&amp;132+'Statystyki dnia'!$B$3)="w","",IF(INDIRECT("MAOP!AJ$"&amp;132+'Statystyki dnia'!$B$3)&gt;0,MAOP!AH$128,""))</f>
        <v/>
      </c>
    </row>
    <row r="118" spans="1:4">
      <c r="B118" s="70" t="str" cm="1">
        <f t="array" aca="1" ref="B118" ca="1">_xlfn.SINGLE(IF(INDIRECT("MAOP!M$"&amp;300+'Statystyki dnia'!$B$3)="w","",IF(INDIRECT("MAOP!M$"&amp;300+'Statystyki dnia'!$B$3),INDIRECT("MAOP!M$"&amp;300+'Statystyki dnia'!$B$3),"")))</f>
        <v/>
      </c>
      <c r="C118" s="48" t="str" cm="1">
        <f t="array" aca="1" ref="C118" ca="1">_xlfn.SINGLE(IF(INDIRECT("MAOP!N$"&amp;300+'Statystyki dnia'!$B$3)="w","",IF(INDIRECT("MAOP!N$"&amp;300+'Statystyki dnia'!$B$3),INDIRECT("MAOP!N$"&amp;300+'Statystyki dnia'!$B$3),"")))</f>
        <v/>
      </c>
      <c r="D118" s="95" t="str">
        <f ca="1">IF(INDIRECT("MAOP!O$"&amp;300+'Statystyki dnia'!$B$3)="w","",IF(INDIRECT("MAOP!O$"&amp;300+'Statystyki dnia'!$B$3)&gt;0,MAOP!M$296,""))</f>
        <v/>
      </c>
    </row>
    <row r="119" spans="1:4">
      <c r="B119" s="70" t="str" cm="1">
        <f t="array" aca="1" ref="B119" ca="1">_xlfn.SINGLE(IF(INDIRECT("MAOP!Y$"&amp;342+'Statystyki dnia'!$B$3)="w","",IF(INDIRECT("MAOP!Y$"&amp;342+'Statystyki dnia'!$B$3),INDIRECT("MAOP!Y$"&amp;342+'Statystyki dnia'!$B$3),"")))</f>
        <v/>
      </c>
      <c r="C119" s="48" t="str" cm="1">
        <f t="array" aca="1" ref="C119" ca="1">_xlfn.SINGLE(IF(INDIRECT("MAOP!Z$"&amp;342+'Statystyki dnia'!$B$3)="w","",IF(INDIRECT("MAOP!Z$"&amp;342+'Statystyki dnia'!$B$3),INDIRECT("MAOP!Z$"&amp;342+'Statystyki dnia'!$B$3),"")))</f>
        <v/>
      </c>
      <c r="D119" s="96" t="str">
        <f ca="1">IF(INDIRECT("MAOP!AA$"&amp;342+'Statystyki dnia'!$B$3)="w","",IF(INDIRECT("MAOP!AA$"&amp;342+'Statystyki dnia'!$B$3)&gt;0,MAOP!Y$338,""))</f>
        <v/>
      </c>
    </row>
    <row r="120" spans="1:4">
      <c r="B120" s="97" t="str" cm="1">
        <f t="array" aca="1" ref="B120" ca="1">_xlfn.SINGLE(IF(INDIRECT("MAOP!D$"&amp;300+'Statystyki dnia'!$B$3)="w","",IF(INDIRECT("MAOP!D$"&amp;300+'Statystyki dnia'!$B$3),INDIRECT("MAOP!D$"&amp;300+'Statystyki dnia'!$B$3),"")))</f>
        <v/>
      </c>
      <c r="C120" s="48" t="str" cm="1">
        <f t="array" aca="1" ref="C120" ca="1">_xlfn.SINGLE(IF(INDIRECT("MAOP!E$"&amp;300+'Statystyki dnia'!$B$3)="w","",IF(INDIRECT("MAOP!E$"&amp;300+'Statystyki dnia'!$B$3),INDIRECT("MAOP!E$"&amp;300+'Statystyki dnia'!$B$3),"")))</f>
        <v/>
      </c>
      <c r="D120" s="95" t="str">
        <f ca="1">IF(INDIRECT("MAOP!F$"&amp;300+'Statystyki dnia'!$B$3)="w","",IF(INDIRECT("MAOP!F$"&amp;300+'Statystyki dnia'!$B$3)&gt;0,MAOP!D$296,""))</f>
        <v/>
      </c>
    </row>
    <row r="121" spans="1:4">
      <c r="B121" s="70" t="str" cm="1">
        <f t="array" aca="1" ref="B121" ca="1">_xlfn.SINGLE(IF(INDIRECT("MAOP!P$"&amp;174+'Statystyki dnia'!$B$3)="w","",IF(INDIRECT("MAOP!P$"&amp;174+'Statystyki dnia'!$B$3),INDIRECT("MAOP!P$"&amp;174+'Statystyki dnia'!$B$3),"")))</f>
        <v/>
      </c>
      <c r="C121" s="48" t="str" cm="1">
        <f t="array" aca="1" ref="C121" ca="1">_xlfn.SINGLE(IF(INDIRECT("MAOP!Q$"&amp;174+'Statystyki dnia'!$B$3)="w","",IF(INDIRECT("MAOP!Q$"&amp;174+'Statystyki dnia'!$B$3),INDIRECT("MAOP!Q$"&amp;174+'Statystyki dnia'!$B$3),"")))</f>
        <v/>
      </c>
      <c r="D121" s="94" t="str">
        <f ca="1">IF(INDIRECT("MAOP!R$"&amp;174+'Statystyki dnia'!$B$3)="w","",IF(INDIRECT("MAOP!R$"&amp;174+'Statystyki dnia'!$B$3)&gt;0,MAOP!P$170,""))</f>
        <v/>
      </c>
    </row>
    <row r="122" spans="1:4">
      <c r="B122" s="97" t="str" cm="1">
        <f t="array" aca="1" ref="B122" ca="1">_xlfn.SINGLE(IF(INDIRECT("MAOP!D$"&amp;384+'Statystyki dnia'!$B$3)="w","",IF(INDIRECT("MAOP!D$"&amp;384+'Statystyki dnia'!$B$3),INDIRECT("MAOP!D$"&amp;384+'Statystyki dnia'!$B$3),"")))</f>
        <v/>
      </c>
      <c r="C122" s="48" t="str" cm="1">
        <f t="array" aca="1" ref="C122" ca="1">_xlfn.SINGLE(IF(INDIRECT("MAOP!E$"&amp;384+'Statystyki dnia'!$B$3)="w","",IF(INDIRECT("MAOP!E$"&amp;384+'Statystyki dnia'!$B$3),INDIRECT("MAOP!E$"&amp;384+'Statystyki dnia'!$B$3),"")))</f>
        <v/>
      </c>
      <c r="D122" s="96" t="str">
        <f ca="1">IF(INDIRECT("MAOP!F$"&amp;384+'Statystyki dnia'!$B$3)="w","",IF(INDIRECT("MAOP!F$"&amp;384+'Statystyki dnia'!$B$3)&gt;0,MAOP!D$380,""))</f>
        <v/>
      </c>
    </row>
    <row r="123" spans="1:4">
      <c r="B123" s="97" t="str" cm="1">
        <f t="array" aca="1" ref="B123" ca="1">_xlfn.SINGLE(IF(INDIRECT("MAOP!S$"&amp;426+'Statystyki dnia'!$B$3)="w","",IF(INDIRECT("MAOP!S$"&amp;426+'Statystyki dnia'!$B$3),INDIRECT("MAOP!S$"&amp;426+'Statystyki dnia'!$B$3),"")))</f>
        <v/>
      </c>
      <c r="C123" s="48" t="str" cm="1">
        <f t="array" aca="1" ref="C123" ca="1">_xlfn.SINGLE(IF(INDIRECT("MAOP!T$"&amp;426+'Statystyki dnia'!$B$3)="w","",IF(INDIRECT("MAOP!T$"&amp;426+'Statystyki dnia'!$B$3),INDIRECT("MAOP!T$"&amp;426+'Statystyki dnia'!$B$3),"")))</f>
        <v/>
      </c>
      <c r="D123" s="96" t="str">
        <f ca="1">IF(INDIRECT("MAOP!U$"&amp;426+'Statystyki dnia'!$B$3)="w","",IF(INDIRECT("MAOP!U$"&amp;426+'Statystyki dnia'!$B$3)&gt;0,MAOP!S$422,""))</f>
        <v/>
      </c>
    </row>
    <row r="124" spans="1:4">
      <c r="A124" s="33"/>
      <c r="B124" s="69" t="str" cm="1">
        <f t="array" aca="1" ref="B124" ca="1">_xlfn.SINGLE(IF(INDIRECT("MAOP!V$"&amp;90+'Statystyki dnia'!$B$3)="w","",IF(INDIRECT("MAOP!V$"&amp;90+'Statystyki dnia'!$B$3),INDIRECT("MAOP!V$"&amp;90+'Statystyki dnia'!$B$3),"")))</f>
        <v/>
      </c>
      <c r="C124" s="49" t="str" cm="1">
        <f t="array" aca="1" ref="C124" ca="1">_xlfn.SINGLE(IF(INDIRECT("MAOP!W$"&amp;90+'Statystyki dnia'!$B$3)="w","",IF(INDIRECT("MAOP!W$"&amp;90+'Statystyki dnia'!$B$3),INDIRECT("MAOP!W$"&amp;90+'Statystyki dnia'!$B$3),"")))</f>
        <v/>
      </c>
      <c r="D124" s="95" t="str">
        <f ca="1">IF(INDIRECT("MAOP!X$"&amp;90+'Statystyki dnia'!$B$3)="w","",IF(INDIRECT("MAOP!X$"&amp;90+'Statystyki dnia'!$B$3)&gt;0,MAOP!V$86,""))</f>
        <v/>
      </c>
    </row>
    <row r="125" spans="1:4">
      <c r="B125" s="97" t="str" cm="1">
        <f t="array" aca="1" ref="B125" ca="1">_xlfn.SINGLE(IF(INDIRECT("MAOP!M$"&amp;384+'Statystyki dnia'!$B$3)="w","",IF(INDIRECT("MAOP!M$"&amp;384+'Statystyki dnia'!$B$3),INDIRECT("MAOP!M$"&amp;384+'Statystyki dnia'!$B$3),"")))</f>
        <v/>
      </c>
      <c r="C125" s="48" t="str" cm="1">
        <f t="array" aca="1" ref="C125" ca="1">_xlfn.SINGLE(IF(INDIRECT("MAOP!N$"&amp;384+'Statystyki dnia'!$B$3)="w","",IF(INDIRECT("MAOP!N$"&amp;384+'Statystyki dnia'!$B$3),INDIRECT("MAOP!N$"&amp;384+'Statystyki dnia'!$B$3),"")))</f>
        <v/>
      </c>
      <c r="D125" s="96" t="str">
        <f ca="1">IF(INDIRECT("MAOP!O$"&amp;384+'Statystyki dnia'!$B$3)="w","",IF(INDIRECT("MAOP!O$"&amp;384+'Statystyki dnia'!$B$3)&gt;0,MAOP!M$380,""))</f>
        <v/>
      </c>
    </row>
    <row r="126" spans="1:4">
      <c r="B126" s="70" t="str" cm="1">
        <f t="array" aca="1" ref="B126" ca="1">_xlfn.SINGLE(IF(INDIRECT("MAOP!AH$"&amp;300+'Statystyki dnia'!$B$3)="w","",IF(INDIRECT("MAOP!AH$"&amp;300+'Statystyki dnia'!$B$3),INDIRECT("MAOP!AH$"&amp;300+'Statystyki dnia'!$B$3),"")))</f>
        <v/>
      </c>
      <c r="C126" s="48" t="str" cm="1">
        <f t="array" aca="1" ref="C126" ca="1">_xlfn.SINGLE(IF(INDIRECT("MAOP!AI$"&amp;300+'Statystyki dnia'!$B$3)="w","",IF(INDIRECT("MAOP!AI$"&amp;300+'Statystyki dnia'!$B$3),INDIRECT("MAOP!AI$"&amp;300+'Statystyki dnia'!$B$3),"")))</f>
        <v/>
      </c>
      <c r="D126" s="96" t="str">
        <f ca="1">IF(INDIRECT("MAOP!AJ$"&amp;300+'Statystyki dnia'!$B$3)="w","",IF(INDIRECT("MAOP!AJ$"&amp;300+'Statystyki dnia'!$B$3)&gt;0,MAOP!AH$296,""))</f>
        <v/>
      </c>
    </row>
    <row r="127" spans="1:4">
      <c r="B127" s="70" t="str" cm="1">
        <f t="array" aca="1" ref="B127" ca="1">_xlfn.SINGLE(IF(INDIRECT("MAOP!J$"&amp;258+'Statystyki dnia'!$B$3)="w","",IF(INDIRECT("MAOP!J$"&amp;258+'Statystyki dnia'!$B$3),INDIRECT("MAOP!J$"&amp;258+'Statystyki dnia'!$B$3),"")))</f>
        <v/>
      </c>
      <c r="C127" s="48" t="str" cm="1">
        <f t="array" aca="1" ref="C127" ca="1">_xlfn.SINGLE(IF(INDIRECT("MAOP!K$"&amp;258+'Statystyki dnia'!$B$3)="w","",IF(INDIRECT("MAOP!K$"&amp;258+'Statystyki dnia'!$B$3),INDIRECT("MAOP!K$"&amp;258+'Statystyki dnia'!$B$3),"")))</f>
        <v/>
      </c>
      <c r="D127" s="95" t="str">
        <f ca="1">IF(INDIRECT("MAOP!L$"&amp;258+'Statystyki dnia'!$B$3)="w","",IF(INDIRECT("MAOP!L$"&amp;258+'Statystyki dnia'!$B$3)&gt;0,MAOP!J$254,""))</f>
        <v/>
      </c>
    </row>
    <row r="128" spans="1:4">
      <c r="B128" s="70" t="str" cm="1">
        <f t="array" aca="1" ref="B128" ca="1">_xlfn.SINGLE(IF(INDIRECT("MAOP!AH$"&amp;258+'Statystyki dnia'!$B$3)="w","",IF(INDIRECT("MAOP!AH$"&amp;258+'Statystyki dnia'!$B$3),INDIRECT("MAOP!AH$"&amp;258+'Statystyki dnia'!$B$3),"")))</f>
        <v/>
      </c>
      <c r="C128" s="48" t="str" cm="1">
        <f t="array" aca="1" ref="C128" ca="1">_xlfn.SINGLE(IF(INDIRECT("MAOP!AI$"&amp;258+'Statystyki dnia'!$B$3)="w","",IF(INDIRECT("MAOP!AI$"&amp;258+'Statystyki dnia'!$B$3),INDIRECT("MAOP!AI$"&amp;258+'Statystyki dnia'!$B$3),"")))</f>
        <v/>
      </c>
      <c r="D128" s="96" t="str">
        <f ca="1">IF(INDIRECT("MAOP!AJ$"&amp;258+'Statystyki dnia'!$B$3)="w","",IF(INDIRECT("MAOP!AJ$"&amp;258+'Statystyki dnia'!$B$3)&gt;0,MAOP!AH$254,""))</f>
        <v/>
      </c>
    </row>
    <row r="129" spans="1:4">
      <c r="B129" s="69" t="str" cm="1">
        <f t="array" aca="1" ref="B129" ca="1">_xlfn.SINGLE(IF(INDIRECT("MAOP!G$"&amp;174+'Statystyki dnia'!$B$3)="w","",IF(INDIRECT("MAOP!G$"&amp;174+'Statystyki dnia'!$B$3),INDIRECT("MAOP!G$"&amp;174+'Statystyki dnia'!$B$3),"")))</f>
        <v/>
      </c>
      <c r="C129" s="49" t="str" cm="1">
        <f t="array" aca="1" ref="C129" ca="1">_xlfn.SINGLE(IF(INDIRECT("MAOP!H$"&amp;174+'Statystyki dnia'!$B$3)="w","",IF(INDIRECT("MAOP!H$"&amp;174+'Statystyki dnia'!$B$3),INDIRECT("MAOP!H$"&amp;174+'Statystyki dnia'!$B$3),"")))</f>
        <v/>
      </c>
      <c r="D129" s="95" t="str">
        <f ca="1">IF(INDIRECT("MAOP!I$"&amp;174+'Statystyki dnia'!$B$3)="w","",IF(INDIRECT("MAOP!I$"&amp;174+'Statystyki dnia'!$B$3)&gt;0,MAOP!G$170,""))</f>
        <v/>
      </c>
    </row>
    <row r="130" spans="1:4">
      <c r="B130" s="69" t="str" cm="1">
        <f t="array" aca="1" ref="B130" ca="1">_xlfn.SINGLE(IF(INDIRECT("MAOP!J$"&amp;132+'Statystyki dnia'!$B$3)="w","",IF(INDIRECT("MAOP!J$"&amp;132+'Statystyki dnia'!$B$3),INDIRECT("MAOP!J$"&amp;132+'Statystyki dnia'!$B$3),"")))</f>
        <v/>
      </c>
      <c r="C130" s="49" t="str" cm="1">
        <f t="array" aca="1" ref="C130" ca="1">_xlfn.SINGLE(IF(INDIRECT("MAOP!K$"&amp;132+'Statystyki dnia'!$B$3)="w","",IF(INDIRECT("MAOP!K$"&amp;132+'Statystyki dnia'!$B$3),INDIRECT("MAOP!K$"&amp;132+'Statystyki dnia'!$B$3),"")))</f>
        <v/>
      </c>
      <c r="D130" s="95" t="str">
        <f ca="1">IF(INDIRECT("MAOP!L$"&amp;132+'Statystyki dnia'!$B$3)="w","",IF(INDIRECT("MAOP!L$"&amp;132+'Statystyki dnia'!$B$3)&gt;0,MAOP!J$128,""))</f>
        <v/>
      </c>
    </row>
    <row r="131" spans="1:4">
      <c r="B131" s="70" t="str" cm="1">
        <f t="array" aca="1" ref="B131" ca="1">_xlfn.SINGLE(IF(INDIRECT("MAOP!AB$"&amp;300+'Statystyki dnia'!$B$3)="w","",IF(INDIRECT("MAOP!AB$"&amp;300+'Statystyki dnia'!$B$3),INDIRECT("MAOP!AB$"&amp;300+'Statystyki dnia'!$B$3),"")))</f>
        <v/>
      </c>
      <c r="C131" s="48" t="str" cm="1">
        <f t="array" aca="1" ref="C131" ca="1">_xlfn.SINGLE(IF(INDIRECT("MAOP!AC$"&amp;300+'Statystyki dnia'!$B$3)="w","",IF(INDIRECT("MAOP!AC$"&amp;300+'Statystyki dnia'!$B$3),INDIRECT("MAOP!AC$"&amp;300+'Statystyki dnia'!$B$3),"")))</f>
        <v/>
      </c>
      <c r="D131" s="96" t="str">
        <f ca="1">IF(INDIRECT("MAOP!AD$"&amp;300+'Statystyki dnia'!$B$3)="w","",IF(INDIRECT("MAOP!AD$"&amp;300+'Statystyki dnia'!$B$3)&gt;0,MAOP!AB$296,""))</f>
        <v/>
      </c>
    </row>
    <row r="132" spans="1:4">
      <c r="B132" s="70" t="str" cm="1">
        <f t="array" aca="1" ref="B132" ca="1">_xlfn.SINGLE(IF(INDIRECT("MAOP!AB$"&amp;342+'Statystyki dnia'!$B$3)="w","",IF(INDIRECT("MAOP!AB$"&amp;342+'Statystyki dnia'!$B$3),INDIRECT("MAOP!AB$"&amp;342+'Statystyki dnia'!$B$3),"")))</f>
        <v/>
      </c>
      <c r="C132" s="48" t="str" cm="1">
        <f t="array" aca="1" ref="C132" ca="1">_xlfn.SINGLE(IF(INDIRECT("MAOP!AC$"&amp;342+'Statystyki dnia'!$B$3)="w","",IF(INDIRECT("MAOP!AC$"&amp;342+'Statystyki dnia'!$B$3),INDIRECT("MAOP!AC$"&amp;342+'Statystyki dnia'!$B$3),"")))</f>
        <v/>
      </c>
      <c r="D132" s="96" t="str">
        <f ca="1">IF(INDIRECT("MAOP!AD$"&amp;342+'Statystyki dnia'!$B$3)="w","",IF(INDIRECT("MAOP!AD$"&amp;342+'Statystyki dnia'!$B$3)&gt;0,MAOP!AB$338,""))</f>
        <v/>
      </c>
    </row>
    <row r="133" spans="1:4">
      <c r="B133" s="70" t="str" cm="1">
        <f t="array" aca="1" ref="B133" ca="1">_xlfn.SINGLE(IF(INDIRECT("MAOP!M$"&amp;216+'Statystyki dnia'!$B$3)="w","",IF(INDIRECT("MAOP!M$"&amp;216+'Statystyki dnia'!$B$3),INDIRECT("MAOP!M$"&amp;216+'Statystyki dnia'!$B$3),"")))</f>
        <v/>
      </c>
      <c r="C133" s="48" t="str" cm="1">
        <f t="array" aca="1" ref="C133" ca="1">_xlfn.SINGLE(IF(INDIRECT("MAOP!N$"&amp;216+'Statystyki dnia'!$B$3)="w","",IF(INDIRECT("MAOP!N$"&amp;216+'Statystyki dnia'!$B$3),INDIRECT("MAOP!N$"&amp;216+'Statystyki dnia'!$B$3),"")))</f>
        <v/>
      </c>
      <c r="D133" s="71" t="str">
        <f ca="1">IF(INDIRECT("MAOP!O$"&amp;216+'Statystyki dnia'!$B$3)="w","",IF(INDIRECT("MAOP!O$"&amp;216+'Statystyki dnia'!$B$3)&gt;0,MAOP!M$212,""))</f>
        <v/>
      </c>
    </row>
    <row r="134" spans="1:4">
      <c r="B134" s="70" t="str" cm="1">
        <f t="array" aca="1" ref="B134" ca="1">_xlfn.SINGLE(IF(INDIRECT("MAOP!G$"&amp;216+'Statystyki dnia'!$B$3)="w","",IF(INDIRECT("MAOP!G$"&amp;216+'Statystyki dnia'!$B$3),INDIRECT("MAOP!G$"&amp;216+'Statystyki dnia'!$B$3),"")))</f>
        <v/>
      </c>
      <c r="C134" s="48" t="str" cm="1">
        <f t="array" aca="1" ref="C134" ca="1">_xlfn.SINGLE(IF(INDIRECT("MAOP!H$"&amp;216+'Statystyki dnia'!$B$3)="w","",IF(INDIRECT("MAOP!H$"&amp;216+'Statystyki dnia'!$B$3),INDIRECT("MAOP!H$"&amp;216+'Statystyki dnia'!$B$3),"")))</f>
        <v/>
      </c>
      <c r="D134" s="71" t="str">
        <f ca="1">IF(INDIRECT("MAOP!I$"&amp;216+'Statystyki dnia'!$B$3)="w","",IF(INDIRECT("MAOP!I$"&amp;216+'Statystyki dnia'!$B$3)&gt;0,MAOP!G$212,""))</f>
        <v/>
      </c>
    </row>
    <row r="135" spans="1:4">
      <c r="B135" s="70" t="str" cm="1">
        <f t="array" aca="1" ref="B135" ca="1">_xlfn.SINGLE(IF(INDIRECT("MAOP!AH$"&amp;174+'Statystyki dnia'!$B$3)="w","",IF(INDIRECT("MAOP!AH$"&amp;174+'Statystyki dnia'!$B$3),INDIRECT("MAOP!AH$"&amp;174+'Statystyki dnia'!$B$3),"")))</f>
        <v/>
      </c>
      <c r="C135" s="48" t="str" cm="1">
        <f t="array" aca="1" ref="C135" ca="1">_xlfn.SINGLE(IF(INDIRECT("MAOP!AI$"&amp;174+'Statystyki dnia'!$B$3)="w","",IF(INDIRECT("MAOP!AI$"&amp;174+'Statystyki dnia'!$B$3),INDIRECT("MAOP!AI$"&amp;174+'Statystyki dnia'!$B$3),"")))</f>
        <v/>
      </c>
      <c r="D135" s="94" t="str">
        <f ca="1">IF(INDIRECT("MAOP!AJ$"&amp;174+'Statystyki dnia'!$B$3)="w","",IF(INDIRECT("MAOP!AJ$"&amp;174+'Statystyki dnia'!$B$3)&gt;0,MAOP!AH$170,""))</f>
        <v/>
      </c>
    </row>
    <row r="136" spans="1:4">
      <c r="B136" s="97" t="str" cm="1">
        <f t="array" aca="1" ref="B136" ca="1">_xlfn.SINGLE(IF(INDIRECT("MAOP!S$"&amp;384+'Statystyki dnia'!$B$3)="w","",IF(INDIRECT("MAOP!S$"&amp;384+'Statystyki dnia'!$B$3),INDIRECT("MAOP!S$"&amp;384+'Statystyki dnia'!$B$3),"")))</f>
        <v/>
      </c>
      <c r="C136" s="48" t="str" cm="1">
        <f t="array" aca="1" ref="C136" ca="1">_xlfn.SINGLE(IF(INDIRECT("MAOP!T$"&amp;384+'Statystyki dnia'!$B$3)="w","",IF(INDIRECT("MAOP!T$"&amp;384+'Statystyki dnia'!$B$3),INDIRECT("MAOP!T$"&amp;384+'Statystyki dnia'!$B$3),"")))</f>
        <v/>
      </c>
      <c r="D136" s="96" t="str">
        <f ca="1">IF(INDIRECT("MAOP!U$"&amp;384+'Statystyki dnia'!$B$3)="w","",IF(INDIRECT("MAOP!U$"&amp;384+'Statystyki dnia'!$B$3)&gt;0,MAOP!S$380,""))</f>
        <v/>
      </c>
    </row>
    <row r="137" spans="1:4">
      <c r="A137" s="101"/>
      <c r="B137" s="97"/>
      <c r="C137" s="48"/>
      <c r="D137" s="96"/>
    </row>
    <row r="138" spans="1:4" ht="15" thickBot="1">
      <c r="B138" s="99"/>
      <c r="C138" s="100"/>
      <c r="D138" s="102"/>
    </row>
    <row r="139" spans="1:4">
      <c r="B139" s="13"/>
      <c r="C139" s="13"/>
      <c r="D139" s="24">
        <v>33</v>
      </c>
    </row>
    <row r="140" spans="1:4">
      <c r="B140" s="13"/>
      <c r="C140" s="13"/>
      <c r="D140" s="24">
        <v>34</v>
      </c>
    </row>
    <row r="141" spans="1:4">
      <c r="B141" s="13"/>
      <c r="C141" s="13"/>
      <c r="D141" s="24">
        <v>35</v>
      </c>
    </row>
    <row r="142" spans="1:4">
      <c r="B142" s="13"/>
      <c r="C142" s="13"/>
      <c r="D142" s="24">
        <v>36</v>
      </c>
    </row>
    <row r="143" spans="1:4">
      <c r="B143" s="13"/>
      <c r="C143" s="13"/>
      <c r="D143" s="24">
        <v>37</v>
      </c>
    </row>
    <row r="144" spans="1:4">
      <c r="B144" s="13"/>
      <c r="C144" s="13"/>
      <c r="D144" s="24">
        <v>38</v>
      </c>
    </row>
    <row r="145" spans="2:48">
      <c r="B145" s="13"/>
      <c r="C145" s="13"/>
      <c r="D145" s="24">
        <v>39</v>
      </c>
    </row>
    <row r="146" spans="2:48">
      <c r="B146" s="13"/>
      <c r="C146" s="13"/>
      <c r="D146" s="24">
        <v>40</v>
      </c>
    </row>
    <row r="147" spans="2:48">
      <c r="B147" s="13"/>
      <c r="C147" s="13"/>
      <c r="D147" s="24">
        <v>41</v>
      </c>
    </row>
    <row r="148" spans="2:48">
      <c r="B148" s="13"/>
      <c r="C148" s="13"/>
      <c r="D148" s="24">
        <v>42</v>
      </c>
    </row>
    <row r="149" spans="2:48">
      <c r="B149" s="13"/>
      <c r="C149" s="13"/>
      <c r="D149" s="24">
        <v>43</v>
      </c>
      <c r="E149" s="105"/>
      <c r="F149" s="105"/>
      <c r="G149" s="105"/>
      <c r="H149" s="105"/>
      <c r="I149" s="105"/>
      <c r="J149" s="105"/>
      <c r="K149" s="105"/>
      <c r="L149" s="105"/>
      <c r="M149" s="105"/>
      <c r="N149" s="105"/>
      <c r="O149" s="105"/>
      <c r="P149" s="105"/>
      <c r="Q149" s="105"/>
      <c r="R149" s="105"/>
      <c r="S149" s="105"/>
      <c r="T149" s="105"/>
      <c r="U149" s="105"/>
      <c r="V149" s="105"/>
      <c r="W149" s="105"/>
      <c r="X149" s="105"/>
      <c r="Y149" s="105"/>
      <c r="Z149" s="105"/>
      <c r="AA149" s="105"/>
      <c r="AB149" s="105"/>
      <c r="AC149" s="105"/>
    </row>
    <row r="150" spans="2:48">
      <c r="B150" s="13"/>
      <c r="C150" s="13"/>
      <c r="D150" s="24">
        <v>44</v>
      </c>
      <c r="E150" s="104">
        <v>4.1666666666666664E-2</v>
      </c>
      <c r="F150" s="104">
        <v>8.3333333333333329E-2</v>
      </c>
      <c r="G150" s="104">
        <v>0.125</v>
      </c>
      <c r="H150" s="104">
        <v>0.16666666666666666</v>
      </c>
      <c r="I150" s="104">
        <v>0.20833333333333334</v>
      </c>
      <c r="J150" s="104">
        <v>0.25</v>
      </c>
      <c r="K150" s="104">
        <v>0.29166666666666669</v>
      </c>
      <c r="L150" s="104">
        <v>0.33333333333333331</v>
      </c>
      <c r="M150" s="104">
        <v>0.375</v>
      </c>
      <c r="N150" s="104">
        <v>0.41666666666666669</v>
      </c>
      <c r="O150" s="104">
        <v>0.45833333333333331</v>
      </c>
      <c r="P150" s="104">
        <v>0.5</v>
      </c>
      <c r="Q150" s="104">
        <v>0.54166666666666663</v>
      </c>
      <c r="R150" s="104">
        <v>0.58333333333333337</v>
      </c>
      <c r="S150" s="104">
        <v>0.625</v>
      </c>
      <c r="T150" s="104">
        <v>0.66666666666666663</v>
      </c>
      <c r="U150" s="104">
        <v>0.70833333333333337</v>
      </c>
      <c r="V150" s="104">
        <v>0.75</v>
      </c>
      <c r="W150" s="104">
        <v>0.79166666666666663</v>
      </c>
      <c r="X150" s="104">
        <v>0.83333333333333337</v>
      </c>
      <c r="Y150" s="104">
        <v>0.875</v>
      </c>
      <c r="Z150" s="104">
        <v>0.91666666666666663</v>
      </c>
      <c r="AA150" s="104">
        <v>0.95833333333333337</v>
      </c>
      <c r="AB150" s="104">
        <v>1</v>
      </c>
      <c r="AC150" s="105"/>
      <c r="AD150" s="103"/>
      <c r="AE150" s="103"/>
      <c r="AF150" s="103"/>
      <c r="AG150" s="103"/>
      <c r="AH150" s="103"/>
      <c r="AI150" s="103"/>
      <c r="AJ150" s="103"/>
      <c r="AK150" s="103"/>
      <c r="AL150" s="103"/>
      <c r="AM150" s="103"/>
      <c r="AN150" s="103"/>
      <c r="AO150" s="103"/>
      <c r="AP150" s="103"/>
      <c r="AQ150" s="103"/>
      <c r="AR150" s="103"/>
      <c r="AS150" s="103"/>
      <c r="AT150" s="103"/>
      <c r="AU150" s="103"/>
      <c r="AV150" s="103"/>
    </row>
    <row r="151" spans="2:48">
      <c r="B151" s="13"/>
      <c r="C151" s="13"/>
      <c r="D151" s="24">
        <v>45</v>
      </c>
      <c r="E151" s="105">
        <f t="shared" ref="E151:E160" ca="1" si="0">IF($B5&lt;=$E$150,IF($E$150&lt;$C5,1,0),0)</f>
        <v>0</v>
      </c>
      <c r="F151" s="105">
        <f t="shared" ref="F151:F160" ca="1" si="1">IF($B5&lt;=$F$150,IF($F$150&lt;$C5,1,0),0)</f>
        <v>0</v>
      </c>
      <c r="G151" s="105">
        <f t="shared" ref="G151:G160" ca="1" si="2">IF($B5&lt;=$G$150,IF($G$150&lt;$C5,1,0),0)</f>
        <v>1</v>
      </c>
      <c r="H151" s="105">
        <f t="shared" ref="H151:H160" ca="1" si="3">IF($B5&lt;=$H$150,IF($H$150&lt;$C5,1,0),0)</f>
        <v>1</v>
      </c>
      <c r="I151" s="105">
        <f t="shared" ref="I151:I160" ca="1" si="4">IF($B5&lt;=$I$150,IF($I$150&lt;$C5,1,0),0)</f>
        <v>1</v>
      </c>
      <c r="J151" s="105">
        <f t="shared" ref="J151:J160" ca="1" si="5">IF($B5&lt;=$J$150,IF($J$150&lt;$C5,1,0),0)</f>
        <v>1</v>
      </c>
      <c r="K151" s="105">
        <f t="shared" ref="K151:K160" ca="1" si="6">IF($B5&lt;=$K$150,IF($K$150&lt;$C5,1,0),0)</f>
        <v>1</v>
      </c>
      <c r="L151" s="105">
        <f t="shared" ref="L151:L160" ca="1" si="7">IF($B5&lt;=$L$150,IF($L$150&lt;$C5,1,0),0)</f>
        <v>1</v>
      </c>
      <c r="M151" s="105">
        <f t="shared" ref="M151:M160" ca="1" si="8">IF($B5&lt;=$M$150,IF($M$150&lt;$C5,1,0),0)</f>
        <v>1</v>
      </c>
      <c r="N151" s="105">
        <f t="shared" ref="N151:N160" ca="1" si="9">IF($B5&lt;=$N$150,IF($N$150&lt;$C5,1,0),0)</f>
        <v>1</v>
      </c>
      <c r="O151" s="105">
        <f t="shared" ref="O151:O160" ca="1" si="10">IF($B5&lt;=$O$150,IF($O$150&lt;$C5,1,0),0)</f>
        <v>1</v>
      </c>
      <c r="P151" s="105">
        <f t="shared" ref="P151:P160" ca="1" si="11">IF($B5&lt;=$P$150,IF($P$150&lt;$C5,1,0),0)</f>
        <v>1</v>
      </c>
      <c r="Q151" s="105">
        <f t="shared" ref="Q151:Q160" ca="1" si="12">IF($B5&lt;=$Q$150,IF($Q$150&lt;$C5,1,0),0)</f>
        <v>0</v>
      </c>
      <c r="R151" s="105">
        <f t="shared" ref="R151:R160" ca="1" si="13">IF($B5&lt;=$R$150,IF($R$150&lt;$C5,1,0),0)</f>
        <v>0</v>
      </c>
      <c r="S151" s="105">
        <f t="shared" ref="S151:S160" ca="1" si="14">IF($B5&lt;=$S$150,IF($S$150&lt;$C5,1,0),0)</f>
        <v>0</v>
      </c>
      <c r="T151" s="105">
        <f t="shared" ref="T151:T160" ca="1" si="15">IF($B5&lt;=$T$150,IF($T$150&lt;$C5,1,0),0)</f>
        <v>0</v>
      </c>
      <c r="U151" s="105">
        <f t="shared" ref="U151:U160" ca="1" si="16">IF($B5&lt;=$U$150,IF($U$150&lt;$C5,1,0),0)</f>
        <v>0</v>
      </c>
      <c r="V151" s="105">
        <f t="shared" ref="V151:V160" ca="1" si="17">IF($B5&lt;=$V$150,IF($V$150&lt;$C5,1,0),0)</f>
        <v>0</v>
      </c>
      <c r="W151" s="105">
        <f t="shared" ref="W151:W160" ca="1" si="18">IF($B5&lt;=$W$150,IF($W$150&lt;$C5,1,0),0)</f>
        <v>0</v>
      </c>
      <c r="X151" s="105">
        <f t="shared" ref="X151:X160" ca="1" si="19">IF($B5&lt;=$X$150,IF($X$150&lt;$C5,1,0),0)</f>
        <v>0</v>
      </c>
      <c r="Y151" s="105">
        <f t="shared" ref="Y151:Y160" ca="1" si="20">IF($B5&lt;=$Y$150,IF($Y$150&lt;$C5,1,0),0)</f>
        <v>0</v>
      </c>
      <c r="Z151" s="105">
        <f t="shared" ref="Z151:Z160" ca="1" si="21">IF($B5&lt;=$Z$150,IF($Z$150&lt;$C5,1,0),0)</f>
        <v>0</v>
      </c>
      <c r="AA151" s="105">
        <f t="shared" ref="AA151:AA160" ca="1" si="22">IF($B5&lt;=$AA$150,IF($AA$150&lt;$C5,1,0),0)</f>
        <v>0</v>
      </c>
      <c r="AB151" s="105">
        <f t="shared" ref="AB151:AB160" ca="1" si="23">IF($B5&lt;=$AB$150,IF($AB$150&lt;$C5,1,0),0)</f>
        <v>0</v>
      </c>
      <c r="AC151" s="105"/>
      <c r="AD151" s="103"/>
      <c r="AE151" s="103"/>
      <c r="AF151" s="103"/>
      <c r="AG151" s="103"/>
      <c r="AH151" s="103"/>
      <c r="AI151" s="103"/>
      <c r="AJ151" s="103"/>
      <c r="AK151" s="103"/>
      <c r="AL151" s="103"/>
      <c r="AM151" s="103"/>
      <c r="AN151" s="103"/>
      <c r="AO151" s="103"/>
      <c r="AP151" s="103"/>
      <c r="AQ151" s="103"/>
      <c r="AR151" s="103"/>
      <c r="AS151" s="103"/>
      <c r="AT151" s="103"/>
      <c r="AU151" s="103"/>
      <c r="AV151" s="103"/>
    </row>
    <row r="152" spans="2:48">
      <c r="B152" s="13"/>
      <c r="C152" s="13"/>
      <c r="D152" s="24">
        <v>46</v>
      </c>
      <c r="E152" s="105">
        <f t="shared" ca="1" si="0"/>
        <v>0</v>
      </c>
      <c r="F152" s="105">
        <f t="shared" ca="1" si="1"/>
        <v>0</v>
      </c>
      <c r="G152" s="105">
        <f t="shared" ca="1" si="2"/>
        <v>1</v>
      </c>
      <c r="H152" s="105">
        <f t="shared" ca="1" si="3"/>
        <v>1</v>
      </c>
      <c r="I152" s="105">
        <f t="shared" ca="1" si="4"/>
        <v>1</v>
      </c>
      <c r="J152" s="105">
        <f t="shared" ca="1" si="5"/>
        <v>1</v>
      </c>
      <c r="K152" s="105">
        <f t="shared" ca="1" si="6"/>
        <v>1</v>
      </c>
      <c r="L152" s="105">
        <f t="shared" ca="1" si="7"/>
        <v>1</v>
      </c>
      <c r="M152" s="105">
        <f t="shared" ca="1" si="8"/>
        <v>1</v>
      </c>
      <c r="N152" s="105">
        <f t="shared" ca="1" si="9"/>
        <v>1</v>
      </c>
      <c r="O152" s="105">
        <f t="shared" ca="1" si="10"/>
        <v>1</v>
      </c>
      <c r="P152" s="105">
        <f t="shared" ca="1" si="11"/>
        <v>1</v>
      </c>
      <c r="Q152" s="105">
        <f t="shared" ca="1" si="12"/>
        <v>0</v>
      </c>
      <c r="R152" s="105">
        <f t="shared" ca="1" si="13"/>
        <v>0</v>
      </c>
      <c r="S152" s="105">
        <f t="shared" ca="1" si="14"/>
        <v>0</v>
      </c>
      <c r="T152" s="105">
        <f t="shared" ca="1" si="15"/>
        <v>0</v>
      </c>
      <c r="U152" s="105">
        <f t="shared" ca="1" si="16"/>
        <v>0</v>
      </c>
      <c r="V152" s="105">
        <f t="shared" ca="1" si="17"/>
        <v>0</v>
      </c>
      <c r="W152" s="105">
        <f t="shared" ca="1" si="18"/>
        <v>0</v>
      </c>
      <c r="X152" s="105">
        <f t="shared" ca="1" si="19"/>
        <v>0</v>
      </c>
      <c r="Y152" s="105">
        <f t="shared" ca="1" si="20"/>
        <v>0</v>
      </c>
      <c r="Z152" s="105">
        <f t="shared" ca="1" si="21"/>
        <v>0</v>
      </c>
      <c r="AA152" s="105">
        <f t="shared" ca="1" si="22"/>
        <v>0</v>
      </c>
      <c r="AB152" s="105">
        <f t="shared" ca="1" si="23"/>
        <v>0</v>
      </c>
      <c r="AC152" s="105"/>
      <c r="AD152" s="103"/>
      <c r="AE152" s="103"/>
      <c r="AF152" s="103"/>
      <c r="AG152" s="103"/>
      <c r="AH152" s="103"/>
      <c r="AI152" s="103"/>
      <c r="AJ152" s="103"/>
      <c r="AK152" s="103"/>
      <c r="AL152" s="103"/>
      <c r="AM152" s="103"/>
      <c r="AN152" s="103"/>
      <c r="AO152" s="103"/>
      <c r="AP152" s="103"/>
      <c r="AQ152" s="103"/>
      <c r="AR152" s="103"/>
      <c r="AS152" s="103"/>
      <c r="AT152" s="103"/>
      <c r="AU152" s="103"/>
      <c r="AV152" s="103"/>
    </row>
    <row r="153" spans="2:48">
      <c r="B153" s="13"/>
      <c r="C153" s="13"/>
      <c r="D153" s="24">
        <v>47</v>
      </c>
      <c r="E153" s="105">
        <f t="shared" ca="1" si="0"/>
        <v>0</v>
      </c>
      <c r="F153" s="105">
        <f t="shared" ca="1" si="1"/>
        <v>0</v>
      </c>
      <c r="G153" s="105">
        <f t="shared" ca="1" si="2"/>
        <v>1</v>
      </c>
      <c r="H153" s="105">
        <f t="shared" ca="1" si="3"/>
        <v>1</v>
      </c>
      <c r="I153" s="105">
        <f t="shared" ca="1" si="4"/>
        <v>1</v>
      </c>
      <c r="J153" s="105">
        <f t="shared" ca="1" si="5"/>
        <v>1</v>
      </c>
      <c r="K153" s="105">
        <f t="shared" ca="1" si="6"/>
        <v>1</v>
      </c>
      <c r="L153" s="105">
        <f t="shared" ca="1" si="7"/>
        <v>1</v>
      </c>
      <c r="M153" s="105">
        <f t="shared" ca="1" si="8"/>
        <v>1</v>
      </c>
      <c r="N153" s="105">
        <f t="shared" ca="1" si="9"/>
        <v>1</v>
      </c>
      <c r="O153" s="105">
        <f t="shared" ca="1" si="10"/>
        <v>1</v>
      </c>
      <c r="P153" s="105">
        <f t="shared" ca="1" si="11"/>
        <v>1</v>
      </c>
      <c r="Q153" s="105">
        <f t="shared" ca="1" si="12"/>
        <v>0</v>
      </c>
      <c r="R153" s="105">
        <f t="shared" ca="1" si="13"/>
        <v>0</v>
      </c>
      <c r="S153" s="105">
        <f t="shared" ca="1" si="14"/>
        <v>0</v>
      </c>
      <c r="T153" s="105">
        <f t="shared" ca="1" si="15"/>
        <v>0</v>
      </c>
      <c r="U153" s="105">
        <f t="shared" ca="1" si="16"/>
        <v>0</v>
      </c>
      <c r="V153" s="105">
        <f t="shared" ca="1" si="17"/>
        <v>0</v>
      </c>
      <c r="W153" s="105">
        <f t="shared" ca="1" si="18"/>
        <v>0</v>
      </c>
      <c r="X153" s="105">
        <f t="shared" ca="1" si="19"/>
        <v>0</v>
      </c>
      <c r="Y153" s="105">
        <f t="shared" ca="1" si="20"/>
        <v>0</v>
      </c>
      <c r="Z153" s="105">
        <f t="shared" ca="1" si="21"/>
        <v>0</v>
      </c>
      <c r="AA153" s="105">
        <f t="shared" ca="1" si="22"/>
        <v>0</v>
      </c>
      <c r="AB153" s="105">
        <f t="shared" ca="1" si="23"/>
        <v>0</v>
      </c>
      <c r="AC153" s="105"/>
      <c r="AD153" s="103"/>
      <c r="AE153" s="103"/>
      <c r="AF153" s="103"/>
      <c r="AG153" s="103"/>
      <c r="AH153" s="103"/>
      <c r="AI153" s="103"/>
      <c r="AJ153" s="103"/>
      <c r="AK153" s="103"/>
      <c r="AL153" s="103"/>
      <c r="AM153" s="103"/>
      <c r="AN153" s="103"/>
      <c r="AO153" s="103"/>
      <c r="AP153" s="103"/>
      <c r="AQ153" s="103"/>
      <c r="AR153" s="103"/>
      <c r="AS153" s="103"/>
      <c r="AT153" s="103"/>
      <c r="AU153" s="103"/>
      <c r="AV153" s="103"/>
    </row>
    <row r="154" spans="2:48">
      <c r="B154" s="13"/>
      <c r="C154" s="13"/>
      <c r="D154" s="24">
        <v>48</v>
      </c>
      <c r="E154" s="105">
        <f t="shared" ca="1" si="0"/>
        <v>0</v>
      </c>
      <c r="F154" s="105">
        <f t="shared" ca="1" si="1"/>
        <v>0</v>
      </c>
      <c r="G154" s="105">
        <f t="shared" ca="1" si="2"/>
        <v>1</v>
      </c>
      <c r="H154" s="105">
        <f t="shared" ca="1" si="3"/>
        <v>1</v>
      </c>
      <c r="I154" s="105">
        <f t="shared" ca="1" si="4"/>
        <v>1</v>
      </c>
      <c r="J154" s="105">
        <f t="shared" ca="1" si="5"/>
        <v>1</v>
      </c>
      <c r="K154" s="105">
        <f t="shared" ca="1" si="6"/>
        <v>1</v>
      </c>
      <c r="L154" s="105">
        <f t="shared" ca="1" si="7"/>
        <v>1</v>
      </c>
      <c r="M154" s="105">
        <f t="shared" ca="1" si="8"/>
        <v>1</v>
      </c>
      <c r="N154" s="105">
        <f t="shared" ca="1" si="9"/>
        <v>1</v>
      </c>
      <c r="O154" s="105">
        <f t="shared" ca="1" si="10"/>
        <v>1</v>
      </c>
      <c r="P154" s="105">
        <f t="shared" ca="1" si="11"/>
        <v>1</v>
      </c>
      <c r="Q154" s="105">
        <f t="shared" ca="1" si="12"/>
        <v>0</v>
      </c>
      <c r="R154" s="105">
        <f t="shared" ca="1" si="13"/>
        <v>0</v>
      </c>
      <c r="S154" s="105">
        <f t="shared" ca="1" si="14"/>
        <v>0</v>
      </c>
      <c r="T154" s="105">
        <f t="shared" ca="1" si="15"/>
        <v>0</v>
      </c>
      <c r="U154" s="105">
        <f t="shared" ca="1" si="16"/>
        <v>0</v>
      </c>
      <c r="V154" s="105">
        <f t="shared" ca="1" si="17"/>
        <v>0</v>
      </c>
      <c r="W154" s="105">
        <f t="shared" ca="1" si="18"/>
        <v>0</v>
      </c>
      <c r="X154" s="105">
        <f t="shared" ca="1" si="19"/>
        <v>0</v>
      </c>
      <c r="Y154" s="105">
        <f t="shared" ca="1" si="20"/>
        <v>0</v>
      </c>
      <c r="Z154" s="105">
        <f t="shared" ca="1" si="21"/>
        <v>0</v>
      </c>
      <c r="AA154" s="105">
        <f t="shared" ca="1" si="22"/>
        <v>0</v>
      </c>
      <c r="AB154" s="105">
        <f t="shared" ca="1" si="23"/>
        <v>0</v>
      </c>
      <c r="AC154" s="105"/>
      <c r="AD154" s="103"/>
      <c r="AE154" s="103"/>
      <c r="AF154" s="103"/>
      <c r="AG154" s="103"/>
      <c r="AH154" s="103"/>
      <c r="AI154" s="103"/>
      <c r="AJ154" s="103"/>
      <c r="AK154" s="103"/>
      <c r="AL154" s="103"/>
      <c r="AM154" s="103"/>
      <c r="AN154" s="103"/>
      <c r="AO154" s="103"/>
      <c r="AP154" s="103"/>
      <c r="AQ154" s="103"/>
      <c r="AR154" s="103"/>
      <c r="AS154" s="103"/>
      <c r="AT154" s="103"/>
      <c r="AU154" s="103"/>
      <c r="AV154" s="103"/>
    </row>
    <row r="155" spans="2:48">
      <c r="B155" s="13"/>
      <c r="C155" s="13"/>
      <c r="D155" s="24">
        <v>49</v>
      </c>
      <c r="E155" s="105">
        <f t="shared" ca="1" si="0"/>
        <v>0</v>
      </c>
      <c r="F155" s="105">
        <f t="shared" ca="1" si="1"/>
        <v>0</v>
      </c>
      <c r="G155" s="105">
        <f t="shared" ca="1" si="2"/>
        <v>1</v>
      </c>
      <c r="H155" s="105">
        <f t="shared" ca="1" si="3"/>
        <v>1</v>
      </c>
      <c r="I155" s="105">
        <f t="shared" ca="1" si="4"/>
        <v>1</v>
      </c>
      <c r="J155" s="105">
        <f t="shared" ca="1" si="5"/>
        <v>1</v>
      </c>
      <c r="K155" s="105">
        <f t="shared" ca="1" si="6"/>
        <v>1</v>
      </c>
      <c r="L155" s="105">
        <f t="shared" ca="1" si="7"/>
        <v>1</v>
      </c>
      <c r="M155" s="105">
        <f t="shared" ca="1" si="8"/>
        <v>1</v>
      </c>
      <c r="N155" s="105">
        <f t="shared" ca="1" si="9"/>
        <v>1</v>
      </c>
      <c r="O155" s="105">
        <f t="shared" ca="1" si="10"/>
        <v>1</v>
      </c>
      <c r="P155" s="105">
        <f t="shared" ca="1" si="11"/>
        <v>1</v>
      </c>
      <c r="Q155" s="105">
        <f t="shared" ca="1" si="12"/>
        <v>0</v>
      </c>
      <c r="R155" s="105">
        <f t="shared" ca="1" si="13"/>
        <v>0</v>
      </c>
      <c r="S155" s="105">
        <f t="shared" ca="1" si="14"/>
        <v>0</v>
      </c>
      <c r="T155" s="105">
        <f t="shared" ca="1" si="15"/>
        <v>0</v>
      </c>
      <c r="U155" s="105">
        <f t="shared" ca="1" si="16"/>
        <v>0</v>
      </c>
      <c r="V155" s="105">
        <f t="shared" ca="1" si="17"/>
        <v>0</v>
      </c>
      <c r="W155" s="105">
        <f t="shared" ca="1" si="18"/>
        <v>0</v>
      </c>
      <c r="X155" s="105">
        <f t="shared" ca="1" si="19"/>
        <v>0</v>
      </c>
      <c r="Y155" s="105">
        <f t="shared" ca="1" si="20"/>
        <v>0</v>
      </c>
      <c r="Z155" s="105">
        <f t="shared" ca="1" si="21"/>
        <v>0</v>
      </c>
      <c r="AA155" s="105">
        <f t="shared" ca="1" si="22"/>
        <v>0</v>
      </c>
      <c r="AB155" s="105">
        <f t="shared" ca="1" si="23"/>
        <v>0</v>
      </c>
      <c r="AC155" s="105"/>
      <c r="AD155" s="103"/>
      <c r="AE155" s="103"/>
      <c r="AF155" s="103"/>
      <c r="AG155" s="103"/>
      <c r="AH155" s="103"/>
      <c r="AI155" s="103"/>
      <c r="AJ155" s="103"/>
      <c r="AK155" s="103"/>
      <c r="AL155" s="103"/>
      <c r="AM155" s="103"/>
      <c r="AN155" s="103"/>
      <c r="AO155" s="103"/>
      <c r="AP155" s="103"/>
      <c r="AQ155" s="103"/>
      <c r="AR155" s="103"/>
      <c r="AS155" s="103"/>
      <c r="AT155" s="103"/>
      <c r="AU155" s="103"/>
      <c r="AV155" s="103"/>
    </row>
    <row r="156" spans="2:48">
      <c r="B156" s="13"/>
      <c r="C156" s="13"/>
      <c r="D156" s="24">
        <v>50</v>
      </c>
      <c r="E156" s="105">
        <f t="shared" ca="1" si="0"/>
        <v>0</v>
      </c>
      <c r="F156" s="105">
        <f t="shared" ca="1" si="1"/>
        <v>0</v>
      </c>
      <c r="G156" s="105">
        <f t="shared" ca="1" si="2"/>
        <v>1</v>
      </c>
      <c r="H156" s="105">
        <f t="shared" ca="1" si="3"/>
        <v>1</v>
      </c>
      <c r="I156" s="105">
        <f t="shared" ca="1" si="4"/>
        <v>1</v>
      </c>
      <c r="J156" s="105">
        <f t="shared" ca="1" si="5"/>
        <v>1</v>
      </c>
      <c r="K156" s="105">
        <f t="shared" ca="1" si="6"/>
        <v>1</v>
      </c>
      <c r="L156" s="105">
        <f t="shared" ca="1" si="7"/>
        <v>1</v>
      </c>
      <c r="M156" s="105">
        <f t="shared" ca="1" si="8"/>
        <v>1</v>
      </c>
      <c r="N156" s="105">
        <f t="shared" ca="1" si="9"/>
        <v>1</v>
      </c>
      <c r="O156" s="105">
        <f t="shared" ca="1" si="10"/>
        <v>1</v>
      </c>
      <c r="P156" s="105">
        <f t="shared" ca="1" si="11"/>
        <v>1</v>
      </c>
      <c r="Q156" s="105">
        <f t="shared" ca="1" si="12"/>
        <v>0</v>
      </c>
      <c r="R156" s="105">
        <f t="shared" ca="1" si="13"/>
        <v>0</v>
      </c>
      <c r="S156" s="105">
        <f t="shared" ca="1" si="14"/>
        <v>0</v>
      </c>
      <c r="T156" s="105">
        <f t="shared" ca="1" si="15"/>
        <v>0</v>
      </c>
      <c r="U156" s="105">
        <f t="shared" ca="1" si="16"/>
        <v>0</v>
      </c>
      <c r="V156" s="105">
        <f t="shared" ca="1" si="17"/>
        <v>0</v>
      </c>
      <c r="W156" s="105">
        <f t="shared" ca="1" si="18"/>
        <v>0</v>
      </c>
      <c r="X156" s="105">
        <f t="shared" ca="1" si="19"/>
        <v>0</v>
      </c>
      <c r="Y156" s="105">
        <f t="shared" ca="1" si="20"/>
        <v>0</v>
      </c>
      <c r="Z156" s="105">
        <f t="shared" ca="1" si="21"/>
        <v>0</v>
      </c>
      <c r="AA156" s="105">
        <f t="shared" ca="1" si="22"/>
        <v>0</v>
      </c>
      <c r="AB156" s="105">
        <f t="shared" ca="1" si="23"/>
        <v>0</v>
      </c>
      <c r="AC156" s="105"/>
      <c r="AD156" s="103"/>
      <c r="AE156" s="103"/>
      <c r="AF156" s="103"/>
      <c r="AG156" s="103"/>
      <c r="AH156" s="103"/>
      <c r="AI156" s="103"/>
      <c r="AJ156" s="103"/>
      <c r="AK156" s="103"/>
      <c r="AL156" s="103"/>
      <c r="AM156" s="103"/>
      <c r="AN156" s="103"/>
      <c r="AO156" s="103"/>
      <c r="AP156" s="103"/>
      <c r="AQ156" s="103"/>
      <c r="AR156" s="103"/>
      <c r="AS156" s="103"/>
      <c r="AT156" s="103"/>
      <c r="AU156" s="103"/>
      <c r="AV156" s="103"/>
    </row>
    <row r="157" spans="2:48">
      <c r="B157" s="13"/>
      <c r="C157" s="13"/>
      <c r="D157" s="24">
        <v>51</v>
      </c>
      <c r="E157" s="105">
        <f t="shared" ca="1" si="0"/>
        <v>0</v>
      </c>
      <c r="F157" s="105">
        <f t="shared" ca="1" si="1"/>
        <v>0</v>
      </c>
      <c r="G157" s="105">
        <f t="shared" ca="1" si="2"/>
        <v>1</v>
      </c>
      <c r="H157" s="105">
        <f t="shared" ca="1" si="3"/>
        <v>1</v>
      </c>
      <c r="I157" s="105">
        <f t="shared" ca="1" si="4"/>
        <v>1</v>
      </c>
      <c r="J157" s="105">
        <f t="shared" ca="1" si="5"/>
        <v>1</v>
      </c>
      <c r="K157" s="105">
        <f t="shared" ca="1" si="6"/>
        <v>1</v>
      </c>
      <c r="L157" s="105">
        <f t="shared" ca="1" si="7"/>
        <v>1</v>
      </c>
      <c r="M157" s="105">
        <f t="shared" ca="1" si="8"/>
        <v>1</v>
      </c>
      <c r="N157" s="105">
        <f t="shared" ca="1" si="9"/>
        <v>1</v>
      </c>
      <c r="O157" s="105">
        <f t="shared" ca="1" si="10"/>
        <v>1</v>
      </c>
      <c r="P157" s="105">
        <f t="shared" ca="1" si="11"/>
        <v>1</v>
      </c>
      <c r="Q157" s="105">
        <f t="shared" ca="1" si="12"/>
        <v>0</v>
      </c>
      <c r="R157" s="105">
        <f t="shared" ca="1" si="13"/>
        <v>0</v>
      </c>
      <c r="S157" s="105">
        <f t="shared" ca="1" si="14"/>
        <v>0</v>
      </c>
      <c r="T157" s="105">
        <f t="shared" ca="1" si="15"/>
        <v>0</v>
      </c>
      <c r="U157" s="105">
        <f t="shared" ca="1" si="16"/>
        <v>0</v>
      </c>
      <c r="V157" s="105">
        <f t="shared" ca="1" si="17"/>
        <v>0</v>
      </c>
      <c r="W157" s="105">
        <f t="shared" ca="1" si="18"/>
        <v>0</v>
      </c>
      <c r="X157" s="105">
        <f t="shared" ca="1" si="19"/>
        <v>0</v>
      </c>
      <c r="Y157" s="105">
        <f t="shared" ca="1" si="20"/>
        <v>0</v>
      </c>
      <c r="Z157" s="105">
        <f t="shared" ca="1" si="21"/>
        <v>0</v>
      </c>
      <c r="AA157" s="105">
        <f t="shared" ca="1" si="22"/>
        <v>0</v>
      </c>
      <c r="AB157" s="105">
        <f t="shared" ca="1" si="23"/>
        <v>0</v>
      </c>
      <c r="AC157" s="105"/>
      <c r="AD157" s="103"/>
      <c r="AE157" s="103"/>
      <c r="AF157" s="103"/>
      <c r="AG157" s="103"/>
      <c r="AH157" s="103"/>
      <c r="AI157" s="103"/>
      <c r="AJ157" s="103"/>
      <c r="AK157" s="103"/>
      <c r="AL157" s="103"/>
      <c r="AM157" s="103"/>
      <c r="AN157" s="103"/>
      <c r="AO157" s="103"/>
      <c r="AP157" s="103"/>
      <c r="AQ157" s="103"/>
      <c r="AR157" s="103"/>
      <c r="AS157" s="103"/>
      <c r="AT157" s="103"/>
      <c r="AU157" s="103"/>
      <c r="AV157" s="103"/>
    </row>
    <row r="158" spans="2:48">
      <c r="B158" s="13"/>
      <c r="C158" s="13"/>
      <c r="D158" s="24">
        <v>52</v>
      </c>
      <c r="E158" s="105">
        <f t="shared" ca="1" si="0"/>
        <v>0</v>
      </c>
      <c r="F158" s="105">
        <f t="shared" ca="1" si="1"/>
        <v>0</v>
      </c>
      <c r="G158" s="105">
        <f t="shared" ca="1" si="2"/>
        <v>1</v>
      </c>
      <c r="H158" s="105">
        <f t="shared" ca="1" si="3"/>
        <v>1</v>
      </c>
      <c r="I158" s="105">
        <f t="shared" ca="1" si="4"/>
        <v>1</v>
      </c>
      <c r="J158" s="105">
        <f t="shared" ca="1" si="5"/>
        <v>1</v>
      </c>
      <c r="K158" s="105">
        <f t="shared" ca="1" si="6"/>
        <v>1</v>
      </c>
      <c r="L158" s="105">
        <f t="shared" ca="1" si="7"/>
        <v>1</v>
      </c>
      <c r="M158" s="105">
        <f t="shared" ca="1" si="8"/>
        <v>1</v>
      </c>
      <c r="N158" s="105">
        <f t="shared" ca="1" si="9"/>
        <v>1</v>
      </c>
      <c r="O158" s="105">
        <f t="shared" ca="1" si="10"/>
        <v>1</v>
      </c>
      <c r="P158" s="105">
        <f t="shared" ca="1" si="11"/>
        <v>1</v>
      </c>
      <c r="Q158" s="105">
        <f t="shared" ca="1" si="12"/>
        <v>0</v>
      </c>
      <c r="R158" s="105">
        <f t="shared" ca="1" si="13"/>
        <v>0</v>
      </c>
      <c r="S158" s="105">
        <f t="shared" ca="1" si="14"/>
        <v>0</v>
      </c>
      <c r="T158" s="105">
        <f t="shared" ca="1" si="15"/>
        <v>0</v>
      </c>
      <c r="U158" s="105">
        <f t="shared" ca="1" si="16"/>
        <v>0</v>
      </c>
      <c r="V158" s="105">
        <f t="shared" ca="1" si="17"/>
        <v>0</v>
      </c>
      <c r="W158" s="105">
        <f t="shared" ca="1" si="18"/>
        <v>0</v>
      </c>
      <c r="X158" s="105">
        <f t="shared" ca="1" si="19"/>
        <v>0</v>
      </c>
      <c r="Y158" s="105">
        <f t="shared" ca="1" si="20"/>
        <v>0</v>
      </c>
      <c r="Z158" s="105">
        <f t="shared" ca="1" si="21"/>
        <v>0</v>
      </c>
      <c r="AA158" s="105">
        <f t="shared" ca="1" si="22"/>
        <v>0</v>
      </c>
      <c r="AB158" s="105">
        <f t="shared" ca="1" si="23"/>
        <v>0</v>
      </c>
      <c r="AC158" s="105"/>
      <c r="AD158" s="103"/>
      <c r="AE158" s="103"/>
      <c r="AF158" s="103"/>
      <c r="AG158" s="103"/>
      <c r="AH158" s="103"/>
      <c r="AI158" s="103"/>
      <c r="AJ158" s="103"/>
      <c r="AK158" s="103"/>
      <c r="AL158" s="103"/>
      <c r="AM158" s="103"/>
      <c r="AN158" s="103"/>
      <c r="AO158" s="103"/>
      <c r="AP158" s="103"/>
      <c r="AQ158" s="103"/>
      <c r="AR158" s="103"/>
      <c r="AS158" s="103"/>
      <c r="AT158" s="103"/>
      <c r="AU158" s="103"/>
      <c r="AV158" s="103"/>
    </row>
    <row r="159" spans="2:48">
      <c r="B159" s="13"/>
      <c r="C159" s="13"/>
      <c r="D159" s="24">
        <v>53</v>
      </c>
      <c r="E159" s="105">
        <f t="shared" ca="1" si="0"/>
        <v>0</v>
      </c>
      <c r="F159" s="105">
        <f t="shared" ca="1" si="1"/>
        <v>0</v>
      </c>
      <c r="G159" s="105">
        <f t="shared" ca="1" si="2"/>
        <v>0</v>
      </c>
      <c r="H159" s="105">
        <f t="shared" ca="1" si="3"/>
        <v>1</v>
      </c>
      <c r="I159" s="105">
        <f t="shared" ca="1" si="4"/>
        <v>1</v>
      </c>
      <c r="J159" s="105">
        <f t="shared" ca="1" si="5"/>
        <v>1</v>
      </c>
      <c r="K159" s="105">
        <f t="shared" ca="1" si="6"/>
        <v>1</v>
      </c>
      <c r="L159" s="105">
        <f t="shared" ca="1" si="7"/>
        <v>1</v>
      </c>
      <c r="M159" s="105">
        <f t="shared" ca="1" si="8"/>
        <v>1</v>
      </c>
      <c r="N159" s="105">
        <f t="shared" ca="1" si="9"/>
        <v>1</v>
      </c>
      <c r="O159" s="105">
        <f t="shared" ca="1" si="10"/>
        <v>1</v>
      </c>
      <c r="P159" s="105">
        <f t="shared" ca="1" si="11"/>
        <v>1</v>
      </c>
      <c r="Q159" s="105">
        <f t="shared" ca="1" si="12"/>
        <v>1</v>
      </c>
      <c r="R159" s="105">
        <f t="shared" ca="1" si="13"/>
        <v>1</v>
      </c>
      <c r="S159" s="105">
        <f t="shared" ca="1" si="14"/>
        <v>1</v>
      </c>
      <c r="T159" s="105">
        <f t="shared" ca="1" si="15"/>
        <v>0</v>
      </c>
      <c r="U159" s="105">
        <f t="shared" ca="1" si="16"/>
        <v>0</v>
      </c>
      <c r="V159" s="105">
        <f t="shared" ca="1" si="17"/>
        <v>0</v>
      </c>
      <c r="W159" s="105">
        <f t="shared" ca="1" si="18"/>
        <v>0</v>
      </c>
      <c r="X159" s="105">
        <f t="shared" ca="1" si="19"/>
        <v>0</v>
      </c>
      <c r="Y159" s="105">
        <f t="shared" ca="1" si="20"/>
        <v>0</v>
      </c>
      <c r="Z159" s="105">
        <f t="shared" ca="1" si="21"/>
        <v>0</v>
      </c>
      <c r="AA159" s="105">
        <f t="shared" ca="1" si="22"/>
        <v>0</v>
      </c>
      <c r="AB159" s="105">
        <f t="shared" ca="1" si="23"/>
        <v>0</v>
      </c>
      <c r="AC159" s="105"/>
      <c r="AD159" s="103"/>
      <c r="AE159" s="103"/>
      <c r="AF159" s="103"/>
      <c r="AG159" s="103"/>
      <c r="AH159" s="103"/>
      <c r="AI159" s="103"/>
      <c r="AJ159" s="103"/>
      <c r="AK159" s="103"/>
      <c r="AL159" s="103"/>
      <c r="AM159" s="103"/>
      <c r="AN159" s="103"/>
      <c r="AO159" s="103"/>
      <c r="AP159" s="103"/>
      <c r="AQ159" s="103"/>
      <c r="AR159" s="103"/>
      <c r="AS159" s="103"/>
      <c r="AT159" s="103"/>
      <c r="AU159" s="103"/>
      <c r="AV159" s="103"/>
    </row>
    <row r="160" spans="2:48">
      <c r="B160" s="13"/>
      <c r="C160" s="13"/>
      <c r="D160" s="24">
        <v>54</v>
      </c>
      <c r="E160" s="105">
        <f t="shared" ca="1" si="0"/>
        <v>0</v>
      </c>
      <c r="F160" s="105">
        <f t="shared" ca="1" si="1"/>
        <v>0</v>
      </c>
      <c r="G160" s="105">
        <f t="shared" ca="1" si="2"/>
        <v>0</v>
      </c>
      <c r="H160" s="105">
        <f t="shared" ca="1" si="3"/>
        <v>1</v>
      </c>
      <c r="I160" s="105">
        <f t="shared" ca="1" si="4"/>
        <v>1</v>
      </c>
      <c r="J160" s="105">
        <f t="shared" ca="1" si="5"/>
        <v>1</v>
      </c>
      <c r="K160" s="105">
        <f t="shared" ca="1" si="6"/>
        <v>1</v>
      </c>
      <c r="L160" s="105">
        <f t="shared" ca="1" si="7"/>
        <v>1</v>
      </c>
      <c r="M160" s="105">
        <f t="shared" ca="1" si="8"/>
        <v>1</v>
      </c>
      <c r="N160" s="105">
        <f t="shared" ca="1" si="9"/>
        <v>1</v>
      </c>
      <c r="O160" s="105">
        <f t="shared" ca="1" si="10"/>
        <v>1</v>
      </c>
      <c r="P160" s="105">
        <f t="shared" ca="1" si="11"/>
        <v>1</v>
      </c>
      <c r="Q160" s="105">
        <f t="shared" ca="1" si="12"/>
        <v>1</v>
      </c>
      <c r="R160" s="105">
        <f t="shared" ca="1" si="13"/>
        <v>1</v>
      </c>
      <c r="S160" s="105">
        <f t="shared" ca="1" si="14"/>
        <v>1</v>
      </c>
      <c r="T160" s="105">
        <f t="shared" ca="1" si="15"/>
        <v>0</v>
      </c>
      <c r="U160" s="105">
        <f t="shared" ca="1" si="16"/>
        <v>0</v>
      </c>
      <c r="V160" s="105">
        <f t="shared" ca="1" si="17"/>
        <v>0</v>
      </c>
      <c r="W160" s="105">
        <f t="shared" ca="1" si="18"/>
        <v>0</v>
      </c>
      <c r="X160" s="105">
        <f t="shared" ca="1" si="19"/>
        <v>0</v>
      </c>
      <c r="Y160" s="105">
        <f t="shared" ca="1" si="20"/>
        <v>0</v>
      </c>
      <c r="Z160" s="105">
        <f t="shared" ca="1" si="21"/>
        <v>0</v>
      </c>
      <c r="AA160" s="105">
        <f t="shared" ca="1" si="22"/>
        <v>0</v>
      </c>
      <c r="AB160" s="105">
        <f t="shared" ca="1" si="23"/>
        <v>0</v>
      </c>
      <c r="AC160" s="105"/>
      <c r="AD160" s="103"/>
      <c r="AE160" s="103"/>
      <c r="AF160" s="103"/>
      <c r="AG160" s="103"/>
      <c r="AH160" s="103"/>
      <c r="AI160" s="103"/>
      <c r="AJ160" s="103"/>
      <c r="AK160" s="103"/>
      <c r="AL160" s="103"/>
      <c r="AM160" s="103"/>
      <c r="AN160" s="103"/>
      <c r="AO160" s="103"/>
      <c r="AP160" s="103"/>
      <c r="AQ160" s="103"/>
      <c r="AR160" s="103"/>
      <c r="AS160" s="103"/>
      <c r="AT160" s="103"/>
      <c r="AU160" s="103"/>
      <c r="AV160" s="103"/>
    </row>
    <row r="161" spans="2:48">
      <c r="B161" s="13"/>
      <c r="C161" s="13"/>
      <c r="D161" s="24">
        <v>55</v>
      </c>
      <c r="E161" s="105">
        <f t="shared" ref="E161:E224" ca="1" si="24">IF($B15&lt;=$E$150,IF($E$150&lt;$C15,1,0),0)</f>
        <v>0</v>
      </c>
      <c r="F161" s="105">
        <f t="shared" ref="F161:F224" ca="1" si="25">IF($B15&lt;=$F$150,IF($F$150&lt;$C15,1,0),0)</f>
        <v>0</v>
      </c>
      <c r="G161" s="105">
        <f t="shared" ref="G161:G224" ca="1" si="26">IF($B15&lt;=$G$150,IF($G$150&lt;$C15,1,0),0)</f>
        <v>0</v>
      </c>
      <c r="H161" s="105">
        <f t="shared" ref="H161:H224" ca="1" si="27">IF($B15&lt;=$H$150,IF($H$150&lt;$C15,1,0),0)</f>
        <v>1</v>
      </c>
      <c r="I161" s="105">
        <f t="shared" ref="I161:I224" ca="1" si="28">IF($B15&lt;=$I$150,IF($I$150&lt;$C15,1,0),0)</f>
        <v>1</v>
      </c>
      <c r="J161" s="105">
        <f t="shared" ref="J161:J224" ca="1" si="29">IF($B15&lt;=$J$150,IF($J$150&lt;$C15,1,0),0)</f>
        <v>1</v>
      </c>
      <c r="K161" s="105">
        <f t="shared" ref="K161:K224" ca="1" si="30">IF($B15&lt;=$K$150,IF($K$150&lt;$C15,1,0),0)</f>
        <v>1</v>
      </c>
      <c r="L161" s="105">
        <f t="shared" ref="L161:L224" ca="1" si="31">IF($B15&lt;=$L$150,IF($L$150&lt;$C15,1,0),0)</f>
        <v>1</v>
      </c>
      <c r="M161" s="105">
        <f t="shared" ref="M161:M224" ca="1" si="32">IF($B15&lt;=$M$150,IF($M$150&lt;$C15,1,0),0)</f>
        <v>1</v>
      </c>
      <c r="N161" s="105">
        <f t="shared" ref="N161:N224" ca="1" si="33">IF($B15&lt;=$N$150,IF($N$150&lt;$C15,1,0),0)</f>
        <v>1</v>
      </c>
      <c r="O161" s="105">
        <f t="shared" ref="O161:O224" ca="1" si="34">IF($B15&lt;=$O$150,IF($O$150&lt;$C15,1,0),0)</f>
        <v>1</v>
      </c>
      <c r="P161" s="105">
        <f t="shared" ref="P161:P224" ca="1" si="35">IF($B15&lt;=$P$150,IF($P$150&lt;$C15,1,0),0)</f>
        <v>1</v>
      </c>
      <c r="Q161" s="105">
        <f t="shared" ref="Q161:Q224" ca="1" si="36">IF($B15&lt;=$Q$150,IF($Q$150&lt;$C15,1,0),0)</f>
        <v>1</v>
      </c>
      <c r="R161" s="105">
        <f t="shared" ref="R161:R224" ca="1" si="37">IF($B15&lt;=$R$150,IF($R$150&lt;$C15,1,0),0)</f>
        <v>1</v>
      </c>
      <c r="S161" s="105">
        <f t="shared" ref="S161:S224" ca="1" si="38">IF($B15&lt;=$S$150,IF($S$150&lt;$C15,1,0),0)</f>
        <v>1</v>
      </c>
      <c r="T161" s="105">
        <f t="shared" ref="T161:T224" ca="1" si="39">IF($B15&lt;=$T$150,IF($T$150&lt;$C15,1,0),0)</f>
        <v>0</v>
      </c>
      <c r="U161" s="105">
        <f t="shared" ref="U161:U224" ca="1" si="40">IF($B15&lt;=$U$150,IF($U$150&lt;$C15,1,0),0)</f>
        <v>0</v>
      </c>
      <c r="V161" s="105">
        <f t="shared" ref="V161:V224" ca="1" si="41">IF($B15&lt;=$V$150,IF($V$150&lt;$C15,1,0),0)</f>
        <v>0</v>
      </c>
      <c r="W161" s="105">
        <f t="shared" ref="W161:W224" ca="1" si="42">IF($B15&lt;=$W$150,IF($W$150&lt;$C15,1,0),0)</f>
        <v>0</v>
      </c>
      <c r="X161" s="105">
        <f t="shared" ref="X161:X224" ca="1" si="43">IF($B15&lt;=$X$150,IF($X$150&lt;$C15,1,0),0)</f>
        <v>0</v>
      </c>
      <c r="Y161" s="105">
        <f t="shared" ref="Y161:Y224" ca="1" si="44">IF($B15&lt;=$Y$150,IF($Y$150&lt;$C15,1,0),0)</f>
        <v>0</v>
      </c>
      <c r="Z161" s="105">
        <f t="shared" ref="Z161:Z224" ca="1" si="45">IF($B15&lt;=$Z$150,IF($Z$150&lt;$C15,1,0),0)</f>
        <v>0</v>
      </c>
      <c r="AA161" s="105">
        <f t="shared" ref="AA161:AA224" ca="1" si="46">IF($B15&lt;=$AA$150,IF($AA$150&lt;$C15,1,0),0)</f>
        <v>0</v>
      </c>
      <c r="AB161" s="105">
        <f t="shared" ref="AB161:AB224" ca="1" si="47">IF($B15&lt;=$AB$150,IF($AB$150&lt;$C15,1,0),0)</f>
        <v>0</v>
      </c>
      <c r="AC161" s="105"/>
      <c r="AD161" s="103"/>
      <c r="AE161" s="103"/>
      <c r="AF161" s="103"/>
      <c r="AG161" s="103"/>
      <c r="AH161" s="103"/>
      <c r="AI161" s="103"/>
      <c r="AJ161" s="103"/>
      <c r="AK161" s="103"/>
      <c r="AL161" s="103"/>
      <c r="AM161" s="103"/>
      <c r="AN161" s="103"/>
      <c r="AO161" s="103"/>
      <c r="AP161" s="103"/>
      <c r="AQ161" s="103"/>
      <c r="AR161" s="103"/>
      <c r="AS161" s="103"/>
      <c r="AT161" s="103"/>
      <c r="AU161" s="103"/>
      <c r="AV161" s="103"/>
    </row>
    <row r="162" spans="2:48">
      <c r="B162" s="13"/>
      <c r="C162" s="13"/>
      <c r="D162" s="24">
        <v>56</v>
      </c>
      <c r="E162" s="105">
        <f t="shared" ca="1" si="24"/>
        <v>0</v>
      </c>
      <c r="F162" s="105">
        <f t="shared" ca="1" si="25"/>
        <v>0</v>
      </c>
      <c r="G162" s="105">
        <f t="shared" ca="1" si="26"/>
        <v>0</v>
      </c>
      <c r="H162" s="105">
        <f t="shared" ca="1" si="27"/>
        <v>1</v>
      </c>
      <c r="I162" s="105">
        <f t="shared" ca="1" si="28"/>
        <v>1</v>
      </c>
      <c r="J162" s="105">
        <f t="shared" ca="1" si="29"/>
        <v>1</v>
      </c>
      <c r="K162" s="105">
        <f t="shared" ca="1" si="30"/>
        <v>1</v>
      </c>
      <c r="L162" s="105">
        <f t="shared" ca="1" si="31"/>
        <v>1</v>
      </c>
      <c r="M162" s="105">
        <f t="shared" ca="1" si="32"/>
        <v>1</v>
      </c>
      <c r="N162" s="105">
        <f t="shared" ca="1" si="33"/>
        <v>1</v>
      </c>
      <c r="O162" s="105">
        <f t="shared" ca="1" si="34"/>
        <v>1</v>
      </c>
      <c r="P162" s="105">
        <f t="shared" ca="1" si="35"/>
        <v>1</v>
      </c>
      <c r="Q162" s="105">
        <f t="shared" ca="1" si="36"/>
        <v>1</v>
      </c>
      <c r="R162" s="105">
        <f t="shared" ca="1" si="37"/>
        <v>1</v>
      </c>
      <c r="S162" s="105">
        <f t="shared" ca="1" si="38"/>
        <v>1</v>
      </c>
      <c r="T162" s="105">
        <f t="shared" ca="1" si="39"/>
        <v>0</v>
      </c>
      <c r="U162" s="105">
        <f t="shared" ca="1" si="40"/>
        <v>0</v>
      </c>
      <c r="V162" s="105">
        <f t="shared" ca="1" si="41"/>
        <v>0</v>
      </c>
      <c r="W162" s="105">
        <f t="shared" ca="1" si="42"/>
        <v>0</v>
      </c>
      <c r="X162" s="105">
        <f t="shared" ca="1" si="43"/>
        <v>0</v>
      </c>
      <c r="Y162" s="105">
        <f t="shared" ca="1" si="44"/>
        <v>0</v>
      </c>
      <c r="Z162" s="105">
        <f t="shared" ca="1" si="45"/>
        <v>0</v>
      </c>
      <c r="AA162" s="105">
        <f t="shared" ca="1" si="46"/>
        <v>0</v>
      </c>
      <c r="AB162" s="105">
        <f t="shared" ca="1" si="47"/>
        <v>0</v>
      </c>
      <c r="AC162" s="105"/>
      <c r="AD162" s="103"/>
      <c r="AE162" s="103"/>
      <c r="AF162" s="103"/>
      <c r="AG162" s="103"/>
      <c r="AH162" s="103"/>
      <c r="AI162" s="103"/>
      <c r="AJ162" s="103"/>
      <c r="AK162" s="103"/>
      <c r="AL162" s="103"/>
      <c r="AM162" s="103"/>
      <c r="AN162" s="103"/>
      <c r="AO162" s="103"/>
      <c r="AP162" s="103"/>
      <c r="AQ162" s="103"/>
      <c r="AR162" s="103"/>
      <c r="AS162" s="103"/>
      <c r="AT162" s="103"/>
      <c r="AU162" s="103"/>
      <c r="AV162" s="103"/>
    </row>
    <row r="163" spans="2:48">
      <c r="B163" s="13"/>
      <c r="C163" s="13"/>
      <c r="D163" s="24">
        <v>57</v>
      </c>
      <c r="E163" s="105">
        <f t="shared" ca="1" si="24"/>
        <v>0</v>
      </c>
      <c r="F163" s="105">
        <f t="shared" ca="1" si="25"/>
        <v>0</v>
      </c>
      <c r="G163" s="105">
        <f t="shared" ca="1" si="26"/>
        <v>0</v>
      </c>
      <c r="H163" s="105">
        <f t="shared" ca="1" si="27"/>
        <v>1</v>
      </c>
      <c r="I163" s="105">
        <f t="shared" ca="1" si="28"/>
        <v>1</v>
      </c>
      <c r="J163" s="105">
        <f t="shared" ca="1" si="29"/>
        <v>1</v>
      </c>
      <c r="K163" s="105">
        <f t="shared" ca="1" si="30"/>
        <v>1</v>
      </c>
      <c r="L163" s="105">
        <f t="shared" ca="1" si="31"/>
        <v>1</v>
      </c>
      <c r="M163" s="105">
        <f t="shared" ca="1" si="32"/>
        <v>1</v>
      </c>
      <c r="N163" s="105">
        <f t="shared" ca="1" si="33"/>
        <v>1</v>
      </c>
      <c r="O163" s="105">
        <f t="shared" ca="1" si="34"/>
        <v>1</v>
      </c>
      <c r="P163" s="105">
        <f t="shared" ca="1" si="35"/>
        <v>1</v>
      </c>
      <c r="Q163" s="105">
        <f t="shared" ca="1" si="36"/>
        <v>1</v>
      </c>
      <c r="R163" s="105">
        <f t="shared" ca="1" si="37"/>
        <v>1</v>
      </c>
      <c r="S163" s="105">
        <f t="shared" ca="1" si="38"/>
        <v>1</v>
      </c>
      <c r="T163" s="105">
        <f t="shared" ca="1" si="39"/>
        <v>0</v>
      </c>
      <c r="U163" s="105">
        <f t="shared" ca="1" si="40"/>
        <v>0</v>
      </c>
      <c r="V163" s="105">
        <f t="shared" ca="1" si="41"/>
        <v>0</v>
      </c>
      <c r="W163" s="105">
        <f t="shared" ca="1" si="42"/>
        <v>0</v>
      </c>
      <c r="X163" s="105">
        <f t="shared" ca="1" si="43"/>
        <v>0</v>
      </c>
      <c r="Y163" s="105">
        <f t="shared" ca="1" si="44"/>
        <v>0</v>
      </c>
      <c r="Z163" s="105">
        <f t="shared" ca="1" si="45"/>
        <v>0</v>
      </c>
      <c r="AA163" s="105">
        <f t="shared" ca="1" si="46"/>
        <v>0</v>
      </c>
      <c r="AB163" s="105">
        <f t="shared" ca="1" si="47"/>
        <v>0</v>
      </c>
      <c r="AC163" s="105"/>
      <c r="AD163" s="103"/>
      <c r="AE163" s="103"/>
      <c r="AF163" s="103"/>
      <c r="AG163" s="103"/>
      <c r="AH163" s="103"/>
      <c r="AI163" s="103"/>
      <c r="AJ163" s="103"/>
      <c r="AK163" s="103"/>
      <c r="AL163" s="103"/>
      <c r="AM163" s="103"/>
      <c r="AN163" s="103"/>
      <c r="AO163" s="103"/>
      <c r="AP163" s="103"/>
      <c r="AQ163" s="103"/>
      <c r="AR163" s="103"/>
      <c r="AS163" s="103"/>
      <c r="AT163" s="103"/>
      <c r="AU163" s="103"/>
      <c r="AV163" s="103"/>
    </row>
    <row r="164" spans="2:48">
      <c r="B164" s="13"/>
      <c r="C164" s="13"/>
      <c r="D164" s="24">
        <v>58</v>
      </c>
      <c r="E164" s="105">
        <f t="shared" ca="1" si="24"/>
        <v>0</v>
      </c>
      <c r="F164" s="105">
        <f t="shared" ca="1" si="25"/>
        <v>0</v>
      </c>
      <c r="G164" s="105">
        <f t="shared" ca="1" si="26"/>
        <v>0</v>
      </c>
      <c r="H164" s="105">
        <f t="shared" ca="1" si="27"/>
        <v>1</v>
      </c>
      <c r="I164" s="105">
        <f t="shared" ca="1" si="28"/>
        <v>1</v>
      </c>
      <c r="J164" s="105">
        <f t="shared" ca="1" si="29"/>
        <v>1</v>
      </c>
      <c r="K164" s="105">
        <f t="shared" ca="1" si="30"/>
        <v>1</v>
      </c>
      <c r="L164" s="105">
        <f t="shared" ca="1" si="31"/>
        <v>1</v>
      </c>
      <c r="M164" s="105">
        <f t="shared" ca="1" si="32"/>
        <v>1</v>
      </c>
      <c r="N164" s="105">
        <f t="shared" ca="1" si="33"/>
        <v>1</v>
      </c>
      <c r="O164" s="105">
        <f t="shared" ca="1" si="34"/>
        <v>1</v>
      </c>
      <c r="P164" s="105">
        <f t="shared" ca="1" si="35"/>
        <v>1</v>
      </c>
      <c r="Q164" s="105">
        <f t="shared" ca="1" si="36"/>
        <v>1</v>
      </c>
      <c r="R164" s="105">
        <f t="shared" ca="1" si="37"/>
        <v>1</v>
      </c>
      <c r="S164" s="105">
        <f t="shared" ca="1" si="38"/>
        <v>1</v>
      </c>
      <c r="T164" s="105">
        <f t="shared" ca="1" si="39"/>
        <v>0</v>
      </c>
      <c r="U164" s="105">
        <f t="shared" ca="1" si="40"/>
        <v>0</v>
      </c>
      <c r="V164" s="105">
        <f t="shared" ca="1" si="41"/>
        <v>0</v>
      </c>
      <c r="W164" s="105">
        <f t="shared" ca="1" si="42"/>
        <v>0</v>
      </c>
      <c r="X164" s="105">
        <f t="shared" ca="1" si="43"/>
        <v>0</v>
      </c>
      <c r="Y164" s="105">
        <f t="shared" ca="1" si="44"/>
        <v>0</v>
      </c>
      <c r="Z164" s="105">
        <f t="shared" ca="1" si="45"/>
        <v>0</v>
      </c>
      <c r="AA164" s="105">
        <f t="shared" ca="1" si="46"/>
        <v>0</v>
      </c>
      <c r="AB164" s="105">
        <f t="shared" ca="1" si="47"/>
        <v>0</v>
      </c>
      <c r="AC164" s="105"/>
      <c r="AD164" s="103"/>
      <c r="AE164" s="103"/>
      <c r="AF164" s="103"/>
      <c r="AG164" s="103"/>
      <c r="AH164" s="103"/>
      <c r="AI164" s="103"/>
      <c r="AJ164" s="103"/>
      <c r="AK164" s="103"/>
      <c r="AL164" s="103"/>
      <c r="AM164" s="103"/>
      <c r="AN164" s="103"/>
      <c r="AO164" s="103"/>
      <c r="AP164" s="103"/>
      <c r="AQ164" s="103"/>
      <c r="AR164" s="103"/>
      <c r="AS164" s="103"/>
      <c r="AT164" s="103"/>
      <c r="AU164" s="103"/>
      <c r="AV164" s="103"/>
    </row>
    <row r="165" spans="2:48">
      <c r="B165" s="13"/>
      <c r="C165" s="13"/>
      <c r="D165" s="24">
        <v>59</v>
      </c>
      <c r="E165" s="105">
        <f t="shared" ca="1" si="24"/>
        <v>0</v>
      </c>
      <c r="F165" s="105">
        <f t="shared" ca="1" si="25"/>
        <v>0</v>
      </c>
      <c r="G165" s="105">
        <f t="shared" ca="1" si="26"/>
        <v>0</v>
      </c>
      <c r="H165" s="105">
        <f t="shared" ca="1" si="27"/>
        <v>1</v>
      </c>
      <c r="I165" s="105">
        <f t="shared" ca="1" si="28"/>
        <v>1</v>
      </c>
      <c r="J165" s="105">
        <f t="shared" ca="1" si="29"/>
        <v>1</v>
      </c>
      <c r="K165" s="105">
        <f t="shared" ca="1" si="30"/>
        <v>1</v>
      </c>
      <c r="L165" s="105">
        <f t="shared" ca="1" si="31"/>
        <v>1</v>
      </c>
      <c r="M165" s="105">
        <f t="shared" ca="1" si="32"/>
        <v>1</v>
      </c>
      <c r="N165" s="105">
        <f t="shared" ca="1" si="33"/>
        <v>1</v>
      </c>
      <c r="O165" s="105">
        <f t="shared" ca="1" si="34"/>
        <v>1</v>
      </c>
      <c r="P165" s="105">
        <f t="shared" ca="1" si="35"/>
        <v>1</v>
      </c>
      <c r="Q165" s="105">
        <f t="shared" ca="1" si="36"/>
        <v>1</v>
      </c>
      <c r="R165" s="105">
        <f t="shared" ca="1" si="37"/>
        <v>1</v>
      </c>
      <c r="S165" s="105">
        <f t="shared" ca="1" si="38"/>
        <v>1</v>
      </c>
      <c r="T165" s="105">
        <f t="shared" ca="1" si="39"/>
        <v>0</v>
      </c>
      <c r="U165" s="105">
        <f t="shared" ca="1" si="40"/>
        <v>0</v>
      </c>
      <c r="V165" s="105">
        <f t="shared" ca="1" si="41"/>
        <v>0</v>
      </c>
      <c r="W165" s="105">
        <f t="shared" ca="1" si="42"/>
        <v>0</v>
      </c>
      <c r="X165" s="105">
        <f t="shared" ca="1" si="43"/>
        <v>0</v>
      </c>
      <c r="Y165" s="105">
        <f t="shared" ca="1" si="44"/>
        <v>0</v>
      </c>
      <c r="Z165" s="105">
        <f t="shared" ca="1" si="45"/>
        <v>0</v>
      </c>
      <c r="AA165" s="105">
        <f t="shared" ca="1" si="46"/>
        <v>0</v>
      </c>
      <c r="AB165" s="105">
        <f t="shared" ca="1" si="47"/>
        <v>0</v>
      </c>
      <c r="AC165" s="105"/>
      <c r="AD165" s="103"/>
      <c r="AE165" s="103"/>
      <c r="AF165" s="103"/>
      <c r="AG165" s="103"/>
      <c r="AH165" s="103"/>
      <c r="AI165" s="103"/>
      <c r="AJ165" s="103"/>
      <c r="AK165" s="103"/>
      <c r="AL165" s="103"/>
      <c r="AM165" s="103"/>
      <c r="AN165" s="103"/>
      <c r="AO165" s="103"/>
      <c r="AP165" s="103"/>
      <c r="AQ165" s="103"/>
      <c r="AR165" s="103"/>
      <c r="AS165" s="103"/>
      <c r="AT165" s="103"/>
      <c r="AU165" s="103"/>
      <c r="AV165" s="103"/>
    </row>
    <row r="166" spans="2:48">
      <c r="B166" s="13"/>
      <c r="C166" s="13"/>
      <c r="D166" s="24">
        <v>60</v>
      </c>
      <c r="E166" s="105">
        <f t="shared" ca="1" si="24"/>
        <v>0</v>
      </c>
      <c r="F166" s="105">
        <f t="shared" ca="1" si="25"/>
        <v>0</v>
      </c>
      <c r="G166" s="105">
        <f t="shared" ca="1" si="26"/>
        <v>0</v>
      </c>
      <c r="H166" s="105">
        <f t="shared" ca="1" si="27"/>
        <v>1</v>
      </c>
      <c r="I166" s="105">
        <f t="shared" ca="1" si="28"/>
        <v>1</v>
      </c>
      <c r="J166" s="105">
        <f t="shared" ca="1" si="29"/>
        <v>1</v>
      </c>
      <c r="K166" s="105">
        <f t="shared" ca="1" si="30"/>
        <v>1</v>
      </c>
      <c r="L166" s="105">
        <f t="shared" ca="1" si="31"/>
        <v>1</v>
      </c>
      <c r="M166" s="105">
        <f t="shared" ca="1" si="32"/>
        <v>1</v>
      </c>
      <c r="N166" s="105">
        <f t="shared" ca="1" si="33"/>
        <v>1</v>
      </c>
      <c r="O166" s="105">
        <f t="shared" ca="1" si="34"/>
        <v>1</v>
      </c>
      <c r="P166" s="105">
        <f t="shared" ca="1" si="35"/>
        <v>1</v>
      </c>
      <c r="Q166" s="105">
        <f t="shared" ca="1" si="36"/>
        <v>1</v>
      </c>
      <c r="R166" s="105">
        <f t="shared" ca="1" si="37"/>
        <v>1</v>
      </c>
      <c r="S166" s="105">
        <f t="shared" ca="1" si="38"/>
        <v>1</v>
      </c>
      <c r="T166" s="105">
        <f t="shared" ca="1" si="39"/>
        <v>0</v>
      </c>
      <c r="U166" s="105">
        <f t="shared" ca="1" si="40"/>
        <v>0</v>
      </c>
      <c r="V166" s="105">
        <f t="shared" ca="1" si="41"/>
        <v>0</v>
      </c>
      <c r="W166" s="105">
        <f t="shared" ca="1" si="42"/>
        <v>0</v>
      </c>
      <c r="X166" s="105">
        <f t="shared" ca="1" si="43"/>
        <v>0</v>
      </c>
      <c r="Y166" s="105">
        <f t="shared" ca="1" si="44"/>
        <v>0</v>
      </c>
      <c r="Z166" s="105">
        <f t="shared" ca="1" si="45"/>
        <v>0</v>
      </c>
      <c r="AA166" s="105">
        <f t="shared" ca="1" si="46"/>
        <v>0</v>
      </c>
      <c r="AB166" s="105">
        <f t="shared" ca="1" si="47"/>
        <v>0</v>
      </c>
      <c r="AC166" s="105"/>
      <c r="AD166" s="103"/>
      <c r="AE166" s="103"/>
      <c r="AF166" s="103"/>
      <c r="AG166" s="103"/>
      <c r="AH166" s="103"/>
      <c r="AI166" s="103"/>
      <c r="AJ166" s="103"/>
      <c r="AK166" s="103"/>
      <c r="AL166" s="103"/>
      <c r="AM166" s="103"/>
      <c r="AN166" s="103"/>
      <c r="AO166" s="103"/>
      <c r="AP166" s="103"/>
      <c r="AQ166" s="103"/>
      <c r="AR166" s="103"/>
      <c r="AS166" s="103"/>
      <c r="AT166" s="103"/>
      <c r="AU166" s="103"/>
      <c r="AV166" s="103"/>
    </row>
    <row r="167" spans="2:48">
      <c r="B167" s="13"/>
      <c r="C167" s="13"/>
      <c r="D167" s="24">
        <v>61</v>
      </c>
      <c r="E167" s="105">
        <f t="shared" ca="1" si="24"/>
        <v>0</v>
      </c>
      <c r="F167" s="105">
        <f t="shared" ca="1" si="25"/>
        <v>0</v>
      </c>
      <c r="G167" s="105">
        <f t="shared" ca="1" si="26"/>
        <v>0</v>
      </c>
      <c r="H167" s="105">
        <f t="shared" ca="1" si="27"/>
        <v>1</v>
      </c>
      <c r="I167" s="105">
        <f t="shared" ca="1" si="28"/>
        <v>1</v>
      </c>
      <c r="J167" s="105">
        <f t="shared" ca="1" si="29"/>
        <v>1</v>
      </c>
      <c r="K167" s="105">
        <f t="shared" ca="1" si="30"/>
        <v>1</v>
      </c>
      <c r="L167" s="105">
        <f t="shared" ca="1" si="31"/>
        <v>1</v>
      </c>
      <c r="M167" s="105">
        <f t="shared" ca="1" si="32"/>
        <v>1</v>
      </c>
      <c r="N167" s="105">
        <f t="shared" ca="1" si="33"/>
        <v>1</v>
      </c>
      <c r="O167" s="105">
        <f t="shared" ca="1" si="34"/>
        <v>1</v>
      </c>
      <c r="P167" s="105">
        <f t="shared" ca="1" si="35"/>
        <v>1</v>
      </c>
      <c r="Q167" s="105">
        <f t="shared" ca="1" si="36"/>
        <v>1</v>
      </c>
      <c r="R167" s="105">
        <f t="shared" ca="1" si="37"/>
        <v>1</v>
      </c>
      <c r="S167" s="105">
        <f t="shared" ca="1" si="38"/>
        <v>1</v>
      </c>
      <c r="T167" s="105">
        <f t="shared" ca="1" si="39"/>
        <v>0</v>
      </c>
      <c r="U167" s="105">
        <f t="shared" ca="1" si="40"/>
        <v>0</v>
      </c>
      <c r="V167" s="105">
        <f t="shared" ca="1" si="41"/>
        <v>0</v>
      </c>
      <c r="W167" s="105">
        <f t="shared" ca="1" si="42"/>
        <v>0</v>
      </c>
      <c r="X167" s="105">
        <f t="shared" ca="1" si="43"/>
        <v>0</v>
      </c>
      <c r="Y167" s="105">
        <f t="shared" ca="1" si="44"/>
        <v>0</v>
      </c>
      <c r="Z167" s="105">
        <f t="shared" ca="1" si="45"/>
        <v>0</v>
      </c>
      <c r="AA167" s="105">
        <f t="shared" ca="1" si="46"/>
        <v>0</v>
      </c>
      <c r="AB167" s="105">
        <f t="shared" ca="1" si="47"/>
        <v>0</v>
      </c>
      <c r="AC167" s="105"/>
      <c r="AD167" s="103"/>
      <c r="AE167" s="103"/>
      <c r="AF167" s="103"/>
      <c r="AG167" s="103"/>
      <c r="AH167" s="103"/>
      <c r="AI167" s="103"/>
      <c r="AJ167" s="103"/>
      <c r="AK167" s="103"/>
      <c r="AL167" s="103"/>
      <c r="AM167" s="103"/>
      <c r="AN167" s="103"/>
      <c r="AO167" s="103"/>
      <c r="AP167" s="103"/>
      <c r="AQ167" s="103"/>
      <c r="AR167" s="103"/>
      <c r="AS167" s="103"/>
      <c r="AT167" s="103"/>
      <c r="AU167" s="103"/>
      <c r="AV167" s="103"/>
    </row>
    <row r="168" spans="2:48">
      <c r="B168" s="13"/>
      <c r="C168" s="13"/>
      <c r="D168" s="24">
        <v>62</v>
      </c>
      <c r="E168" s="105">
        <f t="shared" ca="1" si="24"/>
        <v>0</v>
      </c>
      <c r="F168" s="105">
        <f t="shared" ca="1" si="25"/>
        <v>0</v>
      </c>
      <c r="G168" s="105">
        <f t="shared" ca="1" si="26"/>
        <v>0</v>
      </c>
      <c r="H168" s="105">
        <f t="shared" ca="1" si="27"/>
        <v>1</v>
      </c>
      <c r="I168" s="105">
        <f t="shared" ca="1" si="28"/>
        <v>1</v>
      </c>
      <c r="J168" s="105">
        <f t="shared" ca="1" si="29"/>
        <v>1</v>
      </c>
      <c r="K168" s="105">
        <f t="shared" ca="1" si="30"/>
        <v>1</v>
      </c>
      <c r="L168" s="105">
        <f t="shared" ca="1" si="31"/>
        <v>1</v>
      </c>
      <c r="M168" s="105">
        <f t="shared" ca="1" si="32"/>
        <v>1</v>
      </c>
      <c r="N168" s="105">
        <f t="shared" ca="1" si="33"/>
        <v>1</v>
      </c>
      <c r="O168" s="105">
        <f t="shared" ca="1" si="34"/>
        <v>1</v>
      </c>
      <c r="P168" s="105">
        <f t="shared" ca="1" si="35"/>
        <v>1</v>
      </c>
      <c r="Q168" s="105">
        <f t="shared" ca="1" si="36"/>
        <v>1</v>
      </c>
      <c r="R168" s="105">
        <f t="shared" ca="1" si="37"/>
        <v>1</v>
      </c>
      <c r="S168" s="105">
        <f t="shared" ca="1" si="38"/>
        <v>1</v>
      </c>
      <c r="T168" s="105">
        <f t="shared" ca="1" si="39"/>
        <v>0</v>
      </c>
      <c r="U168" s="105">
        <f t="shared" ca="1" si="40"/>
        <v>0</v>
      </c>
      <c r="V168" s="105">
        <f t="shared" ca="1" si="41"/>
        <v>0</v>
      </c>
      <c r="W168" s="105">
        <f t="shared" ca="1" si="42"/>
        <v>0</v>
      </c>
      <c r="X168" s="105">
        <f t="shared" ca="1" si="43"/>
        <v>0</v>
      </c>
      <c r="Y168" s="105">
        <f t="shared" ca="1" si="44"/>
        <v>0</v>
      </c>
      <c r="Z168" s="105">
        <f t="shared" ca="1" si="45"/>
        <v>0</v>
      </c>
      <c r="AA168" s="105">
        <f t="shared" ca="1" si="46"/>
        <v>0</v>
      </c>
      <c r="AB168" s="105">
        <f t="shared" ca="1" si="47"/>
        <v>0</v>
      </c>
      <c r="AC168" s="105"/>
      <c r="AD168" s="103"/>
      <c r="AE168" s="103"/>
      <c r="AF168" s="103"/>
      <c r="AG168" s="103"/>
      <c r="AH168" s="103"/>
      <c r="AI168" s="103"/>
      <c r="AJ168" s="103"/>
      <c r="AK168" s="103"/>
      <c r="AL168" s="103"/>
      <c r="AM168" s="103"/>
      <c r="AN168" s="103"/>
      <c r="AO168" s="103"/>
      <c r="AP168" s="103"/>
      <c r="AQ168" s="103"/>
      <c r="AR168" s="103"/>
      <c r="AS168" s="103"/>
      <c r="AT168" s="103"/>
      <c r="AU168" s="103"/>
      <c r="AV168" s="103"/>
    </row>
    <row r="169" spans="2:48">
      <c r="B169" s="13"/>
      <c r="C169" s="13"/>
      <c r="D169" s="24">
        <v>63</v>
      </c>
      <c r="E169" s="105">
        <f t="shared" ca="1" si="24"/>
        <v>0</v>
      </c>
      <c r="F169" s="105">
        <f t="shared" ca="1" si="25"/>
        <v>0</v>
      </c>
      <c r="G169" s="105">
        <f t="shared" ca="1" si="26"/>
        <v>0</v>
      </c>
      <c r="H169" s="105">
        <f t="shared" ca="1" si="27"/>
        <v>1</v>
      </c>
      <c r="I169" s="105">
        <f t="shared" ca="1" si="28"/>
        <v>1</v>
      </c>
      <c r="J169" s="105">
        <f t="shared" ca="1" si="29"/>
        <v>1</v>
      </c>
      <c r="K169" s="105">
        <f t="shared" ca="1" si="30"/>
        <v>1</v>
      </c>
      <c r="L169" s="105">
        <f t="shared" ca="1" si="31"/>
        <v>1</v>
      </c>
      <c r="M169" s="105">
        <f t="shared" ca="1" si="32"/>
        <v>1</v>
      </c>
      <c r="N169" s="105">
        <f t="shared" ca="1" si="33"/>
        <v>1</v>
      </c>
      <c r="O169" s="105">
        <f t="shared" ca="1" si="34"/>
        <v>1</v>
      </c>
      <c r="P169" s="105">
        <f t="shared" ca="1" si="35"/>
        <v>1</v>
      </c>
      <c r="Q169" s="105">
        <f t="shared" ca="1" si="36"/>
        <v>1</v>
      </c>
      <c r="R169" s="105">
        <f t="shared" ca="1" si="37"/>
        <v>1</v>
      </c>
      <c r="S169" s="105">
        <f t="shared" ca="1" si="38"/>
        <v>1</v>
      </c>
      <c r="T169" s="105">
        <f t="shared" ca="1" si="39"/>
        <v>0</v>
      </c>
      <c r="U169" s="105">
        <f t="shared" ca="1" si="40"/>
        <v>0</v>
      </c>
      <c r="V169" s="105">
        <f t="shared" ca="1" si="41"/>
        <v>0</v>
      </c>
      <c r="W169" s="105">
        <f t="shared" ca="1" si="42"/>
        <v>0</v>
      </c>
      <c r="X169" s="105">
        <f t="shared" ca="1" si="43"/>
        <v>0</v>
      </c>
      <c r="Y169" s="105">
        <f t="shared" ca="1" si="44"/>
        <v>0</v>
      </c>
      <c r="Z169" s="105">
        <f t="shared" ca="1" si="45"/>
        <v>0</v>
      </c>
      <c r="AA169" s="105">
        <f t="shared" ca="1" si="46"/>
        <v>0</v>
      </c>
      <c r="AB169" s="105">
        <f t="shared" ca="1" si="47"/>
        <v>0</v>
      </c>
      <c r="AC169" s="105"/>
      <c r="AD169" s="103"/>
      <c r="AE169" s="103"/>
      <c r="AF169" s="103"/>
      <c r="AG169" s="103"/>
      <c r="AH169" s="103"/>
      <c r="AI169" s="103"/>
      <c r="AJ169" s="103"/>
      <c r="AK169" s="103"/>
      <c r="AL169" s="103"/>
      <c r="AM169" s="103"/>
      <c r="AN169" s="103"/>
      <c r="AO169" s="103"/>
      <c r="AP169" s="103"/>
      <c r="AQ169" s="103"/>
      <c r="AR169" s="103"/>
      <c r="AS169" s="103"/>
      <c r="AT169" s="103"/>
      <c r="AU169" s="103"/>
      <c r="AV169" s="103"/>
    </row>
    <row r="170" spans="2:48">
      <c r="B170" s="13"/>
      <c r="C170" s="13"/>
      <c r="D170" s="24">
        <v>64</v>
      </c>
      <c r="E170" s="105">
        <f t="shared" ca="1" si="24"/>
        <v>0</v>
      </c>
      <c r="F170" s="105">
        <f t="shared" ca="1" si="25"/>
        <v>0</v>
      </c>
      <c r="G170" s="105">
        <f t="shared" ca="1" si="26"/>
        <v>0</v>
      </c>
      <c r="H170" s="105">
        <f t="shared" ca="1" si="27"/>
        <v>0</v>
      </c>
      <c r="I170" s="105">
        <f t="shared" ca="1" si="28"/>
        <v>0</v>
      </c>
      <c r="J170" s="105">
        <f t="shared" ca="1" si="29"/>
        <v>0</v>
      </c>
      <c r="K170" s="105">
        <f t="shared" ca="1" si="30"/>
        <v>0</v>
      </c>
      <c r="L170" s="105">
        <f t="shared" ca="1" si="31"/>
        <v>1</v>
      </c>
      <c r="M170" s="105">
        <f t="shared" ca="1" si="32"/>
        <v>1</v>
      </c>
      <c r="N170" s="105">
        <f t="shared" ca="1" si="33"/>
        <v>1</v>
      </c>
      <c r="O170" s="105">
        <f t="shared" ca="1" si="34"/>
        <v>1</v>
      </c>
      <c r="P170" s="105">
        <f t="shared" ca="1" si="35"/>
        <v>1</v>
      </c>
      <c r="Q170" s="105">
        <f t="shared" ca="1" si="36"/>
        <v>1</v>
      </c>
      <c r="R170" s="105">
        <f t="shared" ca="1" si="37"/>
        <v>1</v>
      </c>
      <c r="S170" s="105">
        <f t="shared" ca="1" si="38"/>
        <v>1</v>
      </c>
      <c r="T170" s="105">
        <f t="shared" ca="1" si="39"/>
        <v>0</v>
      </c>
      <c r="U170" s="105">
        <f t="shared" ca="1" si="40"/>
        <v>0</v>
      </c>
      <c r="V170" s="105">
        <f t="shared" ca="1" si="41"/>
        <v>0</v>
      </c>
      <c r="W170" s="105">
        <f t="shared" ca="1" si="42"/>
        <v>0</v>
      </c>
      <c r="X170" s="105">
        <f t="shared" ca="1" si="43"/>
        <v>0</v>
      </c>
      <c r="Y170" s="105">
        <f t="shared" ca="1" si="44"/>
        <v>0</v>
      </c>
      <c r="Z170" s="105">
        <f t="shared" ca="1" si="45"/>
        <v>0</v>
      </c>
      <c r="AA170" s="105">
        <f t="shared" ca="1" si="46"/>
        <v>0</v>
      </c>
      <c r="AB170" s="105">
        <f t="shared" ca="1" si="47"/>
        <v>0</v>
      </c>
      <c r="AC170" s="105"/>
      <c r="AD170" s="103"/>
      <c r="AE170" s="103"/>
      <c r="AF170" s="103"/>
      <c r="AG170" s="103"/>
      <c r="AH170" s="103"/>
      <c r="AI170" s="103"/>
      <c r="AJ170" s="103"/>
      <c r="AK170" s="103"/>
      <c r="AL170" s="103"/>
      <c r="AM170" s="103"/>
      <c r="AN170" s="103"/>
      <c r="AO170" s="103"/>
      <c r="AP170" s="103"/>
      <c r="AQ170" s="103"/>
      <c r="AR170" s="103"/>
      <c r="AS170" s="103"/>
      <c r="AT170" s="103"/>
      <c r="AU170" s="103"/>
      <c r="AV170" s="103"/>
    </row>
    <row r="171" spans="2:48">
      <c r="B171" s="13"/>
      <c r="C171" s="13"/>
      <c r="D171" s="24">
        <v>65</v>
      </c>
      <c r="E171" s="105">
        <f t="shared" ca="1" si="24"/>
        <v>0</v>
      </c>
      <c r="F171" s="105">
        <f t="shared" ca="1" si="25"/>
        <v>0</v>
      </c>
      <c r="G171" s="105">
        <f t="shared" ca="1" si="26"/>
        <v>0</v>
      </c>
      <c r="H171" s="105">
        <f t="shared" ca="1" si="27"/>
        <v>0</v>
      </c>
      <c r="I171" s="105">
        <f t="shared" ca="1" si="28"/>
        <v>0</v>
      </c>
      <c r="J171" s="105">
        <f t="shared" ca="1" si="29"/>
        <v>0</v>
      </c>
      <c r="K171" s="105">
        <f t="shared" ca="1" si="30"/>
        <v>0</v>
      </c>
      <c r="L171" s="105">
        <f t="shared" ca="1" si="31"/>
        <v>0</v>
      </c>
      <c r="M171" s="105">
        <f t="shared" ca="1" si="32"/>
        <v>1</v>
      </c>
      <c r="N171" s="105">
        <f t="shared" ca="1" si="33"/>
        <v>1</v>
      </c>
      <c r="O171" s="105">
        <f t="shared" ca="1" si="34"/>
        <v>1</v>
      </c>
      <c r="P171" s="105">
        <f t="shared" ca="1" si="35"/>
        <v>1</v>
      </c>
      <c r="Q171" s="105">
        <f t="shared" ca="1" si="36"/>
        <v>1</v>
      </c>
      <c r="R171" s="105">
        <f t="shared" ca="1" si="37"/>
        <v>1</v>
      </c>
      <c r="S171" s="105">
        <f t="shared" ca="1" si="38"/>
        <v>1</v>
      </c>
      <c r="T171" s="105">
        <f t="shared" ca="1" si="39"/>
        <v>0</v>
      </c>
      <c r="U171" s="105">
        <f t="shared" ca="1" si="40"/>
        <v>0</v>
      </c>
      <c r="V171" s="105">
        <f t="shared" ca="1" si="41"/>
        <v>0</v>
      </c>
      <c r="W171" s="105">
        <f t="shared" ca="1" si="42"/>
        <v>0</v>
      </c>
      <c r="X171" s="105">
        <f t="shared" ca="1" si="43"/>
        <v>0</v>
      </c>
      <c r="Y171" s="105">
        <f t="shared" ca="1" si="44"/>
        <v>0</v>
      </c>
      <c r="Z171" s="105">
        <f t="shared" ca="1" si="45"/>
        <v>0</v>
      </c>
      <c r="AA171" s="105">
        <f t="shared" ca="1" si="46"/>
        <v>0</v>
      </c>
      <c r="AB171" s="105">
        <f t="shared" ca="1" si="47"/>
        <v>0</v>
      </c>
      <c r="AC171" s="105"/>
      <c r="AD171" s="103"/>
      <c r="AE171" s="103"/>
      <c r="AF171" s="103"/>
      <c r="AG171" s="103"/>
      <c r="AH171" s="103"/>
      <c r="AI171" s="103"/>
      <c r="AJ171" s="103"/>
      <c r="AK171" s="103"/>
      <c r="AL171" s="103"/>
      <c r="AM171" s="103"/>
      <c r="AN171" s="103"/>
      <c r="AO171" s="103"/>
      <c r="AP171" s="103"/>
      <c r="AQ171" s="103"/>
      <c r="AR171" s="103"/>
      <c r="AS171" s="103"/>
      <c r="AT171" s="103"/>
      <c r="AU171" s="103"/>
      <c r="AV171" s="103"/>
    </row>
    <row r="172" spans="2:48">
      <c r="B172" s="13"/>
      <c r="C172" s="13"/>
      <c r="D172" s="24">
        <v>66</v>
      </c>
      <c r="E172" s="105">
        <f t="shared" ca="1" si="24"/>
        <v>0</v>
      </c>
      <c r="F172" s="105">
        <f t="shared" ca="1" si="25"/>
        <v>0</v>
      </c>
      <c r="G172" s="105">
        <f t="shared" ca="1" si="26"/>
        <v>0</v>
      </c>
      <c r="H172" s="105">
        <f t="shared" ca="1" si="27"/>
        <v>0</v>
      </c>
      <c r="I172" s="105">
        <f t="shared" ca="1" si="28"/>
        <v>0</v>
      </c>
      <c r="J172" s="105">
        <f t="shared" ca="1" si="29"/>
        <v>0</v>
      </c>
      <c r="K172" s="105">
        <f t="shared" ca="1" si="30"/>
        <v>0</v>
      </c>
      <c r="L172" s="105">
        <f t="shared" ca="1" si="31"/>
        <v>0</v>
      </c>
      <c r="M172" s="105">
        <f t="shared" ca="1" si="32"/>
        <v>0</v>
      </c>
      <c r="N172" s="105">
        <f t="shared" ca="1" si="33"/>
        <v>0</v>
      </c>
      <c r="O172" s="105">
        <f t="shared" ca="1" si="34"/>
        <v>1</v>
      </c>
      <c r="P172" s="105">
        <f t="shared" ca="1" si="35"/>
        <v>1</v>
      </c>
      <c r="Q172" s="105">
        <f t="shared" ca="1" si="36"/>
        <v>1</v>
      </c>
      <c r="R172" s="105">
        <f t="shared" ca="1" si="37"/>
        <v>1</v>
      </c>
      <c r="S172" s="105">
        <f t="shared" ca="1" si="38"/>
        <v>1</v>
      </c>
      <c r="T172" s="105">
        <f t="shared" ca="1" si="39"/>
        <v>1</v>
      </c>
      <c r="U172" s="105">
        <f t="shared" ca="1" si="40"/>
        <v>1</v>
      </c>
      <c r="V172" s="105">
        <f t="shared" ca="1" si="41"/>
        <v>1</v>
      </c>
      <c r="W172" s="105">
        <f t="shared" ca="1" si="42"/>
        <v>1</v>
      </c>
      <c r="X172" s="105">
        <f t="shared" ca="1" si="43"/>
        <v>1</v>
      </c>
      <c r="Y172" s="105">
        <f t="shared" ca="1" si="44"/>
        <v>1</v>
      </c>
      <c r="Z172" s="105">
        <f t="shared" ca="1" si="45"/>
        <v>1</v>
      </c>
      <c r="AA172" s="105">
        <f t="shared" ca="1" si="46"/>
        <v>0</v>
      </c>
      <c r="AB172" s="105">
        <f t="shared" ca="1" si="47"/>
        <v>0</v>
      </c>
      <c r="AC172" s="105"/>
      <c r="AD172" s="103"/>
      <c r="AE172" s="103"/>
      <c r="AF172" s="103"/>
      <c r="AG172" s="103"/>
      <c r="AH172" s="103"/>
      <c r="AI172" s="103"/>
      <c r="AJ172" s="103"/>
      <c r="AK172" s="103"/>
      <c r="AL172" s="103"/>
      <c r="AM172" s="103"/>
      <c r="AN172" s="103"/>
      <c r="AO172" s="103"/>
      <c r="AP172" s="103"/>
      <c r="AQ172" s="103"/>
      <c r="AR172" s="103"/>
      <c r="AS172" s="103"/>
      <c r="AT172" s="103"/>
      <c r="AU172" s="103"/>
      <c r="AV172" s="103"/>
    </row>
    <row r="173" spans="2:48">
      <c r="B173" s="13"/>
      <c r="C173" s="13"/>
      <c r="D173" s="24">
        <v>67</v>
      </c>
      <c r="E173" s="105">
        <f t="shared" ca="1" si="24"/>
        <v>0</v>
      </c>
      <c r="F173" s="105">
        <f t="shared" ca="1" si="25"/>
        <v>0</v>
      </c>
      <c r="G173" s="105">
        <f t="shared" ca="1" si="26"/>
        <v>0</v>
      </c>
      <c r="H173" s="105">
        <f t="shared" ca="1" si="27"/>
        <v>0</v>
      </c>
      <c r="I173" s="105">
        <f t="shared" ca="1" si="28"/>
        <v>0</v>
      </c>
      <c r="J173" s="105">
        <f t="shared" ca="1" si="29"/>
        <v>0</v>
      </c>
      <c r="K173" s="105">
        <f t="shared" ca="1" si="30"/>
        <v>0</v>
      </c>
      <c r="L173" s="105">
        <f t="shared" ca="1" si="31"/>
        <v>0</v>
      </c>
      <c r="M173" s="105">
        <f t="shared" ca="1" si="32"/>
        <v>0</v>
      </c>
      <c r="N173" s="105">
        <f t="shared" ca="1" si="33"/>
        <v>0</v>
      </c>
      <c r="O173" s="105">
        <f t="shared" ca="1" si="34"/>
        <v>1</v>
      </c>
      <c r="P173" s="105">
        <f t="shared" ca="1" si="35"/>
        <v>1</v>
      </c>
      <c r="Q173" s="105">
        <f t="shared" ca="1" si="36"/>
        <v>1</v>
      </c>
      <c r="R173" s="105">
        <f t="shared" ca="1" si="37"/>
        <v>1</v>
      </c>
      <c r="S173" s="105">
        <f t="shared" ca="1" si="38"/>
        <v>1</v>
      </c>
      <c r="T173" s="105">
        <f t="shared" ca="1" si="39"/>
        <v>1</v>
      </c>
      <c r="U173" s="105">
        <f t="shared" ca="1" si="40"/>
        <v>1</v>
      </c>
      <c r="V173" s="105">
        <f t="shared" ca="1" si="41"/>
        <v>1</v>
      </c>
      <c r="W173" s="105">
        <f t="shared" ca="1" si="42"/>
        <v>1</v>
      </c>
      <c r="X173" s="105">
        <f t="shared" ca="1" si="43"/>
        <v>1</v>
      </c>
      <c r="Y173" s="105">
        <f t="shared" ca="1" si="44"/>
        <v>1</v>
      </c>
      <c r="Z173" s="105">
        <f t="shared" ca="1" si="45"/>
        <v>1</v>
      </c>
      <c r="AA173" s="105">
        <f t="shared" ca="1" si="46"/>
        <v>0</v>
      </c>
      <c r="AB173" s="105">
        <f t="shared" ca="1" si="47"/>
        <v>0</v>
      </c>
      <c r="AC173" s="105"/>
      <c r="AD173" s="103"/>
      <c r="AE173" s="103"/>
      <c r="AF173" s="103"/>
      <c r="AG173" s="103"/>
      <c r="AH173" s="103"/>
      <c r="AI173" s="103"/>
      <c r="AJ173" s="103"/>
      <c r="AK173" s="103"/>
      <c r="AL173" s="103"/>
      <c r="AM173" s="103"/>
      <c r="AN173" s="103"/>
      <c r="AO173" s="103"/>
      <c r="AP173" s="103"/>
      <c r="AQ173" s="103"/>
      <c r="AR173" s="103"/>
      <c r="AS173" s="103"/>
      <c r="AT173" s="103"/>
      <c r="AU173" s="103"/>
      <c r="AV173" s="103"/>
    </row>
    <row r="174" spans="2:48">
      <c r="B174" s="13"/>
      <c r="C174" s="13"/>
      <c r="D174" s="24">
        <v>68</v>
      </c>
      <c r="E174" s="105">
        <f t="shared" ca="1" si="24"/>
        <v>0</v>
      </c>
      <c r="F174" s="105">
        <f t="shared" ca="1" si="25"/>
        <v>0</v>
      </c>
      <c r="G174" s="105">
        <f t="shared" ca="1" si="26"/>
        <v>0</v>
      </c>
      <c r="H174" s="105">
        <f t="shared" ca="1" si="27"/>
        <v>0</v>
      </c>
      <c r="I174" s="105">
        <f t="shared" ca="1" si="28"/>
        <v>0</v>
      </c>
      <c r="J174" s="105">
        <f t="shared" ca="1" si="29"/>
        <v>0</v>
      </c>
      <c r="K174" s="105">
        <f t="shared" ca="1" si="30"/>
        <v>0</v>
      </c>
      <c r="L174" s="105">
        <f t="shared" ca="1" si="31"/>
        <v>0</v>
      </c>
      <c r="M174" s="105">
        <f t="shared" ca="1" si="32"/>
        <v>0</v>
      </c>
      <c r="N174" s="105">
        <f t="shared" ca="1" si="33"/>
        <v>0</v>
      </c>
      <c r="O174" s="105">
        <f t="shared" ca="1" si="34"/>
        <v>1</v>
      </c>
      <c r="P174" s="105">
        <f t="shared" ca="1" si="35"/>
        <v>1</v>
      </c>
      <c r="Q174" s="105">
        <f t="shared" ca="1" si="36"/>
        <v>1</v>
      </c>
      <c r="R174" s="105">
        <f t="shared" ca="1" si="37"/>
        <v>1</v>
      </c>
      <c r="S174" s="105">
        <f t="shared" ca="1" si="38"/>
        <v>1</v>
      </c>
      <c r="T174" s="105">
        <f t="shared" ca="1" si="39"/>
        <v>1</v>
      </c>
      <c r="U174" s="105">
        <f t="shared" ca="1" si="40"/>
        <v>1</v>
      </c>
      <c r="V174" s="105">
        <f t="shared" ca="1" si="41"/>
        <v>1</v>
      </c>
      <c r="W174" s="105">
        <f t="shared" ca="1" si="42"/>
        <v>1</v>
      </c>
      <c r="X174" s="105">
        <f t="shared" ca="1" si="43"/>
        <v>1</v>
      </c>
      <c r="Y174" s="105">
        <f t="shared" ca="1" si="44"/>
        <v>1</v>
      </c>
      <c r="Z174" s="105">
        <f t="shared" ca="1" si="45"/>
        <v>1</v>
      </c>
      <c r="AA174" s="105">
        <f t="shared" ca="1" si="46"/>
        <v>0</v>
      </c>
      <c r="AB174" s="105">
        <f t="shared" ca="1" si="47"/>
        <v>0</v>
      </c>
      <c r="AC174" s="105"/>
      <c r="AD174" s="103"/>
      <c r="AE174" s="103"/>
      <c r="AF174" s="103"/>
      <c r="AG174" s="103"/>
      <c r="AH174" s="103"/>
      <c r="AI174" s="103"/>
      <c r="AJ174" s="103"/>
      <c r="AK174" s="103"/>
      <c r="AL174" s="103"/>
      <c r="AM174" s="103"/>
      <c r="AN174" s="103"/>
      <c r="AO174" s="103"/>
      <c r="AP174" s="103"/>
      <c r="AQ174" s="103"/>
      <c r="AR174" s="103"/>
      <c r="AS174" s="103"/>
      <c r="AT174" s="103"/>
      <c r="AU174" s="103"/>
      <c r="AV174" s="103"/>
    </row>
    <row r="175" spans="2:48">
      <c r="B175" s="13"/>
      <c r="C175" s="13"/>
      <c r="D175" s="24">
        <v>69</v>
      </c>
      <c r="E175" s="105">
        <f t="shared" ca="1" si="24"/>
        <v>0</v>
      </c>
      <c r="F175" s="105">
        <f t="shared" ca="1" si="25"/>
        <v>0</v>
      </c>
      <c r="G175" s="105">
        <f t="shared" ca="1" si="26"/>
        <v>0</v>
      </c>
      <c r="H175" s="105">
        <f t="shared" ca="1" si="27"/>
        <v>0</v>
      </c>
      <c r="I175" s="105">
        <f t="shared" ca="1" si="28"/>
        <v>0</v>
      </c>
      <c r="J175" s="105">
        <f t="shared" ca="1" si="29"/>
        <v>0</v>
      </c>
      <c r="K175" s="105">
        <f t="shared" ca="1" si="30"/>
        <v>0</v>
      </c>
      <c r="L175" s="105">
        <f t="shared" ca="1" si="31"/>
        <v>0</v>
      </c>
      <c r="M175" s="105">
        <f t="shared" ca="1" si="32"/>
        <v>0</v>
      </c>
      <c r="N175" s="105">
        <f t="shared" ca="1" si="33"/>
        <v>0</v>
      </c>
      <c r="O175" s="105">
        <f t="shared" ca="1" si="34"/>
        <v>1</v>
      </c>
      <c r="P175" s="105">
        <f t="shared" ca="1" si="35"/>
        <v>1</v>
      </c>
      <c r="Q175" s="105">
        <f t="shared" ca="1" si="36"/>
        <v>1</v>
      </c>
      <c r="R175" s="105">
        <f t="shared" ca="1" si="37"/>
        <v>1</v>
      </c>
      <c r="S175" s="105">
        <f t="shared" ca="1" si="38"/>
        <v>1</v>
      </c>
      <c r="T175" s="105">
        <f t="shared" ca="1" si="39"/>
        <v>1</v>
      </c>
      <c r="U175" s="105">
        <f t="shared" ca="1" si="40"/>
        <v>1</v>
      </c>
      <c r="V175" s="105">
        <f t="shared" ca="1" si="41"/>
        <v>1</v>
      </c>
      <c r="W175" s="105">
        <f t="shared" ca="1" si="42"/>
        <v>1</v>
      </c>
      <c r="X175" s="105">
        <f t="shared" ca="1" si="43"/>
        <v>1</v>
      </c>
      <c r="Y175" s="105">
        <f t="shared" ca="1" si="44"/>
        <v>1</v>
      </c>
      <c r="Z175" s="105">
        <f t="shared" ca="1" si="45"/>
        <v>1</v>
      </c>
      <c r="AA175" s="105">
        <f t="shared" ca="1" si="46"/>
        <v>0</v>
      </c>
      <c r="AB175" s="105">
        <f t="shared" ca="1" si="47"/>
        <v>0</v>
      </c>
      <c r="AC175" s="105"/>
      <c r="AD175" s="103"/>
      <c r="AE175" s="103"/>
      <c r="AF175" s="103"/>
      <c r="AG175" s="103"/>
      <c r="AH175" s="103"/>
      <c r="AI175" s="103"/>
      <c r="AJ175" s="103"/>
      <c r="AK175" s="103"/>
      <c r="AL175" s="103"/>
      <c r="AM175" s="103"/>
      <c r="AN175" s="103"/>
      <c r="AO175" s="103"/>
      <c r="AP175" s="103"/>
      <c r="AQ175" s="103"/>
      <c r="AR175" s="103"/>
      <c r="AS175" s="103"/>
      <c r="AT175" s="103"/>
      <c r="AU175" s="103"/>
      <c r="AV175" s="103"/>
    </row>
    <row r="176" spans="2:48">
      <c r="B176" s="13"/>
      <c r="C176" s="13"/>
      <c r="D176" s="24">
        <v>70</v>
      </c>
      <c r="E176" s="105">
        <f t="shared" ca="1" si="24"/>
        <v>0</v>
      </c>
      <c r="F176" s="105">
        <f t="shared" ca="1" si="25"/>
        <v>0</v>
      </c>
      <c r="G176" s="105">
        <f t="shared" ca="1" si="26"/>
        <v>0</v>
      </c>
      <c r="H176" s="105">
        <f t="shared" ca="1" si="27"/>
        <v>0</v>
      </c>
      <c r="I176" s="105">
        <f t="shared" ca="1" si="28"/>
        <v>0</v>
      </c>
      <c r="J176" s="105">
        <f t="shared" ca="1" si="29"/>
        <v>0</v>
      </c>
      <c r="K176" s="105">
        <f t="shared" ca="1" si="30"/>
        <v>0</v>
      </c>
      <c r="L176" s="105">
        <f t="shared" ca="1" si="31"/>
        <v>0</v>
      </c>
      <c r="M176" s="105">
        <f t="shared" ca="1" si="32"/>
        <v>0</v>
      </c>
      <c r="N176" s="105">
        <f t="shared" ca="1" si="33"/>
        <v>0</v>
      </c>
      <c r="O176" s="105">
        <f t="shared" ca="1" si="34"/>
        <v>1</v>
      </c>
      <c r="P176" s="105">
        <f t="shared" ca="1" si="35"/>
        <v>1</v>
      </c>
      <c r="Q176" s="105">
        <f t="shared" ca="1" si="36"/>
        <v>1</v>
      </c>
      <c r="R176" s="105">
        <f t="shared" ca="1" si="37"/>
        <v>1</v>
      </c>
      <c r="S176" s="105">
        <f t="shared" ca="1" si="38"/>
        <v>1</v>
      </c>
      <c r="T176" s="105">
        <f t="shared" ca="1" si="39"/>
        <v>1</v>
      </c>
      <c r="U176" s="105">
        <f t="shared" ca="1" si="40"/>
        <v>1</v>
      </c>
      <c r="V176" s="105">
        <f t="shared" ca="1" si="41"/>
        <v>1</v>
      </c>
      <c r="W176" s="105">
        <f t="shared" ca="1" si="42"/>
        <v>1</v>
      </c>
      <c r="X176" s="105">
        <f t="shared" ca="1" si="43"/>
        <v>1</v>
      </c>
      <c r="Y176" s="105">
        <f t="shared" ca="1" si="44"/>
        <v>1</v>
      </c>
      <c r="Z176" s="105">
        <f t="shared" ca="1" si="45"/>
        <v>1</v>
      </c>
      <c r="AA176" s="105">
        <f t="shared" ca="1" si="46"/>
        <v>0</v>
      </c>
      <c r="AB176" s="105">
        <f t="shared" ca="1" si="47"/>
        <v>0</v>
      </c>
      <c r="AC176" s="105"/>
      <c r="AD176" s="103"/>
      <c r="AE176" s="103"/>
      <c r="AF176" s="103"/>
      <c r="AG176" s="103"/>
      <c r="AH176" s="103"/>
      <c r="AI176" s="103"/>
      <c r="AJ176" s="103"/>
      <c r="AK176" s="103"/>
      <c r="AL176" s="103"/>
      <c r="AM176" s="103"/>
      <c r="AN176" s="103"/>
      <c r="AO176" s="103"/>
      <c r="AP176" s="103"/>
      <c r="AQ176" s="103"/>
      <c r="AR176" s="103"/>
      <c r="AS176" s="103"/>
      <c r="AT176" s="103"/>
      <c r="AU176" s="103"/>
      <c r="AV176" s="103"/>
    </row>
    <row r="177" spans="2:48">
      <c r="B177" s="13"/>
      <c r="C177" s="13"/>
      <c r="D177" s="24">
        <v>71</v>
      </c>
      <c r="E177" s="105">
        <f t="shared" ca="1" si="24"/>
        <v>0</v>
      </c>
      <c r="F177" s="105">
        <f t="shared" ca="1" si="25"/>
        <v>0</v>
      </c>
      <c r="G177" s="105">
        <f t="shared" ca="1" si="26"/>
        <v>0</v>
      </c>
      <c r="H177" s="105">
        <f t="shared" ca="1" si="27"/>
        <v>0</v>
      </c>
      <c r="I177" s="105">
        <f t="shared" ca="1" si="28"/>
        <v>0</v>
      </c>
      <c r="J177" s="105">
        <f t="shared" ca="1" si="29"/>
        <v>0</v>
      </c>
      <c r="K177" s="105">
        <f t="shared" ca="1" si="30"/>
        <v>0</v>
      </c>
      <c r="L177" s="105">
        <f t="shared" ca="1" si="31"/>
        <v>0</v>
      </c>
      <c r="M177" s="105">
        <f t="shared" ca="1" si="32"/>
        <v>0</v>
      </c>
      <c r="N177" s="105">
        <f t="shared" ca="1" si="33"/>
        <v>0</v>
      </c>
      <c r="O177" s="105">
        <f t="shared" ca="1" si="34"/>
        <v>0</v>
      </c>
      <c r="P177" s="105">
        <f t="shared" ca="1" si="35"/>
        <v>0</v>
      </c>
      <c r="Q177" s="105">
        <f t="shared" ca="1" si="36"/>
        <v>0</v>
      </c>
      <c r="R177" s="105">
        <f t="shared" ca="1" si="37"/>
        <v>0</v>
      </c>
      <c r="S177" s="105">
        <f t="shared" ca="1" si="38"/>
        <v>0</v>
      </c>
      <c r="T177" s="105">
        <f t="shared" ca="1" si="39"/>
        <v>0</v>
      </c>
      <c r="U177" s="105">
        <f t="shared" ca="1" si="40"/>
        <v>0</v>
      </c>
      <c r="V177" s="105">
        <f t="shared" ca="1" si="41"/>
        <v>0</v>
      </c>
      <c r="W177" s="105">
        <f t="shared" ca="1" si="42"/>
        <v>0</v>
      </c>
      <c r="X177" s="105">
        <f t="shared" ca="1" si="43"/>
        <v>0</v>
      </c>
      <c r="Y177" s="105">
        <f t="shared" ca="1" si="44"/>
        <v>0</v>
      </c>
      <c r="Z177" s="105">
        <f t="shared" ca="1" si="45"/>
        <v>0</v>
      </c>
      <c r="AA177" s="105">
        <f t="shared" ca="1" si="46"/>
        <v>0</v>
      </c>
      <c r="AB177" s="105">
        <f t="shared" ca="1" si="47"/>
        <v>0</v>
      </c>
      <c r="AC177" s="105"/>
      <c r="AD177" s="103"/>
      <c r="AE177" s="103"/>
      <c r="AF177" s="103"/>
      <c r="AG177" s="103"/>
      <c r="AH177" s="103"/>
      <c r="AI177" s="103"/>
      <c r="AJ177" s="103"/>
      <c r="AK177" s="103"/>
      <c r="AL177" s="103"/>
      <c r="AM177" s="103"/>
      <c r="AN177" s="103"/>
      <c r="AO177" s="103"/>
      <c r="AP177" s="103"/>
      <c r="AQ177" s="103"/>
      <c r="AR177" s="103"/>
      <c r="AS177" s="103"/>
      <c r="AT177" s="103"/>
      <c r="AU177" s="103"/>
      <c r="AV177" s="103"/>
    </row>
    <row r="178" spans="2:48">
      <c r="B178" s="13"/>
      <c r="C178" s="13"/>
      <c r="D178" s="24">
        <v>72</v>
      </c>
      <c r="E178" s="105">
        <f t="shared" ca="1" si="24"/>
        <v>0</v>
      </c>
      <c r="F178" s="105">
        <f t="shared" ca="1" si="25"/>
        <v>0</v>
      </c>
      <c r="G178" s="105">
        <f t="shared" ca="1" si="26"/>
        <v>0</v>
      </c>
      <c r="H178" s="105">
        <f t="shared" ca="1" si="27"/>
        <v>0</v>
      </c>
      <c r="I178" s="105">
        <f t="shared" ca="1" si="28"/>
        <v>0</v>
      </c>
      <c r="J178" s="105">
        <f t="shared" ca="1" si="29"/>
        <v>0</v>
      </c>
      <c r="K178" s="105">
        <f t="shared" ca="1" si="30"/>
        <v>0</v>
      </c>
      <c r="L178" s="105">
        <f t="shared" ca="1" si="31"/>
        <v>0</v>
      </c>
      <c r="M178" s="105">
        <f t="shared" ca="1" si="32"/>
        <v>0</v>
      </c>
      <c r="N178" s="105">
        <f t="shared" ca="1" si="33"/>
        <v>0</v>
      </c>
      <c r="O178" s="105">
        <f t="shared" ca="1" si="34"/>
        <v>1</v>
      </c>
      <c r="P178" s="105">
        <f t="shared" ca="1" si="35"/>
        <v>1</v>
      </c>
      <c r="Q178" s="105">
        <f t="shared" ca="1" si="36"/>
        <v>1</v>
      </c>
      <c r="R178" s="105">
        <f t="shared" ca="1" si="37"/>
        <v>1</v>
      </c>
      <c r="S178" s="105">
        <f t="shared" ca="1" si="38"/>
        <v>1</v>
      </c>
      <c r="T178" s="105">
        <f t="shared" ca="1" si="39"/>
        <v>1</v>
      </c>
      <c r="U178" s="105">
        <f t="shared" ca="1" si="40"/>
        <v>1</v>
      </c>
      <c r="V178" s="105">
        <f t="shared" ca="1" si="41"/>
        <v>1</v>
      </c>
      <c r="W178" s="105">
        <f t="shared" ca="1" si="42"/>
        <v>1</v>
      </c>
      <c r="X178" s="105">
        <f t="shared" ca="1" si="43"/>
        <v>1</v>
      </c>
      <c r="Y178" s="105">
        <f t="shared" ca="1" si="44"/>
        <v>1</v>
      </c>
      <c r="Z178" s="105">
        <f t="shared" ca="1" si="45"/>
        <v>1</v>
      </c>
      <c r="AA178" s="105">
        <f t="shared" ca="1" si="46"/>
        <v>0</v>
      </c>
      <c r="AB178" s="105">
        <f t="shared" ca="1" si="47"/>
        <v>0</v>
      </c>
      <c r="AC178" s="105"/>
      <c r="AD178" s="103"/>
      <c r="AE178" s="103"/>
      <c r="AF178" s="103"/>
      <c r="AG178" s="103"/>
      <c r="AH178" s="103"/>
      <c r="AI178" s="103"/>
      <c r="AJ178" s="103"/>
      <c r="AK178" s="103"/>
      <c r="AL178" s="103"/>
      <c r="AM178" s="103"/>
      <c r="AN178" s="103"/>
      <c r="AO178" s="103"/>
      <c r="AP178" s="103"/>
      <c r="AQ178" s="103"/>
      <c r="AR178" s="103"/>
      <c r="AS178" s="103"/>
      <c r="AT178" s="103"/>
      <c r="AU178" s="103"/>
      <c r="AV178" s="103"/>
    </row>
    <row r="179" spans="2:48">
      <c r="B179" s="13"/>
      <c r="C179" s="13"/>
      <c r="D179" s="24" t="s">
        <v>3</v>
      </c>
      <c r="E179" s="105">
        <f t="shared" ca="1" si="24"/>
        <v>0</v>
      </c>
      <c r="F179" s="105">
        <f t="shared" ca="1" si="25"/>
        <v>0</v>
      </c>
      <c r="G179" s="105">
        <f t="shared" ca="1" si="26"/>
        <v>0</v>
      </c>
      <c r="H179" s="105">
        <f t="shared" ca="1" si="27"/>
        <v>0</v>
      </c>
      <c r="I179" s="105">
        <f t="shared" ca="1" si="28"/>
        <v>0</v>
      </c>
      <c r="J179" s="105">
        <f t="shared" ca="1" si="29"/>
        <v>0</v>
      </c>
      <c r="K179" s="105">
        <f t="shared" ca="1" si="30"/>
        <v>0</v>
      </c>
      <c r="L179" s="105">
        <f t="shared" ca="1" si="31"/>
        <v>0</v>
      </c>
      <c r="M179" s="105">
        <f t="shared" ca="1" si="32"/>
        <v>0</v>
      </c>
      <c r="N179" s="105">
        <f t="shared" ca="1" si="33"/>
        <v>0</v>
      </c>
      <c r="O179" s="105">
        <f t="shared" ca="1" si="34"/>
        <v>1</v>
      </c>
      <c r="P179" s="105">
        <f t="shared" ca="1" si="35"/>
        <v>1</v>
      </c>
      <c r="Q179" s="105">
        <f t="shared" ca="1" si="36"/>
        <v>1</v>
      </c>
      <c r="R179" s="105">
        <f t="shared" ca="1" si="37"/>
        <v>1</v>
      </c>
      <c r="S179" s="105">
        <f t="shared" ca="1" si="38"/>
        <v>1</v>
      </c>
      <c r="T179" s="105">
        <f t="shared" ca="1" si="39"/>
        <v>1</v>
      </c>
      <c r="U179" s="105">
        <f t="shared" ca="1" si="40"/>
        <v>1</v>
      </c>
      <c r="V179" s="105">
        <f t="shared" ca="1" si="41"/>
        <v>1</v>
      </c>
      <c r="W179" s="105">
        <f t="shared" ca="1" si="42"/>
        <v>1</v>
      </c>
      <c r="X179" s="105">
        <f t="shared" ca="1" si="43"/>
        <v>1</v>
      </c>
      <c r="Y179" s="105">
        <f t="shared" ca="1" si="44"/>
        <v>1</v>
      </c>
      <c r="Z179" s="105">
        <f t="shared" ca="1" si="45"/>
        <v>1</v>
      </c>
      <c r="AA179" s="105">
        <f t="shared" ca="1" si="46"/>
        <v>0</v>
      </c>
      <c r="AB179" s="105">
        <f t="shared" ca="1" si="47"/>
        <v>0</v>
      </c>
      <c r="AC179" s="105"/>
      <c r="AD179" s="103"/>
      <c r="AE179" s="103"/>
      <c r="AF179" s="103"/>
      <c r="AG179" s="103"/>
      <c r="AH179" s="103"/>
      <c r="AI179" s="103"/>
      <c r="AJ179" s="103"/>
      <c r="AK179" s="103"/>
      <c r="AL179" s="103"/>
      <c r="AM179" s="103"/>
      <c r="AN179" s="103"/>
      <c r="AO179" s="103"/>
      <c r="AP179" s="103"/>
      <c r="AQ179" s="103"/>
      <c r="AR179" s="103"/>
      <c r="AS179" s="103"/>
      <c r="AT179" s="103"/>
      <c r="AU179" s="103"/>
      <c r="AV179" s="103"/>
    </row>
    <row r="180" spans="2:48">
      <c r="B180" s="13"/>
      <c r="C180" s="13"/>
      <c r="E180" s="105">
        <f t="shared" ca="1" si="24"/>
        <v>0</v>
      </c>
      <c r="F180" s="105">
        <f t="shared" ca="1" si="25"/>
        <v>0</v>
      </c>
      <c r="G180" s="105">
        <f t="shared" ca="1" si="26"/>
        <v>0</v>
      </c>
      <c r="H180" s="105">
        <f t="shared" ca="1" si="27"/>
        <v>0</v>
      </c>
      <c r="I180" s="105">
        <f t="shared" ca="1" si="28"/>
        <v>0</v>
      </c>
      <c r="J180" s="105">
        <f t="shared" ca="1" si="29"/>
        <v>0</v>
      </c>
      <c r="K180" s="105">
        <f t="shared" ca="1" si="30"/>
        <v>0</v>
      </c>
      <c r="L180" s="105">
        <f t="shared" ca="1" si="31"/>
        <v>0</v>
      </c>
      <c r="M180" s="105">
        <f t="shared" ca="1" si="32"/>
        <v>0</v>
      </c>
      <c r="N180" s="105">
        <f t="shared" ca="1" si="33"/>
        <v>0</v>
      </c>
      <c r="O180" s="105">
        <f t="shared" ca="1" si="34"/>
        <v>1</v>
      </c>
      <c r="P180" s="105">
        <f t="shared" ca="1" si="35"/>
        <v>1</v>
      </c>
      <c r="Q180" s="105">
        <f t="shared" ca="1" si="36"/>
        <v>1</v>
      </c>
      <c r="R180" s="105">
        <f t="shared" ca="1" si="37"/>
        <v>1</v>
      </c>
      <c r="S180" s="105">
        <f t="shared" ca="1" si="38"/>
        <v>1</v>
      </c>
      <c r="T180" s="105">
        <f t="shared" ca="1" si="39"/>
        <v>1</v>
      </c>
      <c r="U180" s="105">
        <f t="shared" ca="1" si="40"/>
        <v>1</v>
      </c>
      <c r="V180" s="105">
        <f t="shared" ca="1" si="41"/>
        <v>1</v>
      </c>
      <c r="W180" s="105">
        <f t="shared" ca="1" si="42"/>
        <v>1</v>
      </c>
      <c r="X180" s="105">
        <f t="shared" ca="1" si="43"/>
        <v>1</v>
      </c>
      <c r="Y180" s="105">
        <f t="shared" ca="1" si="44"/>
        <v>1</v>
      </c>
      <c r="Z180" s="105">
        <f t="shared" ca="1" si="45"/>
        <v>1</v>
      </c>
      <c r="AA180" s="105">
        <f t="shared" ca="1" si="46"/>
        <v>0</v>
      </c>
      <c r="AB180" s="105">
        <f t="shared" ca="1" si="47"/>
        <v>0</v>
      </c>
      <c r="AC180" s="105"/>
      <c r="AD180" s="103"/>
      <c r="AE180" s="103"/>
      <c r="AF180" s="103"/>
      <c r="AG180" s="103"/>
      <c r="AH180" s="103"/>
      <c r="AI180" s="103"/>
      <c r="AJ180" s="103"/>
      <c r="AK180" s="103"/>
      <c r="AL180" s="103"/>
      <c r="AM180" s="103"/>
      <c r="AN180" s="103"/>
      <c r="AO180" s="103"/>
      <c r="AP180" s="103"/>
      <c r="AQ180" s="103"/>
      <c r="AR180" s="103"/>
      <c r="AS180" s="103"/>
      <c r="AT180" s="103"/>
      <c r="AU180" s="103"/>
      <c r="AV180" s="103"/>
    </row>
    <row r="181" spans="2:48">
      <c r="B181" s="13"/>
      <c r="C181" s="13"/>
      <c r="E181" s="105">
        <f t="shared" ca="1" si="24"/>
        <v>0</v>
      </c>
      <c r="F181" s="105">
        <f t="shared" ca="1" si="25"/>
        <v>0</v>
      </c>
      <c r="G181" s="105">
        <f t="shared" ca="1" si="26"/>
        <v>0</v>
      </c>
      <c r="H181" s="105">
        <f t="shared" ca="1" si="27"/>
        <v>0</v>
      </c>
      <c r="I181" s="105">
        <f t="shared" ca="1" si="28"/>
        <v>0</v>
      </c>
      <c r="J181" s="105">
        <f t="shared" ca="1" si="29"/>
        <v>0</v>
      </c>
      <c r="K181" s="105">
        <f t="shared" ca="1" si="30"/>
        <v>0</v>
      </c>
      <c r="L181" s="105">
        <f t="shared" ca="1" si="31"/>
        <v>0</v>
      </c>
      <c r="M181" s="105">
        <f t="shared" ca="1" si="32"/>
        <v>0</v>
      </c>
      <c r="N181" s="105">
        <f t="shared" ca="1" si="33"/>
        <v>0</v>
      </c>
      <c r="O181" s="105">
        <f t="shared" ca="1" si="34"/>
        <v>0</v>
      </c>
      <c r="P181" s="105">
        <f t="shared" ca="1" si="35"/>
        <v>0</v>
      </c>
      <c r="Q181" s="105">
        <f t="shared" ca="1" si="36"/>
        <v>1</v>
      </c>
      <c r="R181" s="105">
        <f t="shared" ca="1" si="37"/>
        <v>1</v>
      </c>
      <c r="S181" s="105">
        <f t="shared" ca="1" si="38"/>
        <v>1</v>
      </c>
      <c r="T181" s="105">
        <f t="shared" ca="1" si="39"/>
        <v>1</v>
      </c>
      <c r="U181" s="105">
        <f t="shared" ca="1" si="40"/>
        <v>1</v>
      </c>
      <c r="V181" s="105">
        <f t="shared" ca="1" si="41"/>
        <v>1</v>
      </c>
      <c r="W181" s="105">
        <f t="shared" ca="1" si="42"/>
        <v>1</v>
      </c>
      <c r="X181" s="105">
        <f t="shared" ca="1" si="43"/>
        <v>1</v>
      </c>
      <c r="Y181" s="105">
        <f t="shared" ca="1" si="44"/>
        <v>1</v>
      </c>
      <c r="Z181" s="105">
        <f t="shared" ca="1" si="45"/>
        <v>1</v>
      </c>
      <c r="AA181" s="105">
        <f t="shared" ca="1" si="46"/>
        <v>1</v>
      </c>
      <c r="AB181" s="105">
        <f t="shared" ca="1" si="47"/>
        <v>1</v>
      </c>
      <c r="AC181" s="105"/>
      <c r="AD181" s="103"/>
      <c r="AE181" s="103"/>
      <c r="AF181" s="103"/>
      <c r="AG181" s="103"/>
      <c r="AH181" s="103"/>
      <c r="AI181" s="103"/>
      <c r="AJ181" s="103"/>
      <c r="AK181" s="103"/>
      <c r="AL181" s="103"/>
      <c r="AM181" s="103"/>
      <c r="AN181" s="103"/>
      <c r="AO181" s="103"/>
      <c r="AP181" s="103"/>
      <c r="AQ181" s="103"/>
      <c r="AR181" s="103"/>
      <c r="AS181" s="103"/>
      <c r="AT181" s="103"/>
      <c r="AU181" s="103"/>
      <c r="AV181" s="103"/>
    </row>
    <row r="182" spans="2:48">
      <c r="B182" s="13"/>
      <c r="C182" s="13"/>
      <c r="E182" s="105">
        <f t="shared" ca="1" si="24"/>
        <v>0</v>
      </c>
      <c r="F182" s="105">
        <f t="shared" ca="1" si="25"/>
        <v>0</v>
      </c>
      <c r="G182" s="105">
        <f t="shared" ca="1" si="26"/>
        <v>0</v>
      </c>
      <c r="H182" s="105">
        <f t="shared" ca="1" si="27"/>
        <v>0</v>
      </c>
      <c r="I182" s="105">
        <f t="shared" ca="1" si="28"/>
        <v>0</v>
      </c>
      <c r="J182" s="105">
        <f t="shared" ca="1" si="29"/>
        <v>0</v>
      </c>
      <c r="K182" s="105">
        <f t="shared" ca="1" si="30"/>
        <v>0</v>
      </c>
      <c r="L182" s="105">
        <f t="shared" ca="1" si="31"/>
        <v>0</v>
      </c>
      <c r="M182" s="105">
        <f t="shared" ca="1" si="32"/>
        <v>0</v>
      </c>
      <c r="N182" s="105">
        <f t="shared" ca="1" si="33"/>
        <v>0</v>
      </c>
      <c r="O182" s="105">
        <f t="shared" ca="1" si="34"/>
        <v>0</v>
      </c>
      <c r="P182" s="105">
        <f t="shared" ca="1" si="35"/>
        <v>0</v>
      </c>
      <c r="Q182" s="105">
        <f t="shared" ca="1" si="36"/>
        <v>0</v>
      </c>
      <c r="R182" s="105">
        <f t="shared" ca="1" si="37"/>
        <v>1</v>
      </c>
      <c r="S182" s="105">
        <f t="shared" ca="1" si="38"/>
        <v>1</v>
      </c>
      <c r="T182" s="105">
        <f t="shared" ca="1" si="39"/>
        <v>1</v>
      </c>
      <c r="U182" s="105">
        <f t="shared" ca="1" si="40"/>
        <v>1</v>
      </c>
      <c r="V182" s="105">
        <f t="shared" ca="1" si="41"/>
        <v>1</v>
      </c>
      <c r="W182" s="105">
        <f t="shared" ca="1" si="42"/>
        <v>1</v>
      </c>
      <c r="X182" s="105">
        <f t="shared" ca="1" si="43"/>
        <v>1</v>
      </c>
      <c r="Y182" s="105">
        <f t="shared" ca="1" si="44"/>
        <v>1</v>
      </c>
      <c r="Z182" s="105">
        <f t="shared" ca="1" si="45"/>
        <v>1</v>
      </c>
      <c r="AA182" s="105">
        <f t="shared" ca="1" si="46"/>
        <v>1</v>
      </c>
      <c r="AB182" s="105">
        <f t="shared" ca="1" si="47"/>
        <v>1</v>
      </c>
      <c r="AC182" s="105"/>
      <c r="AD182" s="103"/>
      <c r="AE182" s="103"/>
      <c r="AF182" s="103"/>
      <c r="AG182" s="103"/>
      <c r="AH182" s="103"/>
      <c r="AI182" s="103"/>
      <c r="AJ182" s="103"/>
      <c r="AK182" s="103"/>
      <c r="AL182" s="103"/>
      <c r="AM182" s="103"/>
      <c r="AN182" s="103"/>
      <c r="AO182" s="103"/>
      <c r="AP182" s="103"/>
      <c r="AQ182" s="103"/>
      <c r="AR182" s="103"/>
      <c r="AS182" s="103"/>
      <c r="AT182" s="103"/>
      <c r="AU182" s="103"/>
      <c r="AV182" s="103"/>
    </row>
    <row r="183" spans="2:48">
      <c r="B183" s="13"/>
      <c r="C183" s="13"/>
      <c r="E183" s="105">
        <f t="shared" ca="1" si="24"/>
        <v>0</v>
      </c>
      <c r="F183" s="105">
        <f t="shared" ca="1" si="25"/>
        <v>0</v>
      </c>
      <c r="G183" s="105">
        <f t="shared" ca="1" si="26"/>
        <v>0</v>
      </c>
      <c r="H183" s="105">
        <f t="shared" ca="1" si="27"/>
        <v>0</v>
      </c>
      <c r="I183" s="105">
        <f t="shared" ca="1" si="28"/>
        <v>0</v>
      </c>
      <c r="J183" s="105">
        <f t="shared" ca="1" si="29"/>
        <v>0</v>
      </c>
      <c r="K183" s="105">
        <f t="shared" ca="1" si="30"/>
        <v>0</v>
      </c>
      <c r="L183" s="105">
        <f t="shared" ca="1" si="31"/>
        <v>0</v>
      </c>
      <c r="M183" s="105">
        <f t="shared" ca="1" si="32"/>
        <v>0</v>
      </c>
      <c r="N183" s="105">
        <f t="shared" ca="1" si="33"/>
        <v>0</v>
      </c>
      <c r="O183" s="105">
        <f t="shared" ca="1" si="34"/>
        <v>0</v>
      </c>
      <c r="P183" s="105">
        <f t="shared" ca="1" si="35"/>
        <v>0</v>
      </c>
      <c r="Q183" s="105">
        <f t="shared" ca="1" si="36"/>
        <v>0</v>
      </c>
      <c r="R183" s="105">
        <f t="shared" ca="1" si="37"/>
        <v>1</v>
      </c>
      <c r="S183" s="105">
        <f t="shared" ca="1" si="38"/>
        <v>1</v>
      </c>
      <c r="T183" s="105">
        <f t="shared" ca="1" si="39"/>
        <v>1</v>
      </c>
      <c r="U183" s="105">
        <f t="shared" ca="1" si="40"/>
        <v>1</v>
      </c>
      <c r="V183" s="105">
        <f t="shared" ca="1" si="41"/>
        <v>1</v>
      </c>
      <c r="W183" s="105">
        <f t="shared" ca="1" si="42"/>
        <v>1</v>
      </c>
      <c r="X183" s="105">
        <f t="shared" ca="1" si="43"/>
        <v>1</v>
      </c>
      <c r="Y183" s="105">
        <f t="shared" ca="1" si="44"/>
        <v>1</v>
      </c>
      <c r="Z183" s="105">
        <f t="shared" ca="1" si="45"/>
        <v>1</v>
      </c>
      <c r="AA183" s="105">
        <f t="shared" ca="1" si="46"/>
        <v>1</v>
      </c>
      <c r="AB183" s="105">
        <f t="shared" ca="1" si="47"/>
        <v>1</v>
      </c>
      <c r="AC183" s="105"/>
      <c r="AD183" s="103"/>
      <c r="AE183" s="103"/>
      <c r="AF183" s="103"/>
      <c r="AG183" s="103"/>
      <c r="AH183" s="103"/>
      <c r="AI183" s="103"/>
      <c r="AJ183" s="103"/>
      <c r="AK183" s="103"/>
      <c r="AL183" s="103"/>
      <c r="AM183" s="103"/>
      <c r="AN183" s="103"/>
      <c r="AO183" s="103"/>
      <c r="AP183" s="103"/>
      <c r="AQ183" s="103"/>
      <c r="AR183" s="103"/>
      <c r="AS183" s="103"/>
      <c r="AT183" s="103"/>
      <c r="AU183" s="103"/>
      <c r="AV183" s="103"/>
    </row>
    <row r="184" spans="2:48">
      <c r="B184" s="13"/>
      <c r="C184" s="13"/>
      <c r="E184" s="105">
        <f t="shared" ca="1" si="24"/>
        <v>0</v>
      </c>
      <c r="F184" s="105">
        <f t="shared" ca="1" si="25"/>
        <v>0</v>
      </c>
      <c r="G184" s="105">
        <f t="shared" ca="1" si="26"/>
        <v>0</v>
      </c>
      <c r="H184" s="105">
        <f t="shared" ca="1" si="27"/>
        <v>0</v>
      </c>
      <c r="I184" s="105">
        <f t="shared" ca="1" si="28"/>
        <v>0</v>
      </c>
      <c r="J184" s="105">
        <f t="shared" ca="1" si="29"/>
        <v>0</v>
      </c>
      <c r="K184" s="105">
        <f t="shared" ca="1" si="30"/>
        <v>0</v>
      </c>
      <c r="L184" s="105">
        <f t="shared" ca="1" si="31"/>
        <v>0</v>
      </c>
      <c r="M184" s="105">
        <f t="shared" ca="1" si="32"/>
        <v>0</v>
      </c>
      <c r="N184" s="105">
        <f t="shared" ca="1" si="33"/>
        <v>0</v>
      </c>
      <c r="O184" s="105">
        <f t="shared" ca="1" si="34"/>
        <v>0</v>
      </c>
      <c r="P184" s="105">
        <f t="shared" ca="1" si="35"/>
        <v>0</v>
      </c>
      <c r="Q184" s="105">
        <f t="shared" ca="1" si="36"/>
        <v>0</v>
      </c>
      <c r="R184" s="105">
        <f t="shared" ca="1" si="37"/>
        <v>1</v>
      </c>
      <c r="S184" s="105">
        <f t="shared" ca="1" si="38"/>
        <v>1</v>
      </c>
      <c r="T184" s="105">
        <f t="shared" ca="1" si="39"/>
        <v>1</v>
      </c>
      <c r="U184" s="105">
        <f t="shared" ca="1" si="40"/>
        <v>1</v>
      </c>
      <c r="V184" s="105">
        <f t="shared" ca="1" si="41"/>
        <v>1</v>
      </c>
      <c r="W184" s="105">
        <f t="shared" ca="1" si="42"/>
        <v>1</v>
      </c>
      <c r="X184" s="105">
        <f t="shared" ca="1" si="43"/>
        <v>1</v>
      </c>
      <c r="Y184" s="105">
        <f t="shared" ca="1" si="44"/>
        <v>1</v>
      </c>
      <c r="Z184" s="105">
        <f t="shared" ca="1" si="45"/>
        <v>1</v>
      </c>
      <c r="AA184" s="105">
        <f t="shared" ca="1" si="46"/>
        <v>1</v>
      </c>
      <c r="AB184" s="105">
        <f t="shared" ca="1" si="47"/>
        <v>1</v>
      </c>
      <c r="AC184" s="105"/>
      <c r="AD184" s="103"/>
      <c r="AE184" s="103"/>
      <c r="AF184" s="103"/>
      <c r="AG184" s="103"/>
      <c r="AH184" s="103"/>
      <c r="AI184" s="103"/>
      <c r="AJ184" s="103"/>
      <c r="AK184" s="103"/>
      <c r="AL184" s="103"/>
      <c r="AM184" s="103"/>
      <c r="AN184" s="103"/>
      <c r="AO184" s="103"/>
      <c r="AP184" s="103"/>
      <c r="AQ184" s="103"/>
      <c r="AR184" s="103"/>
      <c r="AS184" s="103"/>
      <c r="AT184" s="103"/>
      <c r="AU184" s="103"/>
      <c r="AV184" s="103"/>
    </row>
    <row r="185" spans="2:48">
      <c r="B185" s="13"/>
      <c r="C185" s="13"/>
      <c r="E185" s="105">
        <f t="shared" ca="1" si="24"/>
        <v>0</v>
      </c>
      <c r="F185" s="105">
        <f t="shared" ca="1" si="25"/>
        <v>0</v>
      </c>
      <c r="G185" s="105">
        <f t="shared" ca="1" si="26"/>
        <v>0</v>
      </c>
      <c r="H185" s="105">
        <f t="shared" ca="1" si="27"/>
        <v>0</v>
      </c>
      <c r="I185" s="105">
        <f t="shared" ca="1" si="28"/>
        <v>0</v>
      </c>
      <c r="J185" s="105">
        <f t="shared" ca="1" si="29"/>
        <v>0</v>
      </c>
      <c r="K185" s="105">
        <f t="shared" ca="1" si="30"/>
        <v>0</v>
      </c>
      <c r="L185" s="105">
        <f t="shared" ca="1" si="31"/>
        <v>0</v>
      </c>
      <c r="M185" s="105">
        <f t="shared" ca="1" si="32"/>
        <v>0</v>
      </c>
      <c r="N185" s="105">
        <f t="shared" ca="1" si="33"/>
        <v>0</v>
      </c>
      <c r="O185" s="105">
        <f t="shared" ca="1" si="34"/>
        <v>0</v>
      </c>
      <c r="P185" s="105">
        <f t="shared" ca="1" si="35"/>
        <v>0</v>
      </c>
      <c r="Q185" s="105">
        <f t="shared" ca="1" si="36"/>
        <v>0</v>
      </c>
      <c r="R185" s="105">
        <f t="shared" ca="1" si="37"/>
        <v>1</v>
      </c>
      <c r="S185" s="105">
        <f t="shared" ca="1" si="38"/>
        <v>1</v>
      </c>
      <c r="T185" s="105">
        <f t="shared" ca="1" si="39"/>
        <v>1</v>
      </c>
      <c r="U185" s="105">
        <f t="shared" ca="1" si="40"/>
        <v>1</v>
      </c>
      <c r="V185" s="105">
        <f t="shared" ca="1" si="41"/>
        <v>1</v>
      </c>
      <c r="W185" s="105">
        <f t="shared" ca="1" si="42"/>
        <v>1</v>
      </c>
      <c r="X185" s="105">
        <f t="shared" ca="1" si="43"/>
        <v>1</v>
      </c>
      <c r="Y185" s="105">
        <f t="shared" ca="1" si="44"/>
        <v>1</v>
      </c>
      <c r="Z185" s="105">
        <f t="shared" ca="1" si="45"/>
        <v>1</v>
      </c>
      <c r="AA185" s="105">
        <f t="shared" ca="1" si="46"/>
        <v>1</v>
      </c>
      <c r="AB185" s="105">
        <f t="shared" ca="1" si="47"/>
        <v>1</v>
      </c>
      <c r="AC185" s="105"/>
      <c r="AD185" s="103"/>
      <c r="AE185" s="103"/>
      <c r="AF185" s="103"/>
      <c r="AG185" s="103"/>
      <c r="AH185" s="103"/>
      <c r="AI185" s="103"/>
      <c r="AJ185" s="103"/>
      <c r="AK185" s="103"/>
      <c r="AL185" s="103"/>
      <c r="AM185" s="103"/>
      <c r="AN185" s="103"/>
      <c r="AO185" s="103"/>
      <c r="AP185" s="103"/>
      <c r="AQ185" s="103"/>
      <c r="AR185" s="103"/>
      <c r="AS185" s="103"/>
      <c r="AT185" s="103"/>
      <c r="AU185" s="103"/>
      <c r="AV185" s="103"/>
    </row>
    <row r="186" spans="2:48">
      <c r="B186" s="13"/>
      <c r="C186" s="13"/>
      <c r="E186" s="105">
        <f t="shared" ca="1" si="24"/>
        <v>0</v>
      </c>
      <c r="F186" s="105">
        <f t="shared" ca="1" si="25"/>
        <v>0</v>
      </c>
      <c r="G186" s="105">
        <f t="shared" ca="1" si="26"/>
        <v>0</v>
      </c>
      <c r="H186" s="105">
        <f t="shared" ca="1" si="27"/>
        <v>0</v>
      </c>
      <c r="I186" s="105">
        <f t="shared" ca="1" si="28"/>
        <v>0</v>
      </c>
      <c r="J186" s="105">
        <f t="shared" ca="1" si="29"/>
        <v>0</v>
      </c>
      <c r="K186" s="105">
        <f t="shared" ca="1" si="30"/>
        <v>0</v>
      </c>
      <c r="L186" s="105">
        <f t="shared" ca="1" si="31"/>
        <v>0</v>
      </c>
      <c r="M186" s="105">
        <f t="shared" ca="1" si="32"/>
        <v>0</v>
      </c>
      <c r="N186" s="105">
        <f t="shared" ca="1" si="33"/>
        <v>0</v>
      </c>
      <c r="O186" s="105">
        <f t="shared" ca="1" si="34"/>
        <v>1</v>
      </c>
      <c r="P186" s="105">
        <f t="shared" ca="1" si="35"/>
        <v>1</v>
      </c>
      <c r="Q186" s="105">
        <f t="shared" ca="1" si="36"/>
        <v>1</v>
      </c>
      <c r="R186" s="105">
        <f t="shared" ca="1" si="37"/>
        <v>1</v>
      </c>
      <c r="S186" s="105">
        <f t="shared" ca="1" si="38"/>
        <v>1</v>
      </c>
      <c r="T186" s="105">
        <f t="shared" ca="1" si="39"/>
        <v>1</v>
      </c>
      <c r="U186" s="105">
        <f t="shared" ca="1" si="40"/>
        <v>1</v>
      </c>
      <c r="V186" s="105">
        <f t="shared" ca="1" si="41"/>
        <v>1</v>
      </c>
      <c r="W186" s="105">
        <f t="shared" ca="1" si="42"/>
        <v>1</v>
      </c>
      <c r="X186" s="105">
        <f t="shared" ca="1" si="43"/>
        <v>1</v>
      </c>
      <c r="Y186" s="105">
        <f t="shared" ca="1" si="44"/>
        <v>1</v>
      </c>
      <c r="Z186" s="105">
        <f t="shared" ca="1" si="45"/>
        <v>1</v>
      </c>
      <c r="AA186" s="105">
        <f t="shared" ca="1" si="46"/>
        <v>0</v>
      </c>
      <c r="AB186" s="105">
        <f t="shared" ca="1" si="47"/>
        <v>0</v>
      </c>
      <c r="AC186" s="105"/>
      <c r="AD186" s="103"/>
      <c r="AE186" s="103"/>
      <c r="AF186" s="103"/>
      <c r="AG186" s="103"/>
      <c r="AH186" s="103"/>
      <c r="AI186" s="103"/>
      <c r="AJ186" s="103"/>
      <c r="AK186" s="103"/>
      <c r="AL186" s="103"/>
      <c r="AM186" s="103"/>
      <c r="AN186" s="103"/>
      <c r="AO186" s="103"/>
      <c r="AP186" s="103"/>
      <c r="AQ186" s="103"/>
      <c r="AR186" s="103"/>
      <c r="AS186" s="103"/>
      <c r="AT186" s="103"/>
      <c r="AU186" s="103"/>
      <c r="AV186" s="103"/>
    </row>
    <row r="187" spans="2:48">
      <c r="B187" s="13"/>
      <c r="C187" s="13"/>
      <c r="E187" s="105">
        <f t="shared" ca="1" si="24"/>
        <v>0</v>
      </c>
      <c r="F187" s="105">
        <f t="shared" ca="1" si="25"/>
        <v>0</v>
      </c>
      <c r="G187" s="105">
        <f t="shared" ca="1" si="26"/>
        <v>0</v>
      </c>
      <c r="H187" s="105">
        <f t="shared" ca="1" si="27"/>
        <v>0</v>
      </c>
      <c r="I187" s="105">
        <f t="shared" ca="1" si="28"/>
        <v>0</v>
      </c>
      <c r="J187" s="105">
        <f t="shared" ca="1" si="29"/>
        <v>0</v>
      </c>
      <c r="K187" s="105">
        <f t="shared" ca="1" si="30"/>
        <v>0</v>
      </c>
      <c r="L187" s="105">
        <f t="shared" ca="1" si="31"/>
        <v>0</v>
      </c>
      <c r="M187" s="105">
        <f t="shared" ca="1" si="32"/>
        <v>0</v>
      </c>
      <c r="N187" s="105">
        <f t="shared" ca="1" si="33"/>
        <v>0</v>
      </c>
      <c r="O187" s="105">
        <f t="shared" ca="1" si="34"/>
        <v>0</v>
      </c>
      <c r="P187" s="105">
        <f t="shared" ca="1" si="35"/>
        <v>0</v>
      </c>
      <c r="Q187" s="105">
        <f t="shared" ca="1" si="36"/>
        <v>0</v>
      </c>
      <c r="R187" s="105">
        <f t="shared" ca="1" si="37"/>
        <v>0</v>
      </c>
      <c r="S187" s="105">
        <f t="shared" ca="1" si="38"/>
        <v>0</v>
      </c>
      <c r="T187" s="105">
        <f t="shared" ca="1" si="39"/>
        <v>0</v>
      </c>
      <c r="U187" s="105">
        <f t="shared" ca="1" si="40"/>
        <v>0</v>
      </c>
      <c r="V187" s="105">
        <f t="shared" ca="1" si="41"/>
        <v>1</v>
      </c>
      <c r="W187" s="105">
        <f t="shared" ca="1" si="42"/>
        <v>1</v>
      </c>
      <c r="X187" s="105">
        <f t="shared" ca="1" si="43"/>
        <v>1</v>
      </c>
      <c r="Y187" s="105">
        <f t="shared" ca="1" si="44"/>
        <v>1</v>
      </c>
      <c r="Z187" s="105">
        <f t="shared" ca="1" si="45"/>
        <v>1</v>
      </c>
      <c r="AA187" s="105">
        <f t="shared" ca="1" si="46"/>
        <v>1</v>
      </c>
      <c r="AB187" s="105">
        <f t="shared" ca="1" si="47"/>
        <v>1</v>
      </c>
      <c r="AC187" s="105"/>
      <c r="AD187" s="103"/>
      <c r="AE187" s="103"/>
      <c r="AF187" s="103"/>
      <c r="AG187" s="103"/>
      <c r="AH187" s="103"/>
      <c r="AI187" s="103"/>
      <c r="AJ187" s="103"/>
      <c r="AK187" s="103"/>
      <c r="AL187" s="103"/>
      <c r="AM187" s="103"/>
      <c r="AN187" s="103"/>
      <c r="AO187" s="103"/>
      <c r="AP187" s="103"/>
      <c r="AQ187" s="103"/>
      <c r="AR187" s="103"/>
      <c r="AS187" s="103"/>
      <c r="AT187" s="103"/>
      <c r="AU187" s="103"/>
      <c r="AV187" s="103"/>
    </row>
    <row r="188" spans="2:48">
      <c r="B188" s="13"/>
      <c r="C188" s="13"/>
      <c r="E188" s="105">
        <f t="shared" ca="1" si="24"/>
        <v>0</v>
      </c>
      <c r="F188" s="105">
        <f t="shared" ca="1" si="25"/>
        <v>0</v>
      </c>
      <c r="G188" s="105">
        <f t="shared" ca="1" si="26"/>
        <v>0</v>
      </c>
      <c r="H188" s="105">
        <f t="shared" ca="1" si="27"/>
        <v>0</v>
      </c>
      <c r="I188" s="105">
        <f t="shared" ca="1" si="28"/>
        <v>0</v>
      </c>
      <c r="J188" s="105">
        <f t="shared" ca="1" si="29"/>
        <v>0</v>
      </c>
      <c r="K188" s="105">
        <f t="shared" ca="1" si="30"/>
        <v>0</v>
      </c>
      <c r="L188" s="105">
        <f t="shared" ca="1" si="31"/>
        <v>0</v>
      </c>
      <c r="M188" s="105">
        <f t="shared" ca="1" si="32"/>
        <v>0</v>
      </c>
      <c r="N188" s="105">
        <f t="shared" ca="1" si="33"/>
        <v>0</v>
      </c>
      <c r="O188" s="105">
        <f t="shared" ca="1" si="34"/>
        <v>0</v>
      </c>
      <c r="P188" s="105">
        <f t="shared" ca="1" si="35"/>
        <v>0</v>
      </c>
      <c r="Q188" s="105">
        <f t="shared" ca="1" si="36"/>
        <v>0</v>
      </c>
      <c r="R188" s="105">
        <f t="shared" ca="1" si="37"/>
        <v>0</v>
      </c>
      <c r="S188" s="105">
        <f t="shared" ca="1" si="38"/>
        <v>0</v>
      </c>
      <c r="T188" s="105">
        <f t="shared" ca="1" si="39"/>
        <v>0</v>
      </c>
      <c r="U188" s="105">
        <f t="shared" ca="1" si="40"/>
        <v>0</v>
      </c>
      <c r="V188" s="105">
        <f t="shared" ca="1" si="41"/>
        <v>0</v>
      </c>
      <c r="W188" s="105">
        <f t="shared" ca="1" si="42"/>
        <v>0</v>
      </c>
      <c r="X188" s="105">
        <f t="shared" ca="1" si="43"/>
        <v>0</v>
      </c>
      <c r="Y188" s="105">
        <f t="shared" ca="1" si="44"/>
        <v>0</v>
      </c>
      <c r="Z188" s="105">
        <f t="shared" ca="1" si="45"/>
        <v>0</v>
      </c>
      <c r="AA188" s="105">
        <f t="shared" ca="1" si="46"/>
        <v>0</v>
      </c>
      <c r="AB188" s="105">
        <f t="shared" ca="1" si="47"/>
        <v>0</v>
      </c>
      <c r="AC188" s="105"/>
      <c r="AD188" s="103"/>
      <c r="AE188" s="103"/>
      <c r="AF188" s="103"/>
      <c r="AG188" s="103"/>
      <c r="AH188" s="103"/>
      <c r="AI188" s="103"/>
      <c r="AJ188" s="103"/>
      <c r="AK188" s="103"/>
      <c r="AL188" s="103"/>
      <c r="AM188" s="103"/>
      <c r="AN188" s="103"/>
      <c r="AO188" s="103"/>
      <c r="AP188" s="103"/>
      <c r="AQ188" s="103"/>
      <c r="AR188" s="103"/>
      <c r="AS188" s="103"/>
      <c r="AT188" s="103"/>
      <c r="AU188" s="103"/>
      <c r="AV188" s="103"/>
    </row>
    <row r="189" spans="2:48">
      <c r="B189" s="13"/>
      <c r="C189" s="13"/>
      <c r="E189" s="105">
        <f t="shared" ca="1" si="24"/>
        <v>0</v>
      </c>
      <c r="F189" s="105">
        <f t="shared" ca="1" si="25"/>
        <v>0</v>
      </c>
      <c r="G189" s="105">
        <f t="shared" ca="1" si="26"/>
        <v>0</v>
      </c>
      <c r="H189" s="105">
        <f t="shared" ca="1" si="27"/>
        <v>0</v>
      </c>
      <c r="I189" s="105">
        <f t="shared" ca="1" si="28"/>
        <v>0</v>
      </c>
      <c r="J189" s="105">
        <f t="shared" ca="1" si="29"/>
        <v>0</v>
      </c>
      <c r="K189" s="105">
        <f t="shared" ca="1" si="30"/>
        <v>0</v>
      </c>
      <c r="L189" s="105">
        <f t="shared" ca="1" si="31"/>
        <v>0</v>
      </c>
      <c r="M189" s="105">
        <f t="shared" ca="1" si="32"/>
        <v>0</v>
      </c>
      <c r="N189" s="105">
        <f t="shared" ca="1" si="33"/>
        <v>0</v>
      </c>
      <c r="O189" s="105">
        <f t="shared" ca="1" si="34"/>
        <v>0</v>
      </c>
      <c r="P189" s="105">
        <f t="shared" ca="1" si="35"/>
        <v>0</v>
      </c>
      <c r="Q189" s="105">
        <f t="shared" ca="1" si="36"/>
        <v>0</v>
      </c>
      <c r="R189" s="105">
        <f t="shared" ca="1" si="37"/>
        <v>0</v>
      </c>
      <c r="S189" s="105">
        <f t="shared" ca="1" si="38"/>
        <v>0</v>
      </c>
      <c r="T189" s="105">
        <f t="shared" ca="1" si="39"/>
        <v>0</v>
      </c>
      <c r="U189" s="105">
        <f t="shared" ca="1" si="40"/>
        <v>0</v>
      </c>
      <c r="V189" s="105">
        <f t="shared" ca="1" si="41"/>
        <v>0</v>
      </c>
      <c r="W189" s="105">
        <f t="shared" ca="1" si="42"/>
        <v>0</v>
      </c>
      <c r="X189" s="105">
        <f t="shared" ca="1" si="43"/>
        <v>0</v>
      </c>
      <c r="Y189" s="105">
        <f t="shared" ca="1" si="44"/>
        <v>0</v>
      </c>
      <c r="Z189" s="105">
        <f t="shared" ca="1" si="45"/>
        <v>0</v>
      </c>
      <c r="AA189" s="105">
        <f t="shared" ca="1" si="46"/>
        <v>0</v>
      </c>
      <c r="AB189" s="105">
        <f t="shared" ca="1" si="47"/>
        <v>0</v>
      </c>
      <c r="AC189" s="105"/>
      <c r="AD189" s="103"/>
      <c r="AE189" s="103"/>
      <c r="AF189" s="103"/>
      <c r="AG189" s="103"/>
      <c r="AH189" s="103"/>
      <c r="AI189" s="103"/>
      <c r="AJ189" s="103"/>
      <c r="AK189" s="103"/>
      <c r="AL189" s="103"/>
      <c r="AM189" s="103"/>
      <c r="AN189" s="103"/>
      <c r="AO189" s="103"/>
      <c r="AP189" s="103"/>
      <c r="AQ189" s="103"/>
      <c r="AR189" s="103"/>
      <c r="AS189" s="103"/>
      <c r="AT189" s="103"/>
      <c r="AU189" s="103"/>
      <c r="AV189" s="103"/>
    </row>
    <row r="190" spans="2:48">
      <c r="B190" s="13"/>
      <c r="C190" s="13"/>
      <c r="E190" s="105">
        <f t="shared" ca="1" si="24"/>
        <v>0</v>
      </c>
      <c r="F190" s="105">
        <f t="shared" ca="1" si="25"/>
        <v>0</v>
      </c>
      <c r="G190" s="105">
        <f t="shared" ca="1" si="26"/>
        <v>0</v>
      </c>
      <c r="H190" s="105">
        <f t="shared" ca="1" si="27"/>
        <v>0</v>
      </c>
      <c r="I190" s="105">
        <f t="shared" ca="1" si="28"/>
        <v>0</v>
      </c>
      <c r="J190" s="105">
        <f t="shared" ca="1" si="29"/>
        <v>0</v>
      </c>
      <c r="K190" s="105">
        <f t="shared" ca="1" si="30"/>
        <v>0</v>
      </c>
      <c r="L190" s="105">
        <f t="shared" ca="1" si="31"/>
        <v>0</v>
      </c>
      <c r="M190" s="105">
        <f t="shared" ca="1" si="32"/>
        <v>0</v>
      </c>
      <c r="N190" s="105">
        <f t="shared" ca="1" si="33"/>
        <v>0</v>
      </c>
      <c r="O190" s="105">
        <f t="shared" ca="1" si="34"/>
        <v>0</v>
      </c>
      <c r="P190" s="105">
        <f t="shared" ca="1" si="35"/>
        <v>0</v>
      </c>
      <c r="Q190" s="105">
        <f t="shared" ca="1" si="36"/>
        <v>0</v>
      </c>
      <c r="R190" s="105">
        <f t="shared" ca="1" si="37"/>
        <v>0</v>
      </c>
      <c r="S190" s="105">
        <f t="shared" ca="1" si="38"/>
        <v>0</v>
      </c>
      <c r="T190" s="105">
        <f t="shared" ca="1" si="39"/>
        <v>0</v>
      </c>
      <c r="U190" s="105">
        <f t="shared" ca="1" si="40"/>
        <v>0</v>
      </c>
      <c r="V190" s="105">
        <f t="shared" ca="1" si="41"/>
        <v>0</v>
      </c>
      <c r="W190" s="105">
        <f t="shared" ca="1" si="42"/>
        <v>0</v>
      </c>
      <c r="X190" s="105">
        <f t="shared" ca="1" si="43"/>
        <v>0</v>
      </c>
      <c r="Y190" s="105">
        <f t="shared" ca="1" si="44"/>
        <v>0</v>
      </c>
      <c r="Z190" s="105">
        <f t="shared" ca="1" si="45"/>
        <v>0</v>
      </c>
      <c r="AA190" s="105">
        <f t="shared" ca="1" si="46"/>
        <v>0</v>
      </c>
      <c r="AB190" s="105">
        <f t="shared" ca="1" si="47"/>
        <v>0</v>
      </c>
      <c r="AC190" s="105"/>
      <c r="AD190" s="103"/>
      <c r="AE190" s="103"/>
      <c r="AF190" s="103"/>
      <c r="AG190" s="103"/>
      <c r="AH190" s="103"/>
      <c r="AI190" s="103"/>
      <c r="AJ190" s="103"/>
      <c r="AK190" s="103"/>
      <c r="AL190" s="103"/>
      <c r="AM190" s="103"/>
      <c r="AN190" s="103"/>
      <c r="AO190" s="103"/>
      <c r="AP190" s="103"/>
      <c r="AQ190" s="103"/>
      <c r="AR190" s="103"/>
      <c r="AS190" s="103"/>
      <c r="AT190" s="103"/>
      <c r="AU190" s="103"/>
      <c r="AV190" s="103"/>
    </row>
    <row r="191" spans="2:48">
      <c r="B191" s="13"/>
      <c r="C191" s="13"/>
      <c r="E191" s="105">
        <f t="shared" ca="1" si="24"/>
        <v>0</v>
      </c>
      <c r="F191" s="105">
        <f t="shared" ca="1" si="25"/>
        <v>0</v>
      </c>
      <c r="G191" s="105">
        <f t="shared" ca="1" si="26"/>
        <v>0</v>
      </c>
      <c r="H191" s="105">
        <f t="shared" ca="1" si="27"/>
        <v>0</v>
      </c>
      <c r="I191" s="105">
        <f t="shared" ca="1" si="28"/>
        <v>0</v>
      </c>
      <c r="J191" s="105">
        <f t="shared" ca="1" si="29"/>
        <v>0</v>
      </c>
      <c r="K191" s="105">
        <f t="shared" ca="1" si="30"/>
        <v>0</v>
      </c>
      <c r="L191" s="105">
        <f t="shared" ca="1" si="31"/>
        <v>0</v>
      </c>
      <c r="M191" s="105">
        <f t="shared" ca="1" si="32"/>
        <v>0</v>
      </c>
      <c r="N191" s="105">
        <f t="shared" ca="1" si="33"/>
        <v>0</v>
      </c>
      <c r="O191" s="105">
        <f t="shared" ca="1" si="34"/>
        <v>0</v>
      </c>
      <c r="P191" s="105">
        <f t="shared" ca="1" si="35"/>
        <v>0</v>
      </c>
      <c r="Q191" s="105">
        <f t="shared" ca="1" si="36"/>
        <v>0</v>
      </c>
      <c r="R191" s="105">
        <f t="shared" ca="1" si="37"/>
        <v>0</v>
      </c>
      <c r="S191" s="105">
        <f t="shared" ca="1" si="38"/>
        <v>0</v>
      </c>
      <c r="T191" s="105">
        <f t="shared" ca="1" si="39"/>
        <v>0</v>
      </c>
      <c r="U191" s="105">
        <f t="shared" ca="1" si="40"/>
        <v>0</v>
      </c>
      <c r="V191" s="105">
        <f t="shared" ca="1" si="41"/>
        <v>0</v>
      </c>
      <c r="W191" s="105">
        <f t="shared" ca="1" si="42"/>
        <v>0</v>
      </c>
      <c r="X191" s="105">
        <f t="shared" ca="1" si="43"/>
        <v>0</v>
      </c>
      <c r="Y191" s="105">
        <f t="shared" ca="1" si="44"/>
        <v>0</v>
      </c>
      <c r="Z191" s="105">
        <f t="shared" ca="1" si="45"/>
        <v>0</v>
      </c>
      <c r="AA191" s="105">
        <f t="shared" ca="1" si="46"/>
        <v>0</v>
      </c>
      <c r="AB191" s="105">
        <f t="shared" ca="1" si="47"/>
        <v>0</v>
      </c>
      <c r="AC191" s="105"/>
      <c r="AD191" s="103"/>
      <c r="AE191" s="103"/>
      <c r="AF191" s="103"/>
      <c r="AG191" s="103"/>
      <c r="AH191" s="103"/>
      <c r="AI191" s="103"/>
      <c r="AJ191" s="103"/>
      <c r="AK191" s="103"/>
      <c r="AL191" s="103"/>
      <c r="AM191" s="103"/>
      <c r="AN191" s="103"/>
      <c r="AO191" s="103"/>
      <c r="AP191" s="103"/>
      <c r="AQ191" s="103"/>
      <c r="AR191" s="103"/>
      <c r="AS191" s="103"/>
      <c r="AT191" s="103"/>
      <c r="AU191" s="103"/>
      <c r="AV191" s="103"/>
    </row>
    <row r="192" spans="2:48">
      <c r="B192" s="13"/>
      <c r="C192" s="13"/>
      <c r="E192" s="105">
        <f t="shared" ca="1" si="24"/>
        <v>0</v>
      </c>
      <c r="F192" s="105">
        <f t="shared" ca="1" si="25"/>
        <v>0</v>
      </c>
      <c r="G192" s="105">
        <f t="shared" ca="1" si="26"/>
        <v>0</v>
      </c>
      <c r="H192" s="105">
        <f t="shared" ca="1" si="27"/>
        <v>0</v>
      </c>
      <c r="I192" s="105">
        <f t="shared" ca="1" si="28"/>
        <v>0</v>
      </c>
      <c r="J192" s="105">
        <f t="shared" ca="1" si="29"/>
        <v>0</v>
      </c>
      <c r="K192" s="105">
        <f t="shared" ca="1" si="30"/>
        <v>0</v>
      </c>
      <c r="L192" s="105">
        <f t="shared" ca="1" si="31"/>
        <v>0</v>
      </c>
      <c r="M192" s="105">
        <f t="shared" ca="1" si="32"/>
        <v>0</v>
      </c>
      <c r="N192" s="105">
        <f t="shared" ca="1" si="33"/>
        <v>0</v>
      </c>
      <c r="O192" s="105">
        <f t="shared" ca="1" si="34"/>
        <v>0</v>
      </c>
      <c r="P192" s="105">
        <f t="shared" ca="1" si="35"/>
        <v>0</v>
      </c>
      <c r="Q192" s="105">
        <f t="shared" ca="1" si="36"/>
        <v>0</v>
      </c>
      <c r="R192" s="105">
        <f t="shared" ca="1" si="37"/>
        <v>0</v>
      </c>
      <c r="S192" s="105">
        <f t="shared" ca="1" si="38"/>
        <v>0</v>
      </c>
      <c r="T192" s="105">
        <f t="shared" ca="1" si="39"/>
        <v>0</v>
      </c>
      <c r="U192" s="105">
        <f t="shared" ca="1" si="40"/>
        <v>0</v>
      </c>
      <c r="V192" s="105">
        <f t="shared" ca="1" si="41"/>
        <v>0</v>
      </c>
      <c r="W192" s="105">
        <f t="shared" ca="1" si="42"/>
        <v>0</v>
      </c>
      <c r="X192" s="105">
        <f t="shared" ca="1" si="43"/>
        <v>0</v>
      </c>
      <c r="Y192" s="105">
        <f t="shared" ca="1" si="44"/>
        <v>0</v>
      </c>
      <c r="Z192" s="105">
        <f t="shared" ca="1" si="45"/>
        <v>0</v>
      </c>
      <c r="AA192" s="105">
        <f t="shared" ca="1" si="46"/>
        <v>0</v>
      </c>
      <c r="AB192" s="105">
        <f t="shared" ca="1" si="47"/>
        <v>0</v>
      </c>
      <c r="AC192" s="105"/>
      <c r="AD192" s="103"/>
      <c r="AE192" s="103"/>
      <c r="AF192" s="103"/>
      <c r="AG192" s="103"/>
      <c r="AH192" s="103"/>
      <c r="AI192" s="103"/>
      <c r="AJ192" s="103"/>
      <c r="AK192" s="103"/>
      <c r="AL192" s="103"/>
      <c r="AM192" s="103"/>
      <c r="AN192" s="103"/>
      <c r="AO192" s="103"/>
      <c r="AP192" s="103"/>
      <c r="AQ192" s="103"/>
      <c r="AR192" s="103"/>
      <c r="AS192" s="103"/>
      <c r="AT192" s="103"/>
      <c r="AU192" s="103"/>
      <c r="AV192" s="103"/>
    </row>
    <row r="193" spans="2:48">
      <c r="B193" s="13"/>
      <c r="C193" s="13"/>
      <c r="E193" s="105">
        <f t="shared" ca="1" si="24"/>
        <v>0</v>
      </c>
      <c r="F193" s="105">
        <f t="shared" ca="1" si="25"/>
        <v>0</v>
      </c>
      <c r="G193" s="105">
        <f t="shared" ca="1" si="26"/>
        <v>0</v>
      </c>
      <c r="H193" s="105">
        <f t="shared" ca="1" si="27"/>
        <v>0</v>
      </c>
      <c r="I193" s="105">
        <f t="shared" ca="1" si="28"/>
        <v>0</v>
      </c>
      <c r="J193" s="105">
        <f t="shared" ca="1" si="29"/>
        <v>0</v>
      </c>
      <c r="K193" s="105">
        <f t="shared" ca="1" si="30"/>
        <v>0</v>
      </c>
      <c r="L193" s="105">
        <f t="shared" ca="1" si="31"/>
        <v>0</v>
      </c>
      <c r="M193" s="105">
        <f t="shared" ca="1" si="32"/>
        <v>0</v>
      </c>
      <c r="N193" s="105">
        <f t="shared" ca="1" si="33"/>
        <v>0</v>
      </c>
      <c r="O193" s="105">
        <f t="shared" ca="1" si="34"/>
        <v>0</v>
      </c>
      <c r="P193" s="105">
        <f t="shared" ca="1" si="35"/>
        <v>0</v>
      </c>
      <c r="Q193" s="105">
        <f t="shared" ca="1" si="36"/>
        <v>0</v>
      </c>
      <c r="R193" s="105">
        <f t="shared" ca="1" si="37"/>
        <v>0</v>
      </c>
      <c r="S193" s="105">
        <f t="shared" ca="1" si="38"/>
        <v>0</v>
      </c>
      <c r="T193" s="105">
        <f t="shared" ca="1" si="39"/>
        <v>0</v>
      </c>
      <c r="U193" s="105">
        <f t="shared" ca="1" si="40"/>
        <v>0</v>
      </c>
      <c r="V193" s="105">
        <f t="shared" ca="1" si="41"/>
        <v>0</v>
      </c>
      <c r="W193" s="105">
        <f t="shared" ca="1" si="42"/>
        <v>0</v>
      </c>
      <c r="X193" s="105">
        <f t="shared" ca="1" si="43"/>
        <v>0</v>
      </c>
      <c r="Y193" s="105">
        <f t="shared" ca="1" si="44"/>
        <v>0</v>
      </c>
      <c r="Z193" s="105">
        <f t="shared" ca="1" si="45"/>
        <v>0</v>
      </c>
      <c r="AA193" s="105">
        <f t="shared" ca="1" si="46"/>
        <v>0</v>
      </c>
      <c r="AB193" s="105">
        <f t="shared" ca="1" si="47"/>
        <v>0</v>
      </c>
      <c r="AC193" s="105"/>
      <c r="AD193" s="103"/>
      <c r="AE193" s="103"/>
      <c r="AF193" s="103"/>
      <c r="AG193" s="103"/>
      <c r="AH193" s="103"/>
      <c r="AI193" s="103"/>
      <c r="AJ193" s="103"/>
      <c r="AK193" s="103"/>
      <c r="AL193" s="103"/>
      <c r="AM193" s="103"/>
      <c r="AN193" s="103"/>
      <c r="AO193" s="103"/>
      <c r="AP193" s="103"/>
      <c r="AQ193" s="103"/>
      <c r="AR193" s="103"/>
      <c r="AS193" s="103"/>
      <c r="AT193" s="103"/>
      <c r="AU193" s="103"/>
      <c r="AV193" s="103"/>
    </row>
    <row r="194" spans="2:48">
      <c r="B194" s="13"/>
      <c r="C194" s="13"/>
      <c r="E194" s="105">
        <f t="shared" ca="1" si="24"/>
        <v>0</v>
      </c>
      <c r="F194" s="105">
        <f t="shared" ca="1" si="25"/>
        <v>0</v>
      </c>
      <c r="G194" s="105">
        <f t="shared" ca="1" si="26"/>
        <v>0</v>
      </c>
      <c r="H194" s="105">
        <f t="shared" ca="1" si="27"/>
        <v>0</v>
      </c>
      <c r="I194" s="105">
        <f t="shared" ca="1" si="28"/>
        <v>0</v>
      </c>
      <c r="J194" s="105">
        <f t="shared" ca="1" si="29"/>
        <v>0</v>
      </c>
      <c r="K194" s="105">
        <f t="shared" ca="1" si="30"/>
        <v>0</v>
      </c>
      <c r="L194" s="105">
        <f t="shared" ca="1" si="31"/>
        <v>0</v>
      </c>
      <c r="M194" s="105">
        <f t="shared" ca="1" si="32"/>
        <v>0</v>
      </c>
      <c r="N194" s="105">
        <f t="shared" ca="1" si="33"/>
        <v>0</v>
      </c>
      <c r="O194" s="105">
        <f t="shared" ca="1" si="34"/>
        <v>0</v>
      </c>
      <c r="P194" s="105">
        <f t="shared" ca="1" si="35"/>
        <v>0</v>
      </c>
      <c r="Q194" s="105">
        <f t="shared" ca="1" si="36"/>
        <v>0</v>
      </c>
      <c r="R194" s="105">
        <f t="shared" ca="1" si="37"/>
        <v>0</v>
      </c>
      <c r="S194" s="105">
        <f t="shared" ca="1" si="38"/>
        <v>0</v>
      </c>
      <c r="T194" s="105">
        <f t="shared" ca="1" si="39"/>
        <v>0</v>
      </c>
      <c r="U194" s="105">
        <f t="shared" ca="1" si="40"/>
        <v>0</v>
      </c>
      <c r="V194" s="105">
        <f t="shared" ca="1" si="41"/>
        <v>0</v>
      </c>
      <c r="W194" s="105">
        <f t="shared" ca="1" si="42"/>
        <v>0</v>
      </c>
      <c r="X194" s="105">
        <f t="shared" ca="1" si="43"/>
        <v>0</v>
      </c>
      <c r="Y194" s="105">
        <f t="shared" ca="1" si="44"/>
        <v>0</v>
      </c>
      <c r="Z194" s="105">
        <f t="shared" ca="1" si="45"/>
        <v>0</v>
      </c>
      <c r="AA194" s="105">
        <f t="shared" ca="1" si="46"/>
        <v>0</v>
      </c>
      <c r="AB194" s="105">
        <f t="shared" ca="1" si="47"/>
        <v>0</v>
      </c>
      <c r="AC194" s="105"/>
      <c r="AD194" s="103"/>
      <c r="AE194" s="103"/>
      <c r="AF194" s="103"/>
      <c r="AG194" s="103"/>
      <c r="AH194" s="103"/>
      <c r="AI194" s="103"/>
      <c r="AJ194" s="103"/>
      <c r="AK194" s="103"/>
      <c r="AL194" s="103"/>
      <c r="AM194" s="103"/>
      <c r="AN194" s="103"/>
      <c r="AO194" s="103"/>
      <c r="AP194" s="103"/>
      <c r="AQ194" s="103"/>
      <c r="AR194" s="103"/>
      <c r="AS194" s="103"/>
      <c r="AT194" s="103"/>
      <c r="AU194" s="103"/>
      <c r="AV194" s="103"/>
    </row>
    <row r="195" spans="2:48">
      <c r="B195" s="13"/>
      <c r="C195" s="13"/>
      <c r="E195" s="105">
        <f t="shared" ca="1" si="24"/>
        <v>0</v>
      </c>
      <c r="F195" s="105">
        <f t="shared" ca="1" si="25"/>
        <v>0</v>
      </c>
      <c r="G195" s="105">
        <f t="shared" ca="1" si="26"/>
        <v>0</v>
      </c>
      <c r="H195" s="105">
        <f t="shared" ca="1" si="27"/>
        <v>0</v>
      </c>
      <c r="I195" s="105">
        <f t="shared" ca="1" si="28"/>
        <v>0</v>
      </c>
      <c r="J195" s="105">
        <f t="shared" ca="1" si="29"/>
        <v>0</v>
      </c>
      <c r="K195" s="105">
        <f t="shared" ca="1" si="30"/>
        <v>0</v>
      </c>
      <c r="L195" s="105">
        <f t="shared" ca="1" si="31"/>
        <v>0</v>
      </c>
      <c r="M195" s="105">
        <f t="shared" ca="1" si="32"/>
        <v>0</v>
      </c>
      <c r="N195" s="105">
        <f t="shared" ca="1" si="33"/>
        <v>0</v>
      </c>
      <c r="O195" s="105">
        <f t="shared" ca="1" si="34"/>
        <v>0</v>
      </c>
      <c r="P195" s="105">
        <f t="shared" ca="1" si="35"/>
        <v>0</v>
      </c>
      <c r="Q195" s="105">
        <f t="shared" ca="1" si="36"/>
        <v>0</v>
      </c>
      <c r="R195" s="105">
        <f t="shared" ca="1" si="37"/>
        <v>0</v>
      </c>
      <c r="S195" s="105">
        <f t="shared" ca="1" si="38"/>
        <v>0</v>
      </c>
      <c r="T195" s="105">
        <f t="shared" ca="1" si="39"/>
        <v>0</v>
      </c>
      <c r="U195" s="105">
        <f t="shared" ca="1" si="40"/>
        <v>0</v>
      </c>
      <c r="V195" s="105">
        <f t="shared" ca="1" si="41"/>
        <v>0</v>
      </c>
      <c r="W195" s="105">
        <f t="shared" ca="1" si="42"/>
        <v>0</v>
      </c>
      <c r="X195" s="105">
        <f t="shared" ca="1" si="43"/>
        <v>0</v>
      </c>
      <c r="Y195" s="105">
        <f t="shared" ca="1" si="44"/>
        <v>0</v>
      </c>
      <c r="Z195" s="105">
        <f t="shared" ca="1" si="45"/>
        <v>0</v>
      </c>
      <c r="AA195" s="105">
        <f t="shared" ca="1" si="46"/>
        <v>0</v>
      </c>
      <c r="AB195" s="105">
        <f t="shared" ca="1" si="47"/>
        <v>0</v>
      </c>
      <c r="AC195" s="105"/>
      <c r="AD195" s="103"/>
      <c r="AE195" s="103"/>
      <c r="AF195" s="103"/>
      <c r="AG195" s="103"/>
      <c r="AH195" s="103"/>
      <c r="AI195" s="103"/>
      <c r="AJ195" s="103"/>
      <c r="AK195" s="103"/>
      <c r="AL195" s="103"/>
      <c r="AM195" s="103"/>
      <c r="AN195" s="103"/>
      <c r="AO195" s="103"/>
      <c r="AP195" s="103"/>
      <c r="AQ195" s="103"/>
      <c r="AR195" s="103"/>
      <c r="AS195" s="103"/>
      <c r="AT195" s="103"/>
      <c r="AU195" s="103"/>
      <c r="AV195" s="103"/>
    </row>
    <row r="196" spans="2:48">
      <c r="B196" s="13"/>
      <c r="C196" s="13"/>
      <c r="E196" s="105">
        <f t="shared" ca="1" si="24"/>
        <v>0</v>
      </c>
      <c r="F196" s="105">
        <f t="shared" ca="1" si="25"/>
        <v>0</v>
      </c>
      <c r="G196" s="105">
        <f t="shared" ca="1" si="26"/>
        <v>0</v>
      </c>
      <c r="H196" s="105">
        <f t="shared" ca="1" si="27"/>
        <v>0</v>
      </c>
      <c r="I196" s="105">
        <f t="shared" ca="1" si="28"/>
        <v>0</v>
      </c>
      <c r="J196" s="105">
        <f t="shared" ca="1" si="29"/>
        <v>0</v>
      </c>
      <c r="K196" s="105">
        <f t="shared" ca="1" si="30"/>
        <v>0</v>
      </c>
      <c r="L196" s="105">
        <f t="shared" ca="1" si="31"/>
        <v>0</v>
      </c>
      <c r="M196" s="105">
        <f t="shared" ca="1" si="32"/>
        <v>0</v>
      </c>
      <c r="N196" s="105">
        <f t="shared" ca="1" si="33"/>
        <v>0</v>
      </c>
      <c r="O196" s="105">
        <f t="shared" ca="1" si="34"/>
        <v>0</v>
      </c>
      <c r="P196" s="105">
        <f t="shared" ca="1" si="35"/>
        <v>0</v>
      </c>
      <c r="Q196" s="105">
        <f t="shared" ca="1" si="36"/>
        <v>0</v>
      </c>
      <c r="R196" s="105">
        <f t="shared" ca="1" si="37"/>
        <v>0</v>
      </c>
      <c r="S196" s="105">
        <f t="shared" ca="1" si="38"/>
        <v>0</v>
      </c>
      <c r="T196" s="105">
        <f t="shared" ca="1" si="39"/>
        <v>0</v>
      </c>
      <c r="U196" s="105">
        <f t="shared" ca="1" si="40"/>
        <v>0</v>
      </c>
      <c r="V196" s="105">
        <f t="shared" ca="1" si="41"/>
        <v>0</v>
      </c>
      <c r="W196" s="105">
        <f t="shared" ca="1" si="42"/>
        <v>0</v>
      </c>
      <c r="X196" s="105">
        <f t="shared" ca="1" si="43"/>
        <v>0</v>
      </c>
      <c r="Y196" s="105">
        <f t="shared" ca="1" si="44"/>
        <v>0</v>
      </c>
      <c r="Z196" s="105">
        <f t="shared" ca="1" si="45"/>
        <v>0</v>
      </c>
      <c r="AA196" s="105">
        <f t="shared" ca="1" si="46"/>
        <v>0</v>
      </c>
      <c r="AB196" s="105">
        <f t="shared" ca="1" si="47"/>
        <v>0</v>
      </c>
      <c r="AC196" s="105"/>
      <c r="AD196" s="103"/>
      <c r="AE196" s="103"/>
      <c r="AF196" s="103"/>
      <c r="AG196" s="103"/>
      <c r="AH196" s="103"/>
      <c r="AI196" s="103"/>
      <c r="AJ196" s="103"/>
      <c r="AK196" s="103"/>
      <c r="AL196" s="103"/>
      <c r="AM196" s="103"/>
      <c r="AN196" s="103"/>
      <c r="AO196" s="103"/>
      <c r="AP196" s="103"/>
      <c r="AQ196" s="103"/>
      <c r="AR196" s="103"/>
      <c r="AS196" s="103"/>
      <c r="AT196" s="103"/>
      <c r="AU196" s="103"/>
      <c r="AV196" s="103"/>
    </row>
    <row r="197" spans="2:48">
      <c r="B197" s="13"/>
      <c r="C197" s="13"/>
      <c r="E197" s="105">
        <f t="shared" ca="1" si="24"/>
        <v>0</v>
      </c>
      <c r="F197" s="105">
        <f t="shared" ca="1" si="25"/>
        <v>0</v>
      </c>
      <c r="G197" s="105">
        <f t="shared" ca="1" si="26"/>
        <v>0</v>
      </c>
      <c r="H197" s="105">
        <f t="shared" ca="1" si="27"/>
        <v>0</v>
      </c>
      <c r="I197" s="105">
        <f t="shared" ca="1" si="28"/>
        <v>0</v>
      </c>
      <c r="J197" s="105">
        <f t="shared" ca="1" si="29"/>
        <v>0</v>
      </c>
      <c r="K197" s="105">
        <f t="shared" ca="1" si="30"/>
        <v>0</v>
      </c>
      <c r="L197" s="105">
        <f t="shared" ca="1" si="31"/>
        <v>0</v>
      </c>
      <c r="M197" s="105">
        <f t="shared" ca="1" si="32"/>
        <v>0</v>
      </c>
      <c r="N197" s="105">
        <f t="shared" ca="1" si="33"/>
        <v>0</v>
      </c>
      <c r="O197" s="105">
        <f t="shared" ca="1" si="34"/>
        <v>0</v>
      </c>
      <c r="P197" s="105">
        <f t="shared" ca="1" si="35"/>
        <v>0</v>
      </c>
      <c r="Q197" s="105">
        <f t="shared" ca="1" si="36"/>
        <v>0</v>
      </c>
      <c r="R197" s="105">
        <f t="shared" ca="1" si="37"/>
        <v>0</v>
      </c>
      <c r="S197" s="105">
        <f t="shared" ca="1" si="38"/>
        <v>0</v>
      </c>
      <c r="T197" s="105">
        <f t="shared" ca="1" si="39"/>
        <v>0</v>
      </c>
      <c r="U197" s="105">
        <f t="shared" ca="1" si="40"/>
        <v>0</v>
      </c>
      <c r="V197" s="105">
        <f t="shared" ca="1" si="41"/>
        <v>0</v>
      </c>
      <c r="W197" s="105">
        <f t="shared" ca="1" si="42"/>
        <v>0</v>
      </c>
      <c r="X197" s="105">
        <f t="shared" ca="1" si="43"/>
        <v>0</v>
      </c>
      <c r="Y197" s="105">
        <f t="shared" ca="1" si="44"/>
        <v>0</v>
      </c>
      <c r="Z197" s="105">
        <f t="shared" ca="1" si="45"/>
        <v>0</v>
      </c>
      <c r="AA197" s="105">
        <f t="shared" ca="1" si="46"/>
        <v>0</v>
      </c>
      <c r="AB197" s="105">
        <f t="shared" ca="1" si="47"/>
        <v>0</v>
      </c>
      <c r="AC197" s="105"/>
      <c r="AD197" s="103"/>
      <c r="AE197" s="103"/>
      <c r="AF197" s="103"/>
      <c r="AG197" s="103"/>
      <c r="AH197" s="103"/>
      <c r="AI197" s="103"/>
      <c r="AJ197" s="103"/>
      <c r="AK197" s="103"/>
      <c r="AL197" s="103"/>
      <c r="AM197" s="103"/>
      <c r="AN197" s="103"/>
      <c r="AO197" s="103"/>
      <c r="AP197" s="103"/>
      <c r="AQ197" s="103"/>
      <c r="AR197" s="103"/>
      <c r="AS197" s="103"/>
      <c r="AT197" s="103"/>
      <c r="AU197" s="103"/>
      <c r="AV197" s="103"/>
    </row>
    <row r="198" spans="2:48">
      <c r="B198" s="13"/>
      <c r="C198" s="13"/>
      <c r="E198" s="105">
        <f t="shared" ca="1" si="24"/>
        <v>0</v>
      </c>
      <c r="F198" s="105">
        <f t="shared" ca="1" si="25"/>
        <v>0</v>
      </c>
      <c r="G198" s="105">
        <f t="shared" ca="1" si="26"/>
        <v>0</v>
      </c>
      <c r="H198" s="105">
        <f t="shared" ca="1" si="27"/>
        <v>0</v>
      </c>
      <c r="I198" s="105">
        <f t="shared" ca="1" si="28"/>
        <v>0</v>
      </c>
      <c r="J198" s="105">
        <f t="shared" ca="1" si="29"/>
        <v>0</v>
      </c>
      <c r="K198" s="105">
        <f t="shared" ca="1" si="30"/>
        <v>0</v>
      </c>
      <c r="L198" s="105">
        <f t="shared" ca="1" si="31"/>
        <v>0</v>
      </c>
      <c r="M198" s="105">
        <f t="shared" ca="1" si="32"/>
        <v>0</v>
      </c>
      <c r="N198" s="105">
        <f t="shared" ca="1" si="33"/>
        <v>0</v>
      </c>
      <c r="O198" s="105">
        <f t="shared" ca="1" si="34"/>
        <v>0</v>
      </c>
      <c r="P198" s="105">
        <f t="shared" ca="1" si="35"/>
        <v>0</v>
      </c>
      <c r="Q198" s="105">
        <f t="shared" ca="1" si="36"/>
        <v>0</v>
      </c>
      <c r="R198" s="105">
        <f t="shared" ca="1" si="37"/>
        <v>0</v>
      </c>
      <c r="S198" s="105">
        <f t="shared" ca="1" si="38"/>
        <v>0</v>
      </c>
      <c r="T198" s="105">
        <f t="shared" ca="1" si="39"/>
        <v>0</v>
      </c>
      <c r="U198" s="105">
        <f t="shared" ca="1" si="40"/>
        <v>0</v>
      </c>
      <c r="V198" s="105">
        <f t="shared" ca="1" si="41"/>
        <v>0</v>
      </c>
      <c r="W198" s="105">
        <f t="shared" ca="1" si="42"/>
        <v>0</v>
      </c>
      <c r="X198" s="105">
        <f t="shared" ca="1" si="43"/>
        <v>0</v>
      </c>
      <c r="Y198" s="105">
        <f t="shared" ca="1" si="44"/>
        <v>0</v>
      </c>
      <c r="Z198" s="105">
        <f t="shared" ca="1" si="45"/>
        <v>0</v>
      </c>
      <c r="AA198" s="105">
        <f t="shared" ca="1" si="46"/>
        <v>0</v>
      </c>
      <c r="AB198" s="105">
        <f t="shared" ca="1" si="47"/>
        <v>0</v>
      </c>
      <c r="AC198" s="105"/>
      <c r="AD198" s="103"/>
      <c r="AE198" s="103"/>
      <c r="AF198" s="103"/>
      <c r="AG198" s="103"/>
      <c r="AH198" s="103"/>
      <c r="AI198" s="103"/>
      <c r="AJ198" s="103"/>
      <c r="AK198" s="103"/>
      <c r="AL198" s="103"/>
      <c r="AM198" s="103"/>
      <c r="AN198" s="103"/>
      <c r="AO198" s="103"/>
      <c r="AP198" s="103"/>
      <c r="AQ198" s="103"/>
      <c r="AR198" s="103"/>
      <c r="AS198" s="103"/>
      <c r="AT198" s="103"/>
      <c r="AU198" s="103"/>
      <c r="AV198" s="103"/>
    </row>
    <row r="199" spans="2:48">
      <c r="B199" s="13"/>
      <c r="C199" s="13"/>
      <c r="E199" s="105">
        <f t="shared" ca="1" si="24"/>
        <v>0</v>
      </c>
      <c r="F199" s="105">
        <f t="shared" ca="1" si="25"/>
        <v>0</v>
      </c>
      <c r="G199" s="105">
        <f t="shared" ca="1" si="26"/>
        <v>0</v>
      </c>
      <c r="H199" s="105">
        <f t="shared" ca="1" si="27"/>
        <v>0</v>
      </c>
      <c r="I199" s="105">
        <f t="shared" ca="1" si="28"/>
        <v>0</v>
      </c>
      <c r="J199" s="105">
        <f t="shared" ca="1" si="29"/>
        <v>0</v>
      </c>
      <c r="K199" s="105">
        <f t="shared" ca="1" si="30"/>
        <v>0</v>
      </c>
      <c r="L199" s="105">
        <f t="shared" ca="1" si="31"/>
        <v>0</v>
      </c>
      <c r="M199" s="105">
        <f t="shared" ca="1" si="32"/>
        <v>0</v>
      </c>
      <c r="N199" s="105">
        <f t="shared" ca="1" si="33"/>
        <v>0</v>
      </c>
      <c r="O199" s="105">
        <f t="shared" ca="1" si="34"/>
        <v>0</v>
      </c>
      <c r="P199" s="105">
        <f t="shared" ca="1" si="35"/>
        <v>0</v>
      </c>
      <c r="Q199" s="105">
        <f t="shared" ca="1" si="36"/>
        <v>0</v>
      </c>
      <c r="R199" s="105">
        <f t="shared" ca="1" si="37"/>
        <v>0</v>
      </c>
      <c r="S199" s="105">
        <f t="shared" ca="1" si="38"/>
        <v>0</v>
      </c>
      <c r="T199" s="105">
        <f t="shared" ca="1" si="39"/>
        <v>0</v>
      </c>
      <c r="U199" s="105">
        <f t="shared" ca="1" si="40"/>
        <v>0</v>
      </c>
      <c r="V199" s="105">
        <f t="shared" ca="1" si="41"/>
        <v>0</v>
      </c>
      <c r="W199" s="105">
        <f t="shared" ca="1" si="42"/>
        <v>0</v>
      </c>
      <c r="X199" s="105">
        <f t="shared" ca="1" si="43"/>
        <v>0</v>
      </c>
      <c r="Y199" s="105">
        <f t="shared" ca="1" si="44"/>
        <v>0</v>
      </c>
      <c r="Z199" s="105">
        <f t="shared" ca="1" si="45"/>
        <v>0</v>
      </c>
      <c r="AA199" s="105">
        <f t="shared" ca="1" si="46"/>
        <v>0</v>
      </c>
      <c r="AB199" s="105">
        <f t="shared" ca="1" si="47"/>
        <v>0</v>
      </c>
      <c r="AC199" s="105"/>
      <c r="AD199" s="103"/>
      <c r="AE199" s="103"/>
      <c r="AF199" s="103"/>
      <c r="AG199" s="103"/>
      <c r="AH199" s="103"/>
      <c r="AI199" s="103"/>
      <c r="AJ199" s="103"/>
      <c r="AK199" s="103"/>
      <c r="AL199" s="103"/>
      <c r="AM199" s="103"/>
      <c r="AN199" s="103"/>
      <c r="AO199" s="103"/>
      <c r="AP199" s="103"/>
      <c r="AQ199" s="103"/>
      <c r="AR199" s="103"/>
      <c r="AS199" s="103"/>
      <c r="AT199" s="103"/>
      <c r="AU199" s="103"/>
      <c r="AV199" s="103"/>
    </row>
    <row r="200" spans="2:48">
      <c r="B200" s="13"/>
      <c r="C200" s="13"/>
      <c r="E200" s="105">
        <f t="shared" ca="1" si="24"/>
        <v>0</v>
      </c>
      <c r="F200" s="105">
        <f t="shared" ca="1" si="25"/>
        <v>0</v>
      </c>
      <c r="G200" s="105">
        <f t="shared" ca="1" si="26"/>
        <v>0</v>
      </c>
      <c r="H200" s="105">
        <f t="shared" ca="1" si="27"/>
        <v>0</v>
      </c>
      <c r="I200" s="105">
        <f t="shared" ca="1" si="28"/>
        <v>0</v>
      </c>
      <c r="J200" s="105">
        <f t="shared" ca="1" si="29"/>
        <v>0</v>
      </c>
      <c r="K200" s="105">
        <f t="shared" ca="1" si="30"/>
        <v>0</v>
      </c>
      <c r="L200" s="105">
        <f t="shared" ca="1" si="31"/>
        <v>0</v>
      </c>
      <c r="M200" s="105">
        <f t="shared" ca="1" si="32"/>
        <v>0</v>
      </c>
      <c r="N200" s="105">
        <f t="shared" ca="1" si="33"/>
        <v>0</v>
      </c>
      <c r="O200" s="105">
        <f t="shared" ca="1" si="34"/>
        <v>0</v>
      </c>
      <c r="P200" s="105">
        <f t="shared" ca="1" si="35"/>
        <v>0</v>
      </c>
      <c r="Q200" s="105">
        <f t="shared" ca="1" si="36"/>
        <v>0</v>
      </c>
      <c r="R200" s="105">
        <f t="shared" ca="1" si="37"/>
        <v>0</v>
      </c>
      <c r="S200" s="105">
        <f t="shared" ca="1" si="38"/>
        <v>0</v>
      </c>
      <c r="T200" s="105">
        <f t="shared" ca="1" si="39"/>
        <v>0</v>
      </c>
      <c r="U200" s="105">
        <f t="shared" ca="1" si="40"/>
        <v>0</v>
      </c>
      <c r="V200" s="105">
        <f t="shared" ca="1" si="41"/>
        <v>0</v>
      </c>
      <c r="W200" s="105">
        <f t="shared" ca="1" si="42"/>
        <v>0</v>
      </c>
      <c r="X200" s="105">
        <f t="shared" ca="1" si="43"/>
        <v>0</v>
      </c>
      <c r="Y200" s="105">
        <f t="shared" ca="1" si="44"/>
        <v>0</v>
      </c>
      <c r="Z200" s="105">
        <f t="shared" ca="1" si="45"/>
        <v>0</v>
      </c>
      <c r="AA200" s="105">
        <f t="shared" ca="1" si="46"/>
        <v>0</v>
      </c>
      <c r="AB200" s="105">
        <f t="shared" ca="1" si="47"/>
        <v>0</v>
      </c>
      <c r="AC200" s="105"/>
      <c r="AD200" s="103"/>
      <c r="AE200" s="103"/>
      <c r="AF200" s="103"/>
      <c r="AG200" s="103"/>
      <c r="AH200" s="103"/>
      <c r="AI200" s="103"/>
      <c r="AJ200" s="103"/>
      <c r="AK200" s="103"/>
      <c r="AL200" s="103"/>
      <c r="AM200" s="103"/>
      <c r="AN200" s="103"/>
      <c r="AO200" s="103"/>
      <c r="AP200" s="103"/>
      <c r="AQ200" s="103"/>
      <c r="AR200" s="103"/>
      <c r="AS200" s="103"/>
      <c r="AT200" s="103"/>
      <c r="AU200" s="103"/>
      <c r="AV200" s="103"/>
    </row>
    <row r="201" spans="2:48">
      <c r="B201" s="13"/>
      <c r="C201" s="13"/>
      <c r="E201" s="105">
        <f t="shared" ca="1" si="24"/>
        <v>0</v>
      </c>
      <c r="F201" s="105">
        <f t="shared" ca="1" si="25"/>
        <v>0</v>
      </c>
      <c r="G201" s="105">
        <f t="shared" ca="1" si="26"/>
        <v>0</v>
      </c>
      <c r="H201" s="105">
        <f t="shared" ca="1" si="27"/>
        <v>0</v>
      </c>
      <c r="I201" s="105">
        <f t="shared" ca="1" si="28"/>
        <v>0</v>
      </c>
      <c r="J201" s="105">
        <f t="shared" ca="1" si="29"/>
        <v>0</v>
      </c>
      <c r="K201" s="105">
        <f t="shared" ca="1" si="30"/>
        <v>0</v>
      </c>
      <c r="L201" s="105">
        <f t="shared" ca="1" si="31"/>
        <v>0</v>
      </c>
      <c r="M201" s="105">
        <f t="shared" ca="1" si="32"/>
        <v>0</v>
      </c>
      <c r="N201" s="105">
        <f t="shared" ca="1" si="33"/>
        <v>0</v>
      </c>
      <c r="O201" s="105">
        <f t="shared" ca="1" si="34"/>
        <v>0</v>
      </c>
      <c r="P201" s="105">
        <f t="shared" ca="1" si="35"/>
        <v>0</v>
      </c>
      <c r="Q201" s="105">
        <f t="shared" ca="1" si="36"/>
        <v>0</v>
      </c>
      <c r="R201" s="105">
        <f t="shared" ca="1" si="37"/>
        <v>0</v>
      </c>
      <c r="S201" s="105">
        <f t="shared" ca="1" si="38"/>
        <v>0</v>
      </c>
      <c r="T201" s="105">
        <f t="shared" ca="1" si="39"/>
        <v>0</v>
      </c>
      <c r="U201" s="105">
        <f t="shared" ca="1" si="40"/>
        <v>0</v>
      </c>
      <c r="V201" s="105">
        <f t="shared" ca="1" si="41"/>
        <v>0</v>
      </c>
      <c r="W201" s="105">
        <f t="shared" ca="1" si="42"/>
        <v>0</v>
      </c>
      <c r="X201" s="105">
        <f t="shared" ca="1" si="43"/>
        <v>0</v>
      </c>
      <c r="Y201" s="105">
        <f t="shared" ca="1" si="44"/>
        <v>0</v>
      </c>
      <c r="Z201" s="105">
        <f t="shared" ca="1" si="45"/>
        <v>0</v>
      </c>
      <c r="AA201" s="105">
        <f t="shared" ca="1" si="46"/>
        <v>0</v>
      </c>
      <c r="AB201" s="105">
        <f t="shared" ca="1" si="47"/>
        <v>0</v>
      </c>
      <c r="AC201" s="105"/>
      <c r="AD201" s="103"/>
      <c r="AE201" s="103"/>
      <c r="AF201" s="103"/>
      <c r="AG201" s="103"/>
      <c r="AH201" s="103"/>
      <c r="AI201" s="103"/>
      <c r="AJ201" s="103"/>
      <c r="AK201" s="103"/>
      <c r="AL201" s="103"/>
      <c r="AM201" s="103"/>
      <c r="AN201" s="103"/>
      <c r="AO201" s="103"/>
      <c r="AP201" s="103"/>
      <c r="AQ201" s="103"/>
      <c r="AR201" s="103"/>
      <c r="AS201" s="103"/>
      <c r="AT201" s="103"/>
      <c r="AU201" s="103"/>
      <c r="AV201" s="103"/>
    </row>
    <row r="202" spans="2:48">
      <c r="B202" s="13"/>
      <c r="C202" s="13"/>
      <c r="E202" s="105">
        <f t="shared" ca="1" si="24"/>
        <v>0</v>
      </c>
      <c r="F202" s="105">
        <f t="shared" ca="1" si="25"/>
        <v>0</v>
      </c>
      <c r="G202" s="105">
        <f t="shared" ca="1" si="26"/>
        <v>0</v>
      </c>
      <c r="H202" s="105">
        <f t="shared" ca="1" si="27"/>
        <v>0</v>
      </c>
      <c r="I202" s="105">
        <f t="shared" ca="1" si="28"/>
        <v>0</v>
      </c>
      <c r="J202" s="105">
        <f t="shared" ca="1" si="29"/>
        <v>0</v>
      </c>
      <c r="K202" s="105">
        <f t="shared" ca="1" si="30"/>
        <v>0</v>
      </c>
      <c r="L202" s="105">
        <f t="shared" ca="1" si="31"/>
        <v>0</v>
      </c>
      <c r="M202" s="105">
        <f t="shared" ca="1" si="32"/>
        <v>0</v>
      </c>
      <c r="N202" s="105">
        <f t="shared" ca="1" si="33"/>
        <v>0</v>
      </c>
      <c r="O202" s="105">
        <f t="shared" ca="1" si="34"/>
        <v>0</v>
      </c>
      <c r="P202" s="105">
        <f t="shared" ca="1" si="35"/>
        <v>0</v>
      </c>
      <c r="Q202" s="105">
        <f t="shared" ca="1" si="36"/>
        <v>0</v>
      </c>
      <c r="R202" s="105">
        <f t="shared" ca="1" si="37"/>
        <v>0</v>
      </c>
      <c r="S202" s="105">
        <f t="shared" ca="1" si="38"/>
        <v>0</v>
      </c>
      <c r="T202" s="105">
        <f t="shared" ca="1" si="39"/>
        <v>0</v>
      </c>
      <c r="U202" s="105">
        <f t="shared" ca="1" si="40"/>
        <v>0</v>
      </c>
      <c r="V202" s="105">
        <f t="shared" ca="1" si="41"/>
        <v>0</v>
      </c>
      <c r="W202" s="105">
        <f t="shared" ca="1" si="42"/>
        <v>0</v>
      </c>
      <c r="X202" s="105">
        <f t="shared" ca="1" si="43"/>
        <v>0</v>
      </c>
      <c r="Y202" s="105">
        <f t="shared" ca="1" si="44"/>
        <v>0</v>
      </c>
      <c r="Z202" s="105">
        <f t="shared" ca="1" si="45"/>
        <v>0</v>
      </c>
      <c r="AA202" s="105">
        <f t="shared" ca="1" si="46"/>
        <v>0</v>
      </c>
      <c r="AB202" s="105">
        <f t="shared" ca="1" si="47"/>
        <v>0</v>
      </c>
      <c r="AC202" s="105"/>
      <c r="AD202" s="103"/>
      <c r="AE202" s="103"/>
      <c r="AF202" s="103"/>
      <c r="AG202" s="103"/>
      <c r="AH202" s="103"/>
      <c r="AI202" s="103"/>
      <c r="AJ202" s="103"/>
      <c r="AK202" s="103"/>
      <c r="AL202" s="103"/>
      <c r="AM202" s="103"/>
      <c r="AN202" s="103"/>
      <c r="AO202" s="103"/>
      <c r="AP202" s="103"/>
      <c r="AQ202" s="103"/>
      <c r="AR202" s="103"/>
      <c r="AS202" s="103"/>
      <c r="AT202" s="103"/>
      <c r="AU202" s="103"/>
      <c r="AV202" s="103"/>
    </row>
    <row r="203" spans="2:48">
      <c r="B203" s="13"/>
      <c r="C203" s="13"/>
      <c r="E203" s="105">
        <f t="shared" ca="1" si="24"/>
        <v>0</v>
      </c>
      <c r="F203" s="105">
        <f t="shared" ca="1" si="25"/>
        <v>0</v>
      </c>
      <c r="G203" s="105">
        <f t="shared" ca="1" si="26"/>
        <v>0</v>
      </c>
      <c r="H203" s="105">
        <f t="shared" ca="1" si="27"/>
        <v>0</v>
      </c>
      <c r="I203" s="105">
        <f t="shared" ca="1" si="28"/>
        <v>0</v>
      </c>
      <c r="J203" s="105">
        <f t="shared" ca="1" si="29"/>
        <v>0</v>
      </c>
      <c r="K203" s="105">
        <f t="shared" ca="1" si="30"/>
        <v>0</v>
      </c>
      <c r="L203" s="105">
        <f t="shared" ca="1" si="31"/>
        <v>0</v>
      </c>
      <c r="M203" s="105">
        <f t="shared" ca="1" si="32"/>
        <v>0</v>
      </c>
      <c r="N203" s="105">
        <f t="shared" ca="1" si="33"/>
        <v>0</v>
      </c>
      <c r="O203" s="105">
        <f t="shared" ca="1" si="34"/>
        <v>0</v>
      </c>
      <c r="P203" s="105">
        <f t="shared" ca="1" si="35"/>
        <v>0</v>
      </c>
      <c r="Q203" s="105">
        <f t="shared" ca="1" si="36"/>
        <v>0</v>
      </c>
      <c r="R203" s="105">
        <f t="shared" ca="1" si="37"/>
        <v>0</v>
      </c>
      <c r="S203" s="105">
        <f t="shared" ca="1" si="38"/>
        <v>0</v>
      </c>
      <c r="T203" s="105">
        <f t="shared" ca="1" si="39"/>
        <v>0</v>
      </c>
      <c r="U203" s="105">
        <f t="shared" ca="1" si="40"/>
        <v>0</v>
      </c>
      <c r="V203" s="105">
        <f t="shared" ca="1" si="41"/>
        <v>0</v>
      </c>
      <c r="W203" s="105">
        <f t="shared" ca="1" si="42"/>
        <v>0</v>
      </c>
      <c r="X203" s="105">
        <f t="shared" ca="1" si="43"/>
        <v>0</v>
      </c>
      <c r="Y203" s="105">
        <f t="shared" ca="1" si="44"/>
        <v>0</v>
      </c>
      <c r="Z203" s="105">
        <f t="shared" ca="1" si="45"/>
        <v>0</v>
      </c>
      <c r="AA203" s="105">
        <f t="shared" ca="1" si="46"/>
        <v>0</v>
      </c>
      <c r="AB203" s="105">
        <f t="shared" ca="1" si="47"/>
        <v>0</v>
      </c>
      <c r="AC203" s="105"/>
      <c r="AD203" s="103"/>
      <c r="AE203" s="103"/>
      <c r="AF203" s="103"/>
      <c r="AG203" s="103"/>
      <c r="AH203" s="103"/>
      <c r="AI203" s="103"/>
      <c r="AJ203" s="103"/>
      <c r="AK203" s="103"/>
      <c r="AL203" s="103"/>
      <c r="AM203" s="103"/>
      <c r="AN203" s="103"/>
      <c r="AO203" s="103"/>
      <c r="AP203" s="103"/>
      <c r="AQ203" s="103"/>
      <c r="AR203" s="103"/>
      <c r="AS203" s="103"/>
      <c r="AT203" s="103"/>
      <c r="AU203" s="103"/>
      <c r="AV203" s="103"/>
    </row>
    <row r="204" spans="2:48">
      <c r="B204" s="13"/>
      <c r="C204" s="13"/>
      <c r="E204" s="105">
        <f t="shared" ca="1" si="24"/>
        <v>0</v>
      </c>
      <c r="F204" s="105">
        <f t="shared" ca="1" si="25"/>
        <v>0</v>
      </c>
      <c r="G204" s="105">
        <f t="shared" ca="1" si="26"/>
        <v>0</v>
      </c>
      <c r="H204" s="105">
        <f t="shared" ca="1" si="27"/>
        <v>0</v>
      </c>
      <c r="I204" s="105">
        <f t="shared" ca="1" si="28"/>
        <v>0</v>
      </c>
      <c r="J204" s="105">
        <f t="shared" ca="1" si="29"/>
        <v>0</v>
      </c>
      <c r="K204" s="105">
        <f t="shared" ca="1" si="30"/>
        <v>0</v>
      </c>
      <c r="L204" s="105">
        <f t="shared" ca="1" si="31"/>
        <v>0</v>
      </c>
      <c r="M204" s="105">
        <f t="shared" ca="1" si="32"/>
        <v>0</v>
      </c>
      <c r="N204" s="105">
        <f t="shared" ca="1" si="33"/>
        <v>0</v>
      </c>
      <c r="O204" s="105">
        <f t="shared" ca="1" si="34"/>
        <v>0</v>
      </c>
      <c r="P204" s="105">
        <f t="shared" ca="1" si="35"/>
        <v>0</v>
      </c>
      <c r="Q204" s="105">
        <f t="shared" ca="1" si="36"/>
        <v>0</v>
      </c>
      <c r="R204" s="105">
        <f t="shared" ca="1" si="37"/>
        <v>0</v>
      </c>
      <c r="S204" s="105">
        <f t="shared" ca="1" si="38"/>
        <v>0</v>
      </c>
      <c r="T204" s="105">
        <f t="shared" ca="1" si="39"/>
        <v>0</v>
      </c>
      <c r="U204" s="105">
        <f t="shared" ca="1" si="40"/>
        <v>0</v>
      </c>
      <c r="V204" s="105">
        <f t="shared" ca="1" si="41"/>
        <v>0</v>
      </c>
      <c r="W204" s="105">
        <f t="shared" ca="1" si="42"/>
        <v>0</v>
      </c>
      <c r="X204" s="105">
        <f t="shared" ca="1" si="43"/>
        <v>0</v>
      </c>
      <c r="Y204" s="105">
        <f t="shared" ca="1" si="44"/>
        <v>0</v>
      </c>
      <c r="Z204" s="105">
        <f t="shared" ca="1" si="45"/>
        <v>0</v>
      </c>
      <c r="AA204" s="105">
        <f t="shared" ca="1" si="46"/>
        <v>0</v>
      </c>
      <c r="AB204" s="105">
        <f t="shared" ca="1" si="47"/>
        <v>0</v>
      </c>
      <c r="AC204" s="105"/>
      <c r="AD204" s="103"/>
      <c r="AE204" s="103"/>
      <c r="AF204" s="103"/>
      <c r="AG204" s="103"/>
      <c r="AH204" s="103"/>
      <c r="AI204" s="103"/>
      <c r="AJ204" s="103"/>
      <c r="AK204" s="103"/>
      <c r="AL204" s="103"/>
      <c r="AM204" s="103"/>
      <c r="AN204" s="103"/>
      <c r="AO204" s="103"/>
      <c r="AP204" s="103"/>
      <c r="AQ204" s="103"/>
      <c r="AR204" s="103"/>
      <c r="AS204" s="103"/>
      <c r="AT204" s="103"/>
      <c r="AU204" s="103"/>
      <c r="AV204" s="103"/>
    </row>
    <row r="205" spans="2:48">
      <c r="B205" s="13"/>
      <c r="C205" s="13"/>
      <c r="E205" s="105">
        <f t="shared" ca="1" si="24"/>
        <v>0</v>
      </c>
      <c r="F205" s="105">
        <f t="shared" ca="1" si="25"/>
        <v>0</v>
      </c>
      <c r="G205" s="105">
        <f t="shared" ca="1" si="26"/>
        <v>0</v>
      </c>
      <c r="H205" s="105">
        <f t="shared" ca="1" si="27"/>
        <v>0</v>
      </c>
      <c r="I205" s="105">
        <f t="shared" ca="1" si="28"/>
        <v>0</v>
      </c>
      <c r="J205" s="105">
        <f t="shared" ca="1" si="29"/>
        <v>0</v>
      </c>
      <c r="K205" s="105">
        <f t="shared" ca="1" si="30"/>
        <v>0</v>
      </c>
      <c r="L205" s="105">
        <f t="shared" ca="1" si="31"/>
        <v>0</v>
      </c>
      <c r="M205" s="105">
        <f t="shared" ca="1" si="32"/>
        <v>0</v>
      </c>
      <c r="N205" s="105">
        <f t="shared" ca="1" si="33"/>
        <v>0</v>
      </c>
      <c r="O205" s="105">
        <f t="shared" ca="1" si="34"/>
        <v>0</v>
      </c>
      <c r="P205" s="105">
        <f t="shared" ca="1" si="35"/>
        <v>0</v>
      </c>
      <c r="Q205" s="105">
        <f t="shared" ca="1" si="36"/>
        <v>0</v>
      </c>
      <c r="R205" s="105">
        <f t="shared" ca="1" si="37"/>
        <v>0</v>
      </c>
      <c r="S205" s="105">
        <f t="shared" ca="1" si="38"/>
        <v>0</v>
      </c>
      <c r="T205" s="105">
        <f t="shared" ca="1" si="39"/>
        <v>0</v>
      </c>
      <c r="U205" s="105">
        <f t="shared" ca="1" si="40"/>
        <v>0</v>
      </c>
      <c r="V205" s="105">
        <f t="shared" ca="1" si="41"/>
        <v>0</v>
      </c>
      <c r="W205" s="105">
        <f t="shared" ca="1" si="42"/>
        <v>0</v>
      </c>
      <c r="X205" s="105">
        <f t="shared" ca="1" si="43"/>
        <v>0</v>
      </c>
      <c r="Y205" s="105">
        <f t="shared" ca="1" si="44"/>
        <v>0</v>
      </c>
      <c r="Z205" s="105">
        <f t="shared" ca="1" si="45"/>
        <v>0</v>
      </c>
      <c r="AA205" s="105">
        <f t="shared" ca="1" si="46"/>
        <v>0</v>
      </c>
      <c r="AB205" s="105">
        <f t="shared" ca="1" si="47"/>
        <v>0</v>
      </c>
      <c r="AC205" s="105"/>
      <c r="AD205" s="103"/>
      <c r="AE205" s="103"/>
      <c r="AF205" s="103"/>
      <c r="AG205" s="103"/>
      <c r="AH205" s="103"/>
      <c r="AI205" s="103"/>
      <c r="AJ205" s="103"/>
      <c r="AK205" s="103"/>
      <c r="AL205" s="103"/>
      <c r="AM205" s="103"/>
      <c r="AN205" s="103"/>
      <c r="AO205" s="103"/>
      <c r="AP205" s="103"/>
      <c r="AQ205" s="103"/>
      <c r="AR205" s="103"/>
      <c r="AS205" s="103"/>
      <c r="AT205" s="103"/>
      <c r="AU205" s="103"/>
      <c r="AV205" s="103"/>
    </row>
    <row r="206" spans="2:48">
      <c r="B206" s="13"/>
      <c r="C206" s="13"/>
      <c r="E206" s="105">
        <f t="shared" ca="1" si="24"/>
        <v>0</v>
      </c>
      <c r="F206" s="105">
        <f t="shared" ca="1" si="25"/>
        <v>0</v>
      </c>
      <c r="G206" s="105">
        <f t="shared" ca="1" si="26"/>
        <v>0</v>
      </c>
      <c r="H206" s="105">
        <f t="shared" ca="1" si="27"/>
        <v>0</v>
      </c>
      <c r="I206" s="105">
        <f t="shared" ca="1" si="28"/>
        <v>0</v>
      </c>
      <c r="J206" s="105">
        <f t="shared" ca="1" si="29"/>
        <v>0</v>
      </c>
      <c r="K206" s="105">
        <f t="shared" ca="1" si="30"/>
        <v>0</v>
      </c>
      <c r="L206" s="105">
        <f t="shared" ca="1" si="31"/>
        <v>0</v>
      </c>
      <c r="M206" s="105">
        <f t="shared" ca="1" si="32"/>
        <v>0</v>
      </c>
      <c r="N206" s="105">
        <f t="shared" ca="1" si="33"/>
        <v>0</v>
      </c>
      <c r="O206" s="105">
        <f t="shared" ca="1" si="34"/>
        <v>0</v>
      </c>
      <c r="P206" s="105">
        <f t="shared" ca="1" si="35"/>
        <v>0</v>
      </c>
      <c r="Q206" s="105">
        <f t="shared" ca="1" si="36"/>
        <v>0</v>
      </c>
      <c r="R206" s="105">
        <f t="shared" ca="1" si="37"/>
        <v>0</v>
      </c>
      <c r="S206" s="105">
        <f t="shared" ca="1" si="38"/>
        <v>0</v>
      </c>
      <c r="T206" s="105">
        <f t="shared" ca="1" si="39"/>
        <v>0</v>
      </c>
      <c r="U206" s="105">
        <f t="shared" ca="1" si="40"/>
        <v>0</v>
      </c>
      <c r="V206" s="105">
        <f t="shared" ca="1" si="41"/>
        <v>0</v>
      </c>
      <c r="W206" s="105">
        <f t="shared" ca="1" si="42"/>
        <v>0</v>
      </c>
      <c r="X206" s="105">
        <f t="shared" ca="1" si="43"/>
        <v>0</v>
      </c>
      <c r="Y206" s="105">
        <f t="shared" ca="1" si="44"/>
        <v>0</v>
      </c>
      <c r="Z206" s="105">
        <f t="shared" ca="1" si="45"/>
        <v>0</v>
      </c>
      <c r="AA206" s="105">
        <f t="shared" ca="1" si="46"/>
        <v>0</v>
      </c>
      <c r="AB206" s="105">
        <f t="shared" ca="1" si="47"/>
        <v>0</v>
      </c>
      <c r="AC206" s="105"/>
      <c r="AD206" s="103"/>
      <c r="AE206" s="103"/>
      <c r="AF206" s="103"/>
      <c r="AG206" s="103"/>
      <c r="AH206" s="103"/>
      <c r="AI206" s="103"/>
      <c r="AJ206" s="103"/>
      <c r="AK206" s="103"/>
      <c r="AL206" s="103"/>
      <c r="AM206" s="103"/>
      <c r="AN206" s="103"/>
      <c r="AO206" s="103"/>
      <c r="AP206" s="103"/>
      <c r="AQ206" s="103"/>
      <c r="AR206" s="103"/>
      <c r="AS206" s="103"/>
      <c r="AT206" s="103"/>
      <c r="AU206" s="103"/>
      <c r="AV206" s="103"/>
    </row>
    <row r="207" spans="2:48">
      <c r="E207" s="105">
        <f t="shared" ca="1" si="24"/>
        <v>0</v>
      </c>
      <c r="F207" s="105">
        <f t="shared" ca="1" si="25"/>
        <v>0</v>
      </c>
      <c r="G207" s="105">
        <f t="shared" ca="1" si="26"/>
        <v>0</v>
      </c>
      <c r="H207" s="105">
        <f t="shared" ca="1" si="27"/>
        <v>0</v>
      </c>
      <c r="I207" s="105">
        <f t="shared" ca="1" si="28"/>
        <v>0</v>
      </c>
      <c r="J207" s="105">
        <f t="shared" ca="1" si="29"/>
        <v>0</v>
      </c>
      <c r="K207" s="105">
        <f t="shared" ca="1" si="30"/>
        <v>0</v>
      </c>
      <c r="L207" s="105">
        <f t="shared" ca="1" si="31"/>
        <v>0</v>
      </c>
      <c r="M207" s="105">
        <f t="shared" ca="1" si="32"/>
        <v>0</v>
      </c>
      <c r="N207" s="105">
        <f t="shared" ca="1" si="33"/>
        <v>0</v>
      </c>
      <c r="O207" s="105">
        <f t="shared" ca="1" si="34"/>
        <v>0</v>
      </c>
      <c r="P207" s="105">
        <f t="shared" ca="1" si="35"/>
        <v>0</v>
      </c>
      <c r="Q207" s="105">
        <f t="shared" ca="1" si="36"/>
        <v>0</v>
      </c>
      <c r="R207" s="105">
        <f t="shared" ca="1" si="37"/>
        <v>0</v>
      </c>
      <c r="S207" s="105">
        <f t="shared" ca="1" si="38"/>
        <v>0</v>
      </c>
      <c r="T207" s="105">
        <f t="shared" ca="1" si="39"/>
        <v>0</v>
      </c>
      <c r="U207" s="105">
        <f t="shared" ca="1" si="40"/>
        <v>0</v>
      </c>
      <c r="V207" s="105">
        <f t="shared" ca="1" si="41"/>
        <v>0</v>
      </c>
      <c r="W207" s="105">
        <f t="shared" ca="1" si="42"/>
        <v>0</v>
      </c>
      <c r="X207" s="105">
        <f t="shared" ca="1" si="43"/>
        <v>0</v>
      </c>
      <c r="Y207" s="105">
        <f t="shared" ca="1" si="44"/>
        <v>0</v>
      </c>
      <c r="Z207" s="105">
        <f t="shared" ca="1" si="45"/>
        <v>0</v>
      </c>
      <c r="AA207" s="105">
        <f t="shared" ca="1" si="46"/>
        <v>0</v>
      </c>
      <c r="AB207" s="105">
        <f t="shared" ca="1" si="47"/>
        <v>0</v>
      </c>
      <c r="AC207" s="105"/>
      <c r="AD207" s="103"/>
      <c r="AE207" s="103"/>
      <c r="AF207" s="103"/>
      <c r="AG207" s="103"/>
      <c r="AH207" s="103"/>
      <c r="AI207" s="103"/>
      <c r="AJ207" s="103"/>
      <c r="AK207" s="103"/>
      <c r="AL207" s="103"/>
      <c r="AM207" s="103"/>
      <c r="AN207" s="103"/>
      <c r="AO207" s="103"/>
      <c r="AP207" s="103"/>
      <c r="AQ207" s="103"/>
      <c r="AR207" s="103"/>
      <c r="AS207" s="103"/>
      <c r="AT207" s="103"/>
      <c r="AU207" s="103"/>
      <c r="AV207" s="103"/>
    </row>
    <row r="208" spans="2:48">
      <c r="E208" s="105">
        <f t="shared" ca="1" si="24"/>
        <v>0</v>
      </c>
      <c r="F208" s="105">
        <f t="shared" ca="1" si="25"/>
        <v>0</v>
      </c>
      <c r="G208" s="105">
        <f t="shared" ca="1" si="26"/>
        <v>0</v>
      </c>
      <c r="H208" s="105">
        <f t="shared" ca="1" si="27"/>
        <v>0</v>
      </c>
      <c r="I208" s="105">
        <f t="shared" ca="1" si="28"/>
        <v>0</v>
      </c>
      <c r="J208" s="105">
        <f t="shared" ca="1" si="29"/>
        <v>0</v>
      </c>
      <c r="K208" s="105">
        <f t="shared" ca="1" si="30"/>
        <v>0</v>
      </c>
      <c r="L208" s="105">
        <f t="shared" ca="1" si="31"/>
        <v>0</v>
      </c>
      <c r="M208" s="105">
        <f t="shared" ca="1" si="32"/>
        <v>0</v>
      </c>
      <c r="N208" s="105">
        <f t="shared" ca="1" si="33"/>
        <v>0</v>
      </c>
      <c r="O208" s="105">
        <f t="shared" ca="1" si="34"/>
        <v>0</v>
      </c>
      <c r="P208" s="105">
        <f t="shared" ca="1" si="35"/>
        <v>0</v>
      </c>
      <c r="Q208" s="105">
        <f t="shared" ca="1" si="36"/>
        <v>0</v>
      </c>
      <c r="R208" s="105">
        <f t="shared" ca="1" si="37"/>
        <v>0</v>
      </c>
      <c r="S208" s="105">
        <f t="shared" ca="1" si="38"/>
        <v>0</v>
      </c>
      <c r="T208" s="105">
        <f t="shared" ca="1" si="39"/>
        <v>0</v>
      </c>
      <c r="U208" s="105">
        <f t="shared" ca="1" si="40"/>
        <v>0</v>
      </c>
      <c r="V208" s="105">
        <f t="shared" ca="1" si="41"/>
        <v>0</v>
      </c>
      <c r="W208" s="105">
        <f t="shared" ca="1" si="42"/>
        <v>0</v>
      </c>
      <c r="X208" s="105">
        <f t="shared" ca="1" si="43"/>
        <v>0</v>
      </c>
      <c r="Y208" s="105">
        <f t="shared" ca="1" si="44"/>
        <v>0</v>
      </c>
      <c r="Z208" s="105">
        <f t="shared" ca="1" si="45"/>
        <v>0</v>
      </c>
      <c r="AA208" s="105">
        <f t="shared" ca="1" si="46"/>
        <v>0</v>
      </c>
      <c r="AB208" s="105">
        <f t="shared" ca="1" si="47"/>
        <v>0</v>
      </c>
      <c r="AC208" s="105"/>
      <c r="AD208" s="103"/>
      <c r="AE208" s="103"/>
      <c r="AF208" s="103"/>
      <c r="AG208" s="103"/>
      <c r="AH208" s="103"/>
      <c r="AI208" s="103"/>
      <c r="AJ208" s="103"/>
      <c r="AK208" s="103"/>
      <c r="AL208" s="103"/>
      <c r="AM208" s="103"/>
      <c r="AN208" s="103"/>
      <c r="AO208" s="103"/>
      <c r="AP208" s="103"/>
      <c r="AQ208" s="103"/>
      <c r="AR208" s="103"/>
      <c r="AS208" s="103"/>
      <c r="AT208" s="103"/>
      <c r="AU208" s="103"/>
      <c r="AV208" s="103"/>
    </row>
    <row r="209" spans="5:48">
      <c r="E209" s="105">
        <f t="shared" ca="1" si="24"/>
        <v>0</v>
      </c>
      <c r="F209" s="105">
        <f t="shared" ca="1" si="25"/>
        <v>0</v>
      </c>
      <c r="G209" s="105">
        <f t="shared" ca="1" si="26"/>
        <v>0</v>
      </c>
      <c r="H209" s="105">
        <f t="shared" ca="1" si="27"/>
        <v>0</v>
      </c>
      <c r="I209" s="105">
        <f t="shared" ca="1" si="28"/>
        <v>0</v>
      </c>
      <c r="J209" s="105">
        <f t="shared" ca="1" si="29"/>
        <v>0</v>
      </c>
      <c r="K209" s="105">
        <f t="shared" ca="1" si="30"/>
        <v>0</v>
      </c>
      <c r="L209" s="105">
        <f t="shared" ca="1" si="31"/>
        <v>0</v>
      </c>
      <c r="M209" s="105">
        <f t="shared" ca="1" si="32"/>
        <v>0</v>
      </c>
      <c r="N209" s="105">
        <f t="shared" ca="1" si="33"/>
        <v>0</v>
      </c>
      <c r="O209" s="105">
        <f t="shared" ca="1" si="34"/>
        <v>0</v>
      </c>
      <c r="P209" s="105">
        <f t="shared" ca="1" si="35"/>
        <v>0</v>
      </c>
      <c r="Q209" s="105">
        <f t="shared" ca="1" si="36"/>
        <v>0</v>
      </c>
      <c r="R209" s="105">
        <f t="shared" ca="1" si="37"/>
        <v>0</v>
      </c>
      <c r="S209" s="105">
        <f t="shared" ca="1" si="38"/>
        <v>0</v>
      </c>
      <c r="T209" s="105">
        <f t="shared" ca="1" si="39"/>
        <v>0</v>
      </c>
      <c r="U209" s="105">
        <f t="shared" ca="1" si="40"/>
        <v>0</v>
      </c>
      <c r="V209" s="105">
        <f t="shared" ca="1" si="41"/>
        <v>0</v>
      </c>
      <c r="W209" s="105">
        <f t="shared" ca="1" si="42"/>
        <v>0</v>
      </c>
      <c r="X209" s="105">
        <f t="shared" ca="1" si="43"/>
        <v>0</v>
      </c>
      <c r="Y209" s="105">
        <f t="shared" ca="1" si="44"/>
        <v>0</v>
      </c>
      <c r="Z209" s="105">
        <f t="shared" ca="1" si="45"/>
        <v>0</v>
      </c>
      <c r="AA209" s="105">
        <f t="shared" ca="1" si="46"/>
        <v>0</v>
      </c>
      <c r="AB209" s="105">
        <f t="shared" ca="1" si="47"/>
        <v>0</v>
      </c>
      <c r="AC209" s="105"/>
      <c r="AD209" s="103"/>
      <c r="AE209" s="103"/>
      <c r="AF209" s="103"/>
      <c r="AG209" s="103"/>
      <c r="AH209" s="103"/>
      <c r="AI209" s="103"/>
      <c r="AJ209" s="103"/>
      <c r="AK209" s="103"/>
      <c r="AL209" s="103"/>
      <c r="AM209" s="103"/>
      <c r="AN209" s="103"/>
      <c r="AO209" s="103"/>
      <c r="AP209" s="103"/>
      <c r="AQ209" s="103"/>
      <c r="AR209" s="103"/>
      <c r="AS209" s="103"/>
      <c r="AT209" s="103"/>
      <c r="AU209" s="103"/>
      <c r="AV209" s="103"/>
    </row>
    <row r="210" spans="5:48">
      <c r="E210" s="105">
        <f t="shared" ca="1" si="24"/>
        <v>0</v>
      </c>
      <c r="F210" s="105">
        <f t="shared" ca="1" si="25"/>
        <v>0</v>
      </c>
      <c r="G210" s="105">
        <f t="shared" ca="1" si="26"/>
        <v>0</v>
      </c>
      <c r="H210" s="105">
        <f t="shared" ca="1" si="27"/>
        <v>0</v>
      </c>
      <c r="I210" s="105">
        <f t="shared" ca="1" si="28"/>
        <v>0</v>
      </c>
      <c r="J210" s="105">
        <f t="shared" ca="1" si="29"/>
        <v>0</v>
      </c>
      <c r="K210" s="105">
        <f t="shared" ca="1" si="30"/>
        <v>0</v>
      </c>
      <c r="L210" s="105">
        <f t="shared" ca="1" si="31"/>
        <v>0</v>
      </c>
      <c r="M210" s="105">
        <f t="shared" ca="1" si="32"/>
        <v>0</v>
      </c>
      <c r="N210" s="105">
        <f t="shared" ca="1" si="33"/>
        <v>0</v>
      </c>
      <c r="O210" s="105">
        <f t="shared" ca="1" si="34"/>
        <v>0</v>
      </c>
      <c r="P210" s="105">
        <f t="shared" ca="1" si="35"/>
        <v>0</v>
      </c>
      <c r="Q210" s="105">
        <f t="shared" ca="1" si="36"/>
        <v>0</v>
      </c>
      <c r="R210" s="105">
        <f t="shared" ca="1" si="37"/>
        <v>0</v>
      </c>
      <c r="S210" s="105">
        <f t="shared" ca="1" si="38"/>
        <v>0</v>
      </c>
      <c r="T210" s="105">
        <f t="shared" ca="1" si="39"/>
        <v>0</v>
      </c>
      <c r="U210" s="105">
        <f t="shared" ca="1" si="40"/>
        <v>0</v>
      </c>
      <c r="V210" s="105">
        <f t="shared" ca="1" si="41"/>
        <v>0</v>
      </c>
      <c r="W210" s="105">
        <f t="shared" ca="1" si="42"/>
        <v>0</v>
      </c>
      <c r="X210" s="105">
        <f t="shared" ca="1" si="43"/>
        <v>0</v>
      </c>
      <c r="Y210" s="105">
        <f t="shared" ca="1" si="44"/>
        <v>0</v>
      </c>
      <c r="Z210" s="105">
        <f t="shared" ca="1" si="45"/>
        <v>0</v>
      </c>
      <c r="AA210" s="105">
        <f t="shared" ca="1" si="46"/>
        <v>0</v>
      </c>
      <c r="AB210" s="105">
        <f t="shared" ca="1" si="47"/>
        <v>0</v>
      </c>
      <c r="AC210" s="105"/>
      <c r="AD210" s="103"/>
      <c r="AE210" s="103"/>
      <c r="AF210" s="103"/>
      <c r="AG210" s="103"/>
      <c r="AH210" s="103"/>
      <c r="AI210" s="103"/>
      <c r="AJ210" s="103"/>
      <c r="AK210" s="103"/>
      <c r="AL210" s="103"/>
      <c r="AM210" s="103"/>
      <c r="AN210" s="103"/>
      <c r="AO210" s="103"/>
      <c r="AP210" s="103"/>
      <c r="AQ210" s="103"/>
      <c r="AR210" s="103"/>
      <c r="AS210" s="103"/>
      <c r="AT210" s="103"/>
      <c r="AU210" s="103"/>
      <c r="AV210" s="103"/>
    </row>
    <row r="211" spans="5:48">
      <c r="E211" s="105">
        <f t="shared" ca="1" si="24"/>
        <v>0</v>
      </c>
      <c r="F211" s="105">
        <f t="shared" ca="1" si="25"/>
        <v>0</v>
      </c>
      <c r="G211" s="105">
        <f t="shared" ca="1" si="26"/>
        <v>0</v>
      </c>
      <c r="H211" s="105">
        <f t="shared" ca="1" si="27"/>
        <v>0</v>
      </c>
      <c r="I211" s="105">
        <f t="shared" ca="1" si="28"/>
        <v>0</v>
      </c>
      <c r="J211" s="105">
        <f t="shared" ca="1" si="29"/>
        <v>0</v>
      </c>
      <c r="K211" s="105">
        <f t="shared" ca="1" si="30"/>
        <v>0</v>
      </c>
      <c r="L211" s="105">
        <f t="shared" ca="1" si="31"/>
        <v>0</v>
      </c>
      <c r="M211" s="105">
        <f t="shared" ca="1" si="32"/>
        <v>0</v>
      </c>
      <c r="N211" s="105">
        <f t="shared" ca="1" si="33"/>
        <v>0</v>
      </c>
      <c r="O211" s="105">
        <f t="shared" ca="1" si="34"/>
        <v>0</v>
      </c>
      <c r="P211" s="105">
        <f t="shared" ca="1" si="35"/>
        <v>0</v>
      </c>
      <c r="Q211" s="105">
        <f t="shared" ca="1" si="36"/>
        <v>0</v>
      </c>
      <c r="R211" s="105">
        <f t="shared" ca="1" si="37"/>
        <v>0</v>
      </c>
      <c r="S211" s="105">
        <f t="shared" ca="1" si="38"/>
        <v>0</v>
      </c>
      <c r="T211" s="105">
        <f t="shared" ca="1" si="39"/>
        <v>0</v>
      </c>
      <c r="U211" s="105">
        <f t="shared" ca="1" si="40"/>
        <v>0</v>
      </c>
      <c r="V211" s="105">
        <f t="shared" ca="1" si="41"/>
        <v>0</v>
      </c>
      <c r="W211" s="105">
        <f t="shared" ca="1" si="42"/>
        <v>0</v>
      </c>
      <c r="X211" s="105">
        <f t="shared" ca="1" si="43"/>
        <v>0</v>
      </c>
      <c r="Y211" s="105">
        <f t="shared" ca="1" si="44"/>
        <v>0</v>
      </c>
      <c r="Z211" s="105">
        <f t="shared" ca="1" si="45"/>
        <v>0</v>
      </c>
      <c r="AA211" s="105">
        <f t="shared" ca="1" si="46"/>
        <v>0</v>
      </c>
      <c r="AB211" s="105">
        <f t="shared" ca="1" si="47"/>
        <v>0</v>
      </c>
      <c r="AC211" s="105"/>
      <c r="AD211" s="103"/>
      <c r="AE211" s="103"/>
      <c r="AF211" s="103"/>
      <c r="AG211" s="103"/>
      <c r="AH211" s="103"/>
      <c r="AI211" s="103"/>
      <c r="AJ211" s="103"/>
      <c r="AK211" s="103"/>
      <c r="AL211" s="103"/>
      <c r="AM211" s="103"/>
      <c r="AN211" s="103"/>
      <c r="AO211" s="103"/>
      <c r="AP211" s="103"/>
      <c r="AQ211" s="103"/>
      <c r="AR211" s="103"/>
      <c r="AS211" s="103"/>
      <c r="AT211" s="103"/>
      <c r="AU211" s="103"/>
      <c r="AV211" s="103"/>
    </row>
    <row r="212" spans="5:48">
      <c r="E212" s="105">
        <f t="shared" ca="1" si="24"/>
        <v>0</v>
      </c>
      <c r="F212" s="105">
        <f t="shared" ca="1" si="25"/>
        <v>0</v>
      </c>
      <c r="G212" s="105">
        <f t="shared" ca="1" si="26"/>
        <v>0</v>
      </c>
      <c r="H212" s="105">
        <f t="shared" ca="1" si="27"/>
        <v>0</v>
      </c>
      <c r="I212" s="105">
        <f t="shared" ca="1" si="28"/>
        <v>0</v>
      </c>
      <c r="J212" s="105">
        <f t="shared" ca="1" si="29"/>
        <v>0</v>
      </c>
      <c r="K212" s="105">
        <f t="shared" ca="1" si="30"/>
        <v>0</v>
      </c>
      <c r="L212" s="105">
        <f t="shared" ca="1" si="31"/>
        <v>0</v>
      </c>
      <c r="M212" s="105">
        <f t="shared" ca="1" si="32"/>
        <v>0</v>
      </c>
      <c r="N212" s="105">
        <f t="shared" ca="1" si="33"/>
        <v>0</v>
      </c>
      <c r="O212" s="105">
        <f t="shared" ca="1" si="34"/>
        <v>0</v>
      </c>
      <c r="P212" s="105">
        <f t="shared" ca="1" si="35"/>
        <v>0</v>
      </c>
      <c r="Q212" s="105">
        <f t="shared" ca="1" si="36"/>
        <v>0</v>
      </c>
      <c r="R212" s="105">
        <f t="shared" ca="1" si="37"/>
        <v>0</v>
      </c>
      <c r="S212" s="105">
        <f t="shared" ca="1" si="38"/>
        <v>0</v>
      </c>
      <c r="T212" s="105">
        <f t="shared" ca="1" si="39"/>
        <v>0</v>
      </c>
      <c r="U212" s="105">
        <f t="shared" ca="1" si="40"/>
        <v>0</v>
      </c>
      <c r="V212" s="105">
        <f t="shared" ca="1" si="41"/>
        <v>0</v>
      </c>
      <c r="W212" s="105">
        <f t="shared" ca="1" si="42"/>
        <v>0</v>
      </c>
      <c r="X212" s="105">
        <f t="shared" ca="1" si="43"/>
        <v>0</v>
      </c>
      <c r="Y212" s="105">
        <f t="shared" ca="1" si="44"/>
        <v>0</v>
      </c>
      <c r="Z212" s="105">
        <f t="shared" ca="1" si="45"/>
        <v>0</v>
      </c>
      <c r="AA212" s="105">
        <f t="shared" ca="1" si="46"/>
        <v>0</v>
      </c>
      <c r="AB212" s="105">
        <f t="shared" ca="1" si="47"/>
        <v>0</v>
      </c>
      <c r="AC212" s="105"/>
      <c r="AD212" s="103"/>
      <c r="AE212" s="103"/>
      <c r="AF212" s="103"/>
      <c r="AG212" s="103"/>
      <c r="AH212" s="103"/>
      <c r="AI212" s="103"/>
      <c r="AJ212" s="103"/>
      <c r="AK212" s="103"/>
      <c r="AL212" s="103"/>
      <c r="AM212" s="103"/>
      <c r="AN212" s="103"/>
      <c r="AO212" s="103"/>
      <c r="AP212" s="103"/>
      <c r="AQ212" s="103"/>
      <c r="AR212" s="103"/>
      <c r="AS212" s="103"/>
      <c r="AT212" s="103"/>
      <c r="AU212" s="103"/>
      <c r="AV212" s="103"/>
    </row>
    <row r="213" spans="5:48">
      <c r="E213" s="105">
        <f t="shared" ca="1" si="24"/>
        <v>0</v>
      </c>
      <c r="F213" s="105">
        <f t="shared" ca="1" si="25"/>
        <v>0</v>
      </c>
      <c r="G213" s="105">
        <f t="shared" ca="1" si="26"/>
        <v>0</v>
      </c>
      <c r="H213" s="105">
        <f t="shared" ca="1" si="27"/>
        <v>0</v>
      </c>
      <c r="I213" s="105">
        <f t="shared" ca="1" si="28"/>
        <v>0</v>
      </c>
      <c r="J213" s="105">
        <f t="shared" ca="1" si="29"/>
        <v>0</v>
      </c>
      <c r="K213" s="105">
        <f t="shared" ca="1" si="30"/>
        <v>0</v>
      </c>
      <c r="L213" s="105">
        <f t="shared" ca="1" si="31"/>
        <v>0</v>
      </c>
      <c r="M213" s="105">
        <f t="shared" ca="1" si="32"/>
        <v>0</v>
      </c>
      <c r="N213" s="105">
        <f t="shared" ca="1" si="33"/>
        <v>0</v>
      </c>
      <c r="O213" s="105">
        <f t="shared" ca="1" si="34"/>
        <v>0</v>
      </c>
      <c r="P213" s="105">
        <f t="shared" ca="1" si="35"/>
        <v>0</v>
      </c>
      <c r="Q213" s="105">
        <f t="shared" ca="1" si="36"/>
        <v>0</v>
      </c>
      <c r="R213" s="105">
        <f t="shared" ca="1" si="37"/>
        <v>0</v>
      </c>
      <c r="S213" s="105">
        <f t="shared" ca="1" si="38"/>
        <v>0</v>
      </c>
      <c r="T213" s="105">
        <f t="shared" ca="1" si="39"/>
        <v>0</v>
      </c>
      <c r="U213" s="105">
        <f t="shared" ca="1" si="40"/>
        <v>0</v>
      </c>
      <c r="V213" s="105">
        <f t="shared" ca="1" si="41"/>
        <v>0</v>
      </c>
      <c r="W213" s="105">
        <f t="shared" ca="1" si="42"/>
        <v>0</v>
      </c>
      <c r="X213" s="105">
        <f t="shared" ca="1" si="43"/>
        <v>0</v>
      </c>
      <c r="Y213" s="105">
        <f t="shared" ca="1" si="44"/>
        <v>0</v>
      </c>
      <c r="Z213" s="105">
        <f t="shared" ca="1" si="45"/>
        <v>0</v>
      </c>
      <c r="AA213" s="105">
        <f t="shared" ca="1" si="46"/>
        <v>0</v>
      </c>
      <c r="AB213" s="105">
        <f t="shared" ca="1" si="47"/>
        <v>0</v>
      </c>
      <c r="AC213" s="105"/>
      <c r="AD213" s="103"/>
      <c r="AE213" s="103"/>
      <c r="AF213" s="103"/>
      <c r="AG213" s="103"/>
      <c r="AH213" s="103"/>
      <c r="AI213" s="103"/>
      <c r="AJ213" s="103"/>
      <c r="AK213" s="103"/>
      <c r="AL213" s="103"/>
      <c r="AM213" s="103"/>
      <c r="AN213" s="103"/>
      <c r="AO213" s="103"/>
      <c r="AP213" s="103"/>
      <c r="AQ213" s="103"/>
      <c r="AR213" s="103"/>
      <c r="AS213" s="103"/>
      <c r="AT213" s="103"/>
      <c r="AU213" s="103"/>
      <c r="AV213" s="103"/>
    </row>
    <row r="214" spans="5:48">
      <c r="E214" s="105">
        <f t="shared" ca="1" si="24"/>
        <v>0</v>
      </c>
      <c r="F214" s="105">
        <f t="shared" ca="1" si="25"/>
        <v>0</v>
      </c>
      <c r="G214" s="105">
        <f t="shared" ca="1" si="26"/>
        <v>0</v>
      </c>
      <c r="H214" s="105">
        <f t="shared" ca="1" si="27"/>
        <v>0</v>
      </c>
      <c r="I214" s="105">
        <f t="shared" ca="1" si="28"/>
        <v>0</v>
      </c>
      <c r="J214" s="105">
        <f t="shared" ca="1" si="29"/>
        <v>0</v>
      </c>
      <c r="K214" s="105">
        <f t="shared" ca="1" si="30"/>
        <v>0</v>
      </c>
      <c r="L214" s="105">
        <f t="shared" ca="1" si="31"/>
        <v>0</v>
      </c>
      <c r="M214" s="105">
        <f t="shared" ca="1" si="32"/>
        <v>0</v>
      </c>
      <c r="N214" s="105">
        <f t="shared" ca="1" si="33"/>
        <v>0</v>
      </c>
      <c r="O214" s="105">
        <f t="shared" ca="1" si="34"/>
        <v>0</v>
      </c>
      <c r="P214" s="105">
        <f t="shared" ca="1" si="35"/>
        <v>0</v>
      </c>
      <c r="Q214" s="105">
        <f t="shared" ca="1" si="36"/>
        <v>0</v>
      </c>
      <c r="R214" s="105">
        <f t="shared" ca="1" si="37"/>
        <v>0</v>
      </c>
      <c r="S214" s="105">
        <f t="shared" ca="1" si="38"/>
        <v>0</v>
      </c>
      <c r="T214" s="105">
        <f t="shared" ca="1" si="39"/>
        <v>0</v>
      </c>
      <c r="U214" s="105">
        <f t="shared" ca="1" si="40"/>
        <v>0</v>
      </c>
      <c r="V214" s="105">
        <f t="shared" ca="1" si="41"/>
        <v>0</v>
      </c>
      <c r="W214" s="105">
        <f t="shared" ca="1" si="42"/>
        <v>0</v>
      </c>
      <c r="X214" s="105">
        <f t="shared" ca="1" si="43"/>
        <v>0</v>
      </c>
      <c r="Y214" s="105">
        <f t="shared" ca="1" si="44"/>
        <v>0</v>
      </c>
      <c r="Z214" s="105">
        <f t="shared" ca="1" si="45"/>
        <v>0</v>
      </c>
      <c r="AA214" s="105">
        <f t="shared" ca="1" si="46"/>
        <v>0</v>
      </c>
      <c r="AB214" s="105">
        <f t="shared" ca="1" si="47"/>
        <v>0</v>
      </c>
      <c r="AC214" s="105"/>
      <c r="AD214" s="103"/>
      <c r="AE214" s="103"/>
      <c r="AF214" s="103"/>
      <c r="AG214" s="103"/>
      <c r="AH214" s="103"/>
      <c r="AI214" s="103"/>
      <c r="AJ214" s="103"/>
      <c r="AK214" s="103"/>
      <c r="AL214" s="103"/>
      <c r="AM214" s="103"/>
      <c r="AN214" s="103"/>
      <c r="AO214" s="103"/>
      <c r="AP214" s="103"/>
      <c r="AQ214" s="103"/>
      <c r="AR214" s="103"/>
      <c r="AS214" s="103"/>
      <c r="AT214" s="103"/>
      <c r="AU214" s="103"/>
      <c r="AV214" s="103"/>
    </row>
    <row r="215" spans="5:48">
      <c r="E215" s="105">
        <f t="shared" ca="1" si="24"/>
        <v>0</v>
      </c>
      <c r="F215" s="105">
        <f t="shared" ca="1" si="25"/>
        <v>0</v>
      </c>
      <c r="G215" s="105">
        <f t="shared" ca="1" si="26"/>
        <v>0</v>
      </c>
      <c r="H215" s="105">
        <f t="shared" ca="1" si="27"/>
        <v>0</v>
      </c>
      <c r="I215" s="105">
        <f t="shared" ca="1" si="28"/>
        <v>0</v>
      </c>
      <c r="J215" s="105">
        <f t="shared" ca="1" si="29"/>
        <v>0</v>
      </c>
      <c r="K215" s="105">
        <f t="shared" ca="1" si="30"/>
        <v>0</v>
      </c>
      <c r="L215" s="105">
        <f t="shared" ca="1" si="31"/>
        <v>0</v>
      </c>
      <c r="M215" s="105">
        <f t="shared" ca="1" si="32"/>
        <v>0</v>
      </c>
      <c r="N215" s="105">
        <f t="shared" ca="1" si="33"/>
        <v>0</v>
      </c>
      <c r="O215" s="105">
        <f t="shared" ca="1" si="34"/>
        <v>0</v>
      </c>
      <c r="P215" s="105">
        <f t="shared" ca="1" si="35"/>
        <v>0</v>
      </c>
      <c r="Q215" s="105">
        <f t="shared" ca="1" si="36"/>
        <v>0</v>
      </c>
      <c r="R215" s="105">
        <f t="shared" ca="1" si="37"/>
        <v>0</v>
      </c>
      <c r="S215" s="105">
        <f t="shared" ca="1" si="38"/>
        <v>0</v>
      </c>
      <c r="T215" s="105">
        <f t="shared" ca="1" si="39"/>
        <v>0</v>
      </c>
      <c r="U215" s="105">
        <f t="shared" ca="1" si="40"/>
        <v>0</v>
      </c>
      <c r="V215" s="105">
        <f t="shared" ca="1" si="41"/>
        <v>0</v>
      </c>
      <c r="W215" s="105">
        <f t="shared" ca="1" si="42"/>
        <v>0</v>
      </c>
      <c r="X215" s="105">
        <f t="shared" ca="1" si="43"/>
        <v>0</v>
      </c>
      <c r="Y215" s="105">
        <f t="shared" ca="1" si="44"/>
        <v>0</v>
      </c>
      <c r="Z215" s="105">
        <f t="shared" ca="1" si="45"/>
        <v>0</v>
      </c>
      <c r="AA215" s="105">
        <f t="shared" ca="1" si="46"/>
        <v>0</v>
      </c>
      <c r="AB215" s="105">
        <f t="shared" ca="1" si="47"/>
        <v>0</v>
      </c>
      <c r="AC215" s="105"/>
      <c r="AD215" s="103"/>
      <c r="AE215" s="103"/>
      <c r="AF215" s="103"/>
      <c r="AG215" s="103"/>
      <c r="AH215" s="103"/>
      <c r="AI215" s="103"/>
      <c r="AJ215" s="103"/>
      <c r="AK215" s="103"/>
      <c r="AL215" s="103"/>
      <c r="AM215" s="103"/>
      <c r="AN215" s="103"/>
      <c r="AO215" s="103"/>
      <c r="AP215" s="103"/>
      <c r="AQ215" s="103"/>
      <c r="AR215" s="103"/>
      <c r="AS215" s="103"/>
      <c r="AT215" s="103"/>
      <c r="AU215" s="103"/>
      <c r="AV215" s="103"/>
    </row>
    <row r="216" spans="5:48">
      <c r="E216" s="105">
        <f t="shared" ca="1" si="24"/>
        <v>0</v>
      </c>
      <c r="F216" s="105">
        <f t="shared" ca="1" si="25"/>
        <v>0</v>
      </c>
      <c r="G216" s="105">
        <f t="shared" ca="1" si="26"/>
        <v>0</v>
      </c>
      <c r="H216" s="105">
        <f t="shared" ca="1" si="27"/>
        <v>0</v>
      </c>
      <c r="I216" s="105">
        <f t="shared" ca="1" si="28"/>
        <v>0</v>
      </c>
      <c r="J216" s="105">
        <f t="shared" ca="1" si="29"/>
        <v>0</v>
      </c>
      <c r="K216" s="105">
        <f t="shared" ca="1" si="30"/>
        <v>0</v>
      </c>
      <c r="L216" s="105">
        <f t="shared" ca="1" si="31"/>
        <v>0</v>
      </c>
      <c r="M216" s="105">
        <f t="shared" ca="1" si="32"/>
        <v>0</v>
      </c>
      <c r="N216" s="105">
        <f t="shared" ca="1" si="33"/>
        <v>0</v>
      </c>
      <c r="O216" s="105">
        <f t="shared" ca="1" si="34"/>
        <v>0</v>
      </c>
      <c r="P216" s="105">
        <f t="shared" ca="1" si="35"/>
        <v>0</v>
      </c>
      <c r="Q216" s="105">
        <f t="shared" ca="1" si="36"/>
        <v>0</v>
      </c>
      <c r="R216" s="105">
        <f t="shared" ca="1" si="37"/>
        <v>0</v>
      </c>
      <c r="S216" s="105">
        <f t="shared" ca="1" si="38"/>
        <v>0</v>
      </c>
      <c r="T216" s="105">
        <f t="shared" ca="1" si="39"/>
        <v>0</v>
      </c>
      <c r="U216" s="105">
        <f t="shared" ca="1" si="40"/>
        <v>0</v>
      </c>
      <c r="V216" s="105">
        <f t="shared" ca="1" si="41"/>
        <v>0</v>
      </c>
      <c r="W216" s="105">
        <f t="shared" ca="1" si="42"/>
        <v>0</v>
      </c>
      <c r="X216" s="105">
        <f t="shared" ca="1" si="43"/>
        <v>0</v>
      </c>
      <c r="Y216" s="105">
        <f t="shared" ca="1" si="44"/>
        <v>0</v>
      </c>
      <c r="Z216" s="105">
        <f t="shared" ca="1" si="45"/>
        <v>0</v>
      </c>
      <c r="AA216" s="105">
        <f t="shared" ca="1" si="46"/>
        <v>0</v>
      </c>
      <c r="AB216" s="105">
        <f t="shared" ca="1" si="47"/>
        <v>0</v>
      </c>
      <c r="AC216" s="105"/>
      <c r="AD216" s="103"/>
      <c r="AE216" s="103"/>
      <c r="AF216" s="103"/>
      <c r="AG216" s="103"/>
      <c r="AH216" s="103"/>
      <c r="AI216" s="103"/>
      <c r="AJ216" s="103"/>
      <c r="AK216" s="103"/>
      <c r="AL216" s="103"/>
      <c r="AM216" s="103"/>
      <c r="AN216" s="103"/>
      <c r="AO216" s="103"/>
      <c r="AP216" s="103"/>
      <c r="AQ216" s="103"/>
      <c r="AR216" s="103"/>
      <c r="AS216" s="103"/>
      <c r="AT216" s="103"/>
      <c r="AU216" s="103"/>
      <c r="AV216" s="103"/>
    </row>
    <row r="217" spans="5:48">
      <c r="E217" s="105">
        <f t="shared" ca="1" si="24"/>
        <v>0</v>
      </c>
      <c r="F217" s="105">
        <f t="shared" ca="1" si="25"/>
        <v>0</v>
      </c>
      <c r="G217" s="105">
        <f t="shared" ca="1" si="26"/>
        <v>0</v>
      </c>
      <c r="H217" s="105">
        <f t="shared" ca="1" si="27"/>
        <v>0</v>
      </c>
      <c r="I217" s="105">
        <f t="shared" ca="1" si="28"/>
        <v>0</v>
      </c>
      <c r="J217" s="105">
        <f t="shared" ca="1" si="29"/>
        <v>0</v>
      </c>
      <c r="K217" s="105">
        <f t="shared" ca="1" si="30"/>
        <v>0</v>
      </c>
      <c r="L217" s="105">
        <f t="shared" ca="1" si="31"/>
        <v>0</v>
      </c>
      <c r="M217" s="105">
        <f t="shared" ca="1" si="32"/>
        <v>0</v>
      </c>
      <c r="N217" s="105">
        <f t="shared" ca="1" si="33"/>
        <v>0</v>
      </c>
      <c r="O217" s="105">
        <f t="shared" ca="1" si="34"/>
        <v>0</v>
      </c>
      <c r="P217" s="105">
        <f t="shared" ca="1" si="35"/>
        <v>0</v>
      </c>
      <c r="Q217" s="105">
        <f t="shared" ca="1" si="36"/>
        <v>0</v>
      </c>
      <c r="R217" s="105">
        <f t="shared" ca="1" si="37"/>
        <v>0</v>
      </c>
      <c r="S217" s="105">
        <f t="shared" ca="1" si="38"/>
        <v>0</v>
      </c>
      <c r="T217" s="105">
        <f t="shared" ca="1" si="39"/>
        <v>0</v>
      </c>
      <c r="U217" s="105">
        <f t="shared" ca="1" si="40"/>
        <v>0</v>
      </c>
      <c r="V217" s="105">
        <f t="shared" ca="1" si="41"/>
        <v>0</v>
      </c>
      <c r="W217" s="105">
        <f t="shared" ca="1" si="42"/>
        <v>0</v>
      </c>
      <c r="X217" s="105">
        <f t="shared" ca="1" si="43"/>
        <v>0</v>
      </c>
      <c r="Y217" s="105">
        <f t="shared" ca="1" si="44"/>
        <v>0</v>
      </c>
      <c r="Z217" s="105">
        <f t="shared" ca="1" si="45"/>
        <v>0</v>
      </c>
      <c r="AA217" s="105">
        <f t="shared" ca="1" si="46"/>
        <v>0</v>
      </c>
      <c r="AB217" s="105">
        <f t="shared" ca="1" si="47"/>
        <v>0</v>
      </c>
      <c r="AC217" s="105"/>
      <c r="AD217" s="103"/>
      <c r="AE217" s="103"/>
      <c r="AF217" s="103"/>
      <c r="AG217" s="103"/>
      <c r="AH217" s="103"/>
      <c r="AI217" s="103"/>
      <c r="AJ217" s="103"/>
      <c r="AK217" s="103"/>
      <c r="AL217" s="103"/>
      <c r="AM217" s="103"/>
      <c r="AN217" s="103"/>
      <c r="AO217" s="103"/>
      <c r="AP217" s="103"/>
      <c r="AQ217" s="103"/>
      <c r="AR217" s="103"/>
      <c r="AS217" s="103"/>
      <c r="AT217" s="103"/>
      <c r="AU217" s="103"/>
      <c r="AV217" s="103"/>
    </row>
    <row r="218" spans="5:48">
      <c r="E218" s="105">
        <f t="shared" ca="1" si="24"/>
        <v>0</v>
      </c>
      <c r="F218" s="105">
        <f t="shared" ca="1" si="25"/>
        <v>0</v>
      </c>
      <c r="G218" s="105">
        <f t="shared" ca="1" si="26"/>
        <v>0</v>
      </c>
      <c r="H218" s="105">
        <f t="shared" ca="1" si="27"/>
        <v>0</v>
      </c>
      <c r="I218" s="105">
        <f t="shared" ca="1" si="28"/>
        <v>0</v>
      </c>
      <c r="J218" s="105">
        <f t="shared" ca="1" si="29"/>
        <v>0</v>
      </c>
      <c r="K218" s="105">
        <f t="shared" ca="1" si="30"/>
        <v>0</v>
      </c>
      <c r="L218" s="105">
        <f t="shared" ca="1" si="31"/>
        <v>0</v>
      </c>
      <c r="M218" s="105">
        <f t="shared" ca="1" si="32"/>
        <v>0</v>
      </c>
      <c r="N218" s="105">
        <f t="shared" ca="1" si="33"/>
        <v>0</v>
      </c>
      <c r="O218" s="105">
        <f t="shared" ca="1" si="34"/>
        <v>0</v>
      </c>
      <c r="P218" s="105">
        <f t="shared" ca="1" si="35"/>
        <v>0</v>
      </c>
      <c r="Q218" s="105">
        <f t="shared" ca="1" si="36"/>
        <v>0</v>
      </c>
      <c r="R218" s="105">
        <f t="shared" ca="1" si="37"/>
        <v>0</v>
      </c>
      <c r="S218" s="105">
        <f t="shared" ca="1" si="38"/>
        <v>0</v>
      </c>
      <c r="T218" s="105">
        <f t="shared" ca="1" si="39"/>
        <v>0</v>
      </c>
      <c r="U218" s="105">
        <f t="shared" ca="1" si="40"/>
        <v>0</v>
      </c>
      <c r="V218" s="105">
        <f t="shared" ca="1" si="41"/>
        <v>0</v>
      </c>
      <c r="W218" s="105">
        <f t="shared" ca="1" si="42"/>
        <v>0</v>
      </c>
      <c r="X218" s="105">
        <f t="shared" ca="1" si="43"/>
        <v>0</v>
      </c>
      <c r="Y218" s="105">
        <f t="shared" ca="1" si="44"/>
        <v>0</v>
      </c>
      <c r="Z218" s="105">
        <f t="shared" ca="1" si="45"/>
        <v>0</v>
      </c>
      <c r="AA218" s="105">
        <f t="shared" ca="1" si="46"/>
        <v>0</v>
      </c>
      <c r="AB218" s="105">
        <f t="shared" ca="1" si="47"/>
        <v>0</v>
      </c>
      <c r="AC218" s="105"/>
      <c r="AD218" s="103"/>
      <c r="AE218" s="103"/>
      <c r="AF218" s="103"/>
      <c r="AG218" s="103"/>
      <c r="AH218" s="103"/>
      <c r="AI218" s="103"/>
      <c r="AJ218" s="103"/>
      <c r="AK218" s="103"/>
      <c r="AL218" s="103"/>
      <c r="AM218" s="103"/>
      <c r="AN218" s="103"/>
      <c r="AO218" s="103"/>
      <c r="AP218" s="103"/>
      <c r="AQ218" s="103"/>
      <c r="AR218" s="103"/>
      <c r="AS218" s="103"/>
      <c r="AT218" s="103"/>
      <c r="AU218" s="103"/>
      <c r="AV218" s="103"/>
    </row>
    <row r="219" spans="5:48">
      <c r="E219" s="105">
        <f t="shared" ca="1" si="24"/>
        <v>0</v>
      </c>
      <c r="F219" s="105">
        <f t="shared" ca="1" si="25"/>
        <v>0</v>
      </c>
      <c r="G219" s="105">
        <f t="shared" ca="1" si="26"/>
        <v>0</v>
      </c>
      <c r="H219" s="105">
        <f t="shared" ca="1" si="27"/>
        <v>0</v>
      </c>
      <c r="I219" s="105">
        <f t="shared" ca="1" si="28"/>
        <v>0</v>
      </c>
      <c r="J219" s="105">
        <f t="shared" ca="1" si="29"/>
        <v>0</v>
      </c>
      <c r="K219" s="105">
        <f t="shared" ca="1" si="30"/>
        <v>0</v>
      </c>
      <c r="L219" s="105">
        <f t="shared" ca="1" si="31"/>
        <v>0</v>
      </c>
      <c r="M219" s="105">
        <f t="shared" ca="1" si="32"/>
        <v>0</v>
      </c>
      <c r="N219" s="105">
        <f t="shared" ca="1" si="33"/>
        <v>0</v>
      </c>
      <c r="O219" s="105">
        <f t="shared" ca="1" si="34"/>
        <v>0</v>
      </c>
      <c r="P219" s="105">
        <f t="shared" ca="1" si="35"/>
        <v>0</v>
      </c>
      <c r="Q219" s="105">
        <f t="shared" ca="1" si="36"/>
        <v>0</v>
      </c>
      <c r="R219" s="105">
        <f t="shared" ca="1" si="37"/>
        <v>0</v>
      </c>
      <c r="S219" s="105">
        <f t="shared" ca="1" si="38"/>
        <v>0</v>
      </c>
      <c r="T219" s="105">
        <f t="shared" ca="1" si="39"/>
        <v>0</v>
      </c>
      <c r="U219" s="105">
        <f t="shared" ca="1" si="40"/>
        <v>0</v>
      </c>
      <c r="V219" s="105">
        <f t="shared" ca="1" si="41"/>
        <v>0</v>
      </c>
      <c r="W219" s="105">
        <f t="shared" ca="1" si="42"/>
        <v>0</v>
      </c>
      <c r="X219" s="105">
        <f t="shared" ca="1" si="43"/>
        <v>0</v>
      </c>
      <c r="Y219" s="105">
        <f t="shared" ca="1" si="44"/>
        <v>0</v>
      </c>
      <c r="Z219" s="105">
        <f t="shared" ca="1" si="45"/>
        <v>0</v>
      </c>
      <c r="AA219" s="105">
        <f t="shared" ca="1" si="46"/>
        <v>0</v>
      </c>
      <c r="AB219" s="105">
        <f t="shared" ca="1" si="47"/>
        <v>0</v>
      </c>
      <c r="AC219" s="105"/>
      <c r="AD219" s="103"/>
      <c r="AE219" s="103"/>
      <c r="AF219" s="103"/>
      <c r="AG219" s="103"/>
      <c r="AH219" s="103"/>
      <c r="AI219" s="103"/>
      <c r="AJ219" s="103"/>
      <c r="AK219" s="103"/>
      <c r="AL219" s="103"/>
      <c r="AM219" s="103"/>
      <c r="AN219" s="103"/>
      <c r="AO219" s="103"/>
      <c r="AP219" s="103"/>
      <c r="AQ219" s="103"/>
      <c r="AR219" s="103"/>
      <c r="AS219" s="103"/>
      <c r="AT219" s="103"/>
      <c r="AU219" s="103"/>
      <c r="AV219" s="103"/>
    </row>
    <row r="220" spans="5:48">
      <c r="E220" s="105">
        <f t="shared" ca="1" si="24"/>
        <v>0</v>
      </c>
      <c r="F220" s="105">
        <f t="shared" ca="1" si="25"/>
        <v>0</v>
      </c>
      <c r="G220" s="105">
        <f t="shared" ca="1" si="26"/>
        <v>0</v>
      </c>
      <c r="H220" s="105">
        <f t="shared" ca="1" si="27"/>
        <v>0</v>
      </c>
      <c r="I220" s="105">
        <f t="shared" ca="1" si="28"/>
        <v>0</v>
      </c>
      <c r="J220" s="105">
        <f t="shared" ca="1" si="29"/>
        <v>0</v>
      </c>
      <c r="K220" s="105">
        <f t="shared" ca="1" si="30"/>
        <v>0</v>
      </c>
      <c r="L220" s="105">
        <f t="shared" ca="1" si="31"/>
        <v>0</v>
      </c>
      <c r="M220" s="105">
        <f t="shared" ca="1" si="32"/>
        <v>0</v>
      </c>
      <c r="N220" s="105">
        <f t="shared" ca="1" si="33"/>
        <v>0</v>
      </c>
      <c r="O220" s="105">
        <f t="shared" ca="1" si="34"/>
        <v>0</v>
      </c>
      <c r="P220" s="105">
        <f t="shared" ca="1" si="35"/>
        <v>0</v>
      </c>
      <c r="Q220" s="105">
        <f t="shared" ca="1" si="36"/>
        <v>0</v>
      </c>
      <c r="R220" s="105">
        <f t="shared" ca="1" si="37"/>
        <v>0</v>
      </c>
      <c r="S220" s="105">
        <f t="shared" ca="1" si="38"/>
        <v>0</v>
      </c>
      <c r="T220" s="105">
        <f t="shared" ca="1" si="39"/>
        <v>0</v>
      </c>
      <c r="U220" s="105">
        <f t="shared" ca="1" si="40"/>
        <v>0</v>
      </c>
      <c r="V220" s="105">
        <f t="shared" ca="1" si="41"/>
        <v>0</v>
      </c>
      <c r="W220" s="105">
        <f t="shared" ca="1" si="42"/>
        <v>0</v>
      </c>
      <c r="X220" s="105">
        <f t="shared" ca="1" si="43"/>
        <v>0</v>
      </c>
      <c r="Y220" s="105">
        <f t="shared" ca="1" si="44"/>
        <v>0</v>
      </c>
      <c r="Z220" s="105">
        <f t="shared" ca="1" si="45"/>
        <v>0</v>
      </c>
      <c r="AA220" s="105">
        <f t="shared" ca="1" si="46"/>
        <v>0</v>
      </c>
      <c r="AB220" s="105">
        <f t="shared" ca="1" si="47"/>
        <v>0</v>
      </c>
      <c r="AC220" s="105"/>
      <c r="AD220" s="103"/>
      <c r="AE220" s="103"/>
      <c r="AF220" s="103"/>
      <c r="AG220" s="103"/>
      <c r="AH220" s="103"/>
      <c r="AI220" s="103"/>
      <c r="AJ220" s="103"/>
      <c r="AK220" s="103"/>
      <c r="AL220" s="103"/>
      <c r="AM220" s="103"/>
      <c r="AN220" s="103"/>
      <c r="AO220" s="103"/>
      <c r="AP220" s="103"/>
      <c r="AQ220" s="103"/>
      <c r="AR220" s="103"/>
      <c r="AS220" s="103"/>
      <c r="AT220" s="103"/>
      <c r="AU220" s="103"/>
      <c r="AV220" s="103"/>
    </row>
    <row r="221" spans="5:48">
      <c r="E221" s="105">
        <f t="shared" ca="1" si="24"/>
        <v>0</v>
      </c>
      <c r="F221" s="105">
        <f t="shared" ca="1" si="25"/>
        <v>0</v>
      </c>
      <c r="G221" s="105">
        <f t="shared" ca="1" si="26"/>
        <v>0</v>
      </c>
      <c r="H221" s="105">
        <f t="shared" ca="1" si="27"/>
        <v>0</v>
      </c>
      <c r="I221" s="105">
        <f t="shared" ca="1" si="28"/>
        <v>0</v>
      </c>
      <c r="J221" s="105">
        <f t="shared" ca="1" si="29"/>
        <v>0</v>
      </c>
      <c r="K221" s="105">
        <f t="shared" ca="1" si="30"/>
        <v>0</v>
      </c>
      <c r="L221" s="105">
        <f t="shared" ca="1" si="31"/>
        <v>0</v>
      </c>
      <c r="M221" s="105">
        <f t="shared" ca="1" si="32"/>
        <v>0</v>
      </c>
      <c r="N221" s="105">
        <f t="shared" ca="1" si="33"/>
        <v>0</v>
      </c>
      <c r="O221" s="105">
        <f t="shared" ca="1" si="34"/>
        <v>0</v>
      </c>
      <c r="P221" s="105">
        <f t="shared" ca="1" si="35"/>
        <v>0</v>
      </c>
      <c r="Q221" s="105">
        <f t="shared" ca="1" si="36"/>
        <v>0</v>
      </c>
      <c r="R221" s="105">
        <f t="shared" ca="1" si="37"/>
        <v>0</v>
      </c>
      <c r="S221" s="105">
        <f t="shared" ca="1" si="38"/>
        <v>0</v>
      </c>
      <c r="T221" s="105">
        <f t="shared" ca="1" si="39"/>
        <v>0</v>
      </c>
      <c r="U221" s="105">
        <f t="shared" ca="1" si="40"/>
        <v>0</v>
      </c>
      <c r="V221" s="105">
        <f t="shared" ca="1" si="41"/>
        <v>0</v>
      </c>
      <c r="W221" s="105">
        <f t="shared" ca="1" si="42"/>
        <v>0</v>
      </c>
      <c r="X221" s="105">
        <f t="shared" ca="1" si="43"/>
        <v>0</v>
      </c>
      <c r="Y221" s="105">
        <f t="shared" ca="1" si="44"/>
        <v>0</v>
      </c>
      <c r="Z221" s="105">
        <f t="shared" ca="1" si="45"/>
        <v>0</v>
      </c>
      <c r="AA221" s="105">
        <f t="shared" ca="1" si="46"/>
        <v>0</v>
      </c>
      <c r="AB221" s="105">
        <f t="shared" ca="1" si="47"/>
        <v>0</v>
      </c>
      <c r="AC221" s="105"/>
      <c r="AD221" s="103"/>
      <c r="AE221" s="103"/>
      <c r="AF221" s="103"/>
      <c r="AG221" s="103"/>
      <c r="AH221" s="103"/>
      <c r="AI221" s="103"/>
      <c r="AJ221" s="103"/>
      <c r="AK221" s="103"/>
      <c r="AL221" s="103"/>
      <c r="AM221" s="103"/>
      <c r="AN221" s="103"/>
      <c r="AO221" s="103"/>
      <c r="AP221" s="103"/>
      <c r="AQ221" s="103"/>
      <c r="AR221" s="103"/>
      <c r="AS221" s="103"/>
      <c r="AT221" s="103"/>
      <c r="AU221" s="103"/>
      <c r="AV221" s="103"/>
    </row>
    <row r="222" spans="5:48">
      <c r="E222" s="105">
        <f t="shared" ca="1" si="24"/>
        <v>0</v>
      </c>
      <c r="F222" s="105">
        <f t="shared" ca="1" si="25"/>
        <v>0</v>
      </c>
      <c r="G222" s="105">
        <f t="shared" ca="1" si="26"/>
        <v>0</v>
      </c>
      <c r="H222" s="105">
        <f t="shared" ca="1" si="27"/>
        <v>0</v>
      </c>
      <c r="I222" s="105">
        <f t="shared" ca="1" si="28"/>
        <v>0</v>
      </c>
      <c r="J222" s="105">
        <f t="shared" ca="1" si="29"/>
        <v>0</v>
      </c>
      <c r="K222" s="105">
        <f t="shared" ca="1" si="30"/>
        <v>0</v>
      </c>
      <c r="L222" s="105">
        <f t="shared" ca="1" si="31"/>
        <v>0</v>
      </c>
      <c r="M222" s="105">
        <f t="shared" ca="1" si="32"/>
        <v>0</v>
      </c>
      <c r="N222" s="105">
        <f t="shared" ca="1" si="33"/>
        <v>0</v>
      </c>
      <c r="O222" s="105">
        <f t="shared" ca="1" si="34"/>
        <v>0</v>
      </c>
      <c r="P222" s="105">
        <f t="shared" ca="1" si="35"/>
        <v>0</v>
      </c>
      <c r="Q222" s="105">
        <f t="shared" ca="1" si="36"/>
        <v>0</v>
      </c>
      <c r="R222" s="105">
        <f t="shared" ca="1" si="37"/>
        <v>0</v>
      </c>
      <c r="S222" s="105">
        <f t="shared" ca="1" si="38"/>
        <v>0</v>
      </c>
      <c r="T222" s="105">
        <f t="shared" ca="1" si="39"/>
        <v>0</v>
      </c>
      <c r="U222" s="105">
        <f t="shared" ca="1" si="40"/>
        <v>0</v>
      </c>
      <c r="V222" s="105">
        <f t="shared" ca="1" si="41"/>
        <v>0</v>
      </c>
      <c r="W222" s="105">
        <f t="shared" ca="1" si="42"/>
        <v>0</v>
      </c>
      <c r="X222" s="105">
        <f t="shared" ca="1" si="43"/>
        <v>0</v>
      </c>
      <c r="Y222" s="105">
        <f t="shared" ca="1" si="44"/>
        <v>0</v>
      </c>
      <c r="Z222" s="105">
        <f t="shared" ca="1" si="45"/>
        <v>0</v>
      </c>
      <c r="AA222" s="105">
        <f t="shared" ca="1" si="46"/>
        <v>0</v>
      </c>
      <c r="AB222" s="105">
        <f t="shared" ca="1" si="47"/>
        <v>0</v>
      </c>
      <c r="AC222" s="105"/>
      <c r="AD222" s="103"/>
      <c r="AE222" s="103"/>
      <c r="AF222" s="103"/>
      <c r="AG222" s="103"/>
      <c r="AH222" s="103"/>
      <c r="AI222" s="103"/>
      <c r="AJ222" s="103"/>
      <c r="AK222" s="103"/>
      <c r="AL222" s="103"/>
      <c r="AM222" s="103"/>
      <c r="AN222" s="103"/>
      <c r="AO222" s="103"/>
      <c r="AP222" s="103"/>
      <c r="AQ222" s="103"/>
      <c r="AR222" s="103"/>
      <c r="AS222" s="103"/>
      <c r="AT222" s="103"/>
      <c r="AU222" s="103"/>
      <c r="AV222" s="103"/>
    </row>
    <row r="223" spans="5:48">
      <c r="E223" s="105">
        <f t="shared" ca="1" si="24"/>
        <v>0</v>
      </c>
      <c r="F223" s="105">
        <f t="shared" ca="1" si="25"/>
        <v>0</v>
      </c>
      <c r="G223" s="105">
        <f t="shared" ca="1" si="26"/>
        <v>0</v>
      </c>
      <c r="H223" s="105">
        <f t="shared" ca="1" si="27"/>
        <v>0</v>
      </c>
      <c r="I223" s="105">
        <f t="shared" ca="1" si="28"/>
        <v>0</v>
      </c>
      <c r="J223" s="105">
        <f t="shared" ca="1" si="29"/>
        <v>0</v>
      </c>
      <c r="K223" s="105">
        <f t="shared" ca="1" si="30"/>
        <v>0</v>
      </c>
      <c r="L223" s="105">
        <f t="shared" ca="1" si="31"/>
        <v>0</v>
      </c>
      <c r="M223" s="105">
        <f t="shared" ca="1" si="32"/>
        <v>0</v>
      </c>
      <c r="N223" s="105">
        <f t="shared" ca="1" si="33"/>
        <v>0</v>
      </c>
      <c r="O223" s="105">
        <f t="shared" ca="1" si="34"/>
        <v>0</v>
      </c>
      <c r="P223" s="105">
        <f t="shared" ca="1" si="35"/>
        <v>0</v>
      </c>
      <c r="Q223" s="105">
        <f t="shared" ca="1" si="36"/>
        <v>0</v>
      </c>
      <c r="R223" s="105">
        <f t="shared" ca="1" si="37"/>
        <v>0</v>
      </c>
      <c r="S223" s="105">
        <f t="shared" ca="1" si="38"/>
        <v>0</v>
      </c>
      <c r="T223" s="105">
        <f t="shared" ca="1" si="39"/>
        <v>0</v>
      </c>
      <c r="U223" s="105">
        <f t="shared" ca="1" si="40"/>
        <v>0</v>
      </c>
      <c r="V223" s="105">
        <f t="shared" ca="1" si="41"/>
        <v>0</v>
      </c>
      <c r="W223" s="105">
        <f t="shared" ca="1" si="42"/>
        <v>0</v>
      </c>
      <c r="X223" s="105">
        <f t="shared" ca="1" si="43"/>
        <v>0</v>
      </c>
      <c r="Y223" s="105">
        <f t="shared" ca="1" si="44"/>
        <v>0</v>
      </c>
      <c r="Z223" s="105">
        <f t="shared" ca="1" si="45"/>
        <v>0</v>
      </c>
      <c r="AA223" s="105">
        <f t="shared" ca="1" si="46"/>
        <v>0</v>
      </c>
      <c r="AB223" s="105">
        <f t="shared" ca="1" si="47"/>
        <v>0</v>
      </c>
      <c r="AC223" s="105"/>
      <c r="AD223" s="103"/>
      <c r="AE223" s="103"/>
      <c r="AF223" s="103"/>
      <c r="AG223" s="103"/>
      <c r="AH223" s="103"/>
      <c r="AI223" s="103"/>
      <c r="AJ223" s="103"/>
      <c r="AK223" s="103"/>
      <c r="AL223" s="103"/>
      <c r="AM223" s="103"/>
      <c r="AN223" s="103"/>
      <c r="AO223" s="103"/>
      <c r="AP223" s="103"/>
      <c r="AQ223" s="103"/>
      <c r="AR223" s="103"/>
      <c r="AS223" s="103"/>
      <c r="AT223" s="103"/>
      <c r="AU223" s="103"/>
      <c r="AV223" s="103"/>
    </row>
    <row r="224" spans="5:48">
      <c r="E224" s="105">
        <f t="shared" ca="1" si="24"/>
        <v>0</v>
      </c>
      <c r="F224" s="105">
        <f t="shared" ca="1" si="25"/>
        <v>0</v>
      </c>
      <c r="G224" s="105">
        <f t="shared" ca="1" si="26"/>
        <v>0</v>
      </c>
      <c r="H224" s="105">
        <f t="shared" ca="1" si="27"/>
        <v>0</v>
      </c>
      <c r="I224" s="105">
        <f t="shared" ca="1" si="28"/>
        <v>0</v>
      </c>
      <c r="J224" s="105">
        <f t="shared" ca="1" si="29"/>
        <v>0</v>
      </c>
      <c r="K224" s="105">
        <f t="shared" ca="1" si="30"/>
        <v>0</v>
      </c>
      <c r="L224" s="105">
        <f t="shared" ca="1" si="31"/>
        <v>0</v>
      </c>
      <c r="M224" s="105">
        <f t="shared" ca="1" si="32"/>
        <v>0</v>
      </c>
      <c r="N224" s="105">
        <f t="shared" ca="1" si="33"/>
        <v>0</v>
      </c>
      <c r="O224" s="105">
        <f t="shared" ca="1" si="34"/>
        <v>0</v>
      </c>
      <c r="P224" s="105">
        <f t="shared" ca="1" si="35"/>
        <v>0</v>
      </c>
      <c r="Q224" s="105">
        <f t="shared" ca="1" si="36"/>
        <v>0</v>
      </c>
      <c r="R224" s="105">
        <f t="shared" ca="1" si="37"/>
        <v>0</v>
      </c>
      <c r="S224" s="105">
        <f t="shared" ca="1" si="38"/>
        <v>0</v>
      </c>
      <c r="T224" s="105">
        <f t="shared" ca="1" si="39"/>
        <v>0</v>
      </c>
      <c r="U224" s="105">
        <f t="shared" ca="1" si="40"/>
        <v>0</v>
      </c>
      <c r="V224" s="105">
        <f t="shared" ca="1" si="41"/>
        <v>0</v>
      </c>
      <c r="W224" s="105">
        <f t="shared" ca="1" si="42"/>
        <v>0</v>
      </c>
      <c r="X224" s="105">
        <f t="shared" ca="1" si="43"/>
        <v>0</v>
      </c>
      <c r="Y224" s="105">
        <f t="shared" ca="1" si="44"/>
        <v>0</v>
      </c>
      <c r="Z224" s="105">
        <f t="shared" ca="1" si="45"/>
        <v>0</v>
      </c>
      <c r="AA224" s="105">
        <f t="shared" ca="1" si="46"/>
        <v>0</v>
      </c>
      <c r="AB224" s="105">
        <f t="shared" ca="1" si="47"/>
        <v>0</v>
      </c>
      <c r="AC224" s="105"/>
      <c r="AD224" s="103"/>
      <c r="AE224" s="103"/>
      <c r="AF224" s="103"/>
      <c r="AG224" s="103"/>
      <c r="AH224" s="103"/>
      <c r="AI224" s="103"/>
      <c r="AJ224" s="103"/>
      <c r="AK224" s="103"/>
      <c r="AL224" s="103"/>
      <c r="AM224" s="103"/>
      <c r="AN224" s="103"/>
      <c r="AO224" s="103"/>
      <c r="AP224" s="103"/>
      <c r="AQ224" s="103"/>
      <c r="AR224" s="103"/>
      <c r="AS224" s="103"/>
      <c r="AT224" s="103"/>
      <c r="AU224" s="103"/>
      <c r="AV224" s="103"/>
    </row>
    <row r="225" spans="5:48">
      <c r="E225" s="105">
        <f t="shared" ref="E225:E284" ca="1" si="48">IF($B79&lt;=$E$150,IF($E$150&lt;$C79,1,0),0)</f>
        <v>0</v>
      </c>
      <c r="F225" s="105">
        <f t="shared" ref="F225:F284" ca="1" si="49">IF($B79&lt;=$F$150,IF($F$150&lt;$C79,1,0),0)</f>
        <v>0</v>
      </c>
      <c r="G225" s="105">
        <f t="shared" ref="G225:G284" ca="1" si="50">IF($B79&lt;=$G$150,IF($G$150&lt;$C79,1,0),0)</f>
        <v>0</v>
      </c>
      <c r="H225" s="105">
        <f t="shared" ref="H225:H284" ca="1" si="51">IF($B79&lt;=$H$150,IF($H$150&lt;$C79,1,0),0)</f>
        <v>0</v>
      </c>
      <c r="I225" s="105">
        <f t="shared" ref="I225:I284" ca="1" si="52">IF($B79&lt;=$I$150,IF($I$150&lt;$C79,1,0),0)</f>
        <v>0</v>
      </c>
      <c r="J225" s="105">
        <f t="shared" ref="J225:J284" ca="1" si="53">IF($B79&lt;=$J$150,IF($J$150&lt;$C79,1,0),0)</f>
        <v>0</v>
      </c>
      <c r="K225" s="105">
        <f t="shared" ref="K225:K284" ca="1" si="54">IF($B79&lt;=$K$150,IF($K$150&lt;$C79,1,0),0)</f>
        <v>0</v>
      </c>
      <c r="L225" s="105">
        <f t="shared" ref="L225:L284" ca="1" si="55">IF($B79&lt;=$L$150,IF($L$150&lt;$C79,1,0),0)</f>
        <v>0</v>
      </c>
      <c r="M225" s="105">
        <f t="shared" ref="M225:M284" ca="1" si="56">IF($B79&lt;=$M$150,IF($M$150&lt;$C79,1,0),0)</f>
        <v>0</v>
      </c>
      <c r="N225" s="105">
        <f t="shared" ref="N225:N284" ca="1" si="57">IF($B79&lt;=$N$150,IF($N$150&lt;$C79,1,0),0)</f>
        <v>0</v>
      </c>
      <c r="O225" s="105">
        <f t="shared" ref="O225:O284" ca="1" si="58">IF($B79&lt;=$O$150,IF($O$150&lt;$C79,1,0),0)</f>
        <v>0</v>
      </c>
      <c r="P225" s="105">
        <f t="shared" ref="P225:P284" ca="1" si="59">IF($B79&lt;=$P$150,IF($P$150&lt;$C79,1,0),0)</f>
        <v>0</v>
      </c>
      <c r="Q225" s="105">
        <f t="shared" ref="Q225:Q284" ca="1" si="60">IF($B79&lt;=$Q$150,IF($Q$150&lt;$C79,1,0),0)</f>
        <v>0</v>
      </c>
      <c r="R225" s="105">
        <f t="shared" ref="R225:R284" ca="1" si="61">IF($B79&lt;=$R$150,IF($R$150&lt;$C79,1,0),0)</f>
        <v>0</v>
      </c>
      <c r="S225" s="105">
        <f t="shared" ref="S225:S284" ca="1" si="62">IF($B79&lt;=$S$150,IF($S$150&lt;$C79,1,0),0)</f>
        <v>0</v>
      </c>
      <c r="T225" s="105">
        <f t="shared" ref="T225:T284" ca="1" si="63">IF($B79&lt;=$T$150,IF($T$150&lt;$C79,1,0),0)</f>
        <v>0</v>
      </c>
      <c r="U225" s="105">
        <f t="shared" ref="U225:U284" ca="1" si="64">IF($B79&lt;=$U$150,IF($U$150&lt;$C79,1,0),0)</f>
        <v>0</v>
      </c>
      <c r="V225" s="105">
        <f t="shared" ref="V225:V284" ca="1" si="65">IF($B79&lt;=$V$150,IF($V$150&lt;$C79,1,0),0)</f>
        <v>0</v>
      </c>
      <c r="W225" s="105">
        <f t="shared" ref="W225:W284" ca="1" si="66">IF($B79&lt;=$W$150,IF($W$150&lt;$C79,1,0),0)</f>
        <v>0</v>
      </c>
      <c r="X225" s="105">
        <f t="shared" ref="X225:X284" ca="1" si="67">IF($B79&lt;=$X$150,IF($X$150&lt;$C79,1,0),0)</f>
        <v>0</v>
      </c>
      <c r="Y225" s="105">
        <f t="shared" ref="Y225:Y284" ca="1" si="68">IF($B79&lt;=$Y$150,IF($Y$150&lt;$C79,1,0),0)</f>
        <v>0</v>
      </c>
      <c r="Z225" s="105">
        <f t="shared" ref="Z225:Z284" ca="1" si="69">IF($B79&lt;=$Z$150,IF($Z$150&lt;$C79,1,0),0)</f>
        <v>0</v>
      </c>
      <c r="AA225" s="105">
        <f t="shared" ref="AA225:AA284" ca="1" si="70">IF($B79&lt;=$AA$150,IF($AA$150&lt;$C79,1,0),0)</f>
        <v>0</v>
      </c>
      <c r="AB225" s="105">
        <f t="shared" ref="AB225:AB284" ca="1" si="71">IF($B79&lt;=$AB$150,IF($AB$150&lt;$C79,1,0),0)</f>
        <v>0</v>
      </c>
      <c r="AC225" s="105"/>
      <c r="AD225" s="103"/>
      <c r="AE225" s="103"/>
      <c r="AF225" s="103"/>
      <c r="AG225" s="103"/>
      <c r="AH225" s="103"/>
      <c r="AI225" s="103"/>
      <c r="AJ225" s="103"/>
      <c r="AK225" s="103"/>
      <c r="AL225" s="103"/>
      <c r="AM225" s="103"/>
      <c r="AN225" s="103"/>
      <c r="AO225" s="103"/>
      <c r="AP225" s="103"/>
      <c r="AQ225" s="103"/>
      <c r="AR225" s="103"/>
      <c r="AS225" s="103"/>
      <c r="AT225" s="103"/>
      <c r="AU225" s="103"/>
      <c r="AV225" s="103"/>
    </row>
    <row r="226" spans="5:48">
      <c r="E226" s="105">
        <f t="shared" ca="1" si="48"/>
        <v>0</v>
      </c>
      <c r="F226" s="105">
        <f t="shared" ca="1" si="49"/>
        <v>0</v>
      </c>
      <c r="G226" s="105">
        <f t="shared" ca="1" si="50"/>
        <v>0</v>
      </c>
      <c r="H226" s="105">
        <f t="shared" ca="1" si="51"/>
        <v>0</v>
      </c>
      <c r="I226" s="105">
        <f t="shared" ca="1" si="52"/>
        <v>0</v>
      </c>
      <c r="J226" s="105">
        <f t="shared" ca="1" si="53"/>
        <v>0</v>
      </c>
      <c r="K226" s="105">
        <f t="shared" ca="1" si="54"/>
        <v>0</v>
      </c>
      <c r="L226" s="105">
        <f t="shared" ca="1" si="55"/>
        <v>0</v>
      </c>
      <c r="M226" s="105">
        <f t="shared" ca="1" si="56"/>
        <v>0</v>
      </c>
      <c r="N226" s="105">
        <f t="shared" ca="1" si="57"/>
        <v>0</v>
      </c>
      <c r="O226" s="105">
        <f t="shared" ca="1" si="58"/>
        <v>0</v>
      </c>
      <c r="P226" s="105">
        <f t="shared" ca="1" si="59"/>
        <v>0</v>
      </c>
      <c r="Q226" s="105">
        <f t="shared" ca="1" si="60"/>
        <v>0</v>
      </c>
      <c r="R226" s="105">
        <f t="shared" ca="1" si="61"/>
        <v>0</v>
      </c>
      <c r="S226" s="105">
        <f t="shared" ca="1" si="62"/>
        <v>0</v>
      </c>
      <c r="T226" s="105">
        <f t="shared" ca="1" si="63"/>
        <v>0</v>
      </c>
      <c r="U226" s="105">
        <f t="shared" ca="1" si="64"/>
        <v>0</v>
      </c>
      <c r="V226" s="105">
        <f t="shared" ca="1" si="65"/>
        <v>0</v>
      </c>
      <c r="W226" s="105">
        <f t="shared" ca="1" si="66"/>
        <v>0</v>
      </c>
      <c r="X226" s="105">
        <f t="shared" ca="1" si="67"/>
        <v>0</v>
      </c>
      <c r="Y226" s="105">
        <f t="shared" ca="1" si="68"/>
        <v>0</v>
      </c>
      <c r="Z226" s="105">
        <f t="shared" ca="1" si="69"/>
        <v>0</v>
      </c>
      <c r="AA226" s="105">
        <f t="shared" ca="1" si="70"/>
        <v>0</v>
      </c>
      <c r="AB226" s="105">
        <f t="shared" ca="1" si="71"/>
        <v>0</v>
      </c>
      <c r="AC226" s="105"/>
      <c r="AD226" s="103"/>
      <c r="AE226" s="103"/>
      <c r="AF226" s="103"/>
      <c r="AG226" s="103"/>
      <c r="AH226" s="103"/>
      <c r="AI226" s="103"/>
      <c r="AJ226" s="103"/>
      <c r="AK226" s="103"/>
      <c r="AL226" s="103"/>
      <c r="AM226" s="103"/>
      <c r="AN226" s="103"/>
      <c r="AO226" s="103"/>
      <c r="AP226" s="103"/>
      <c r="AQ226" s="103"/>
      <c r="AR226" s="103"/>
      <c r="AS226" s="103"/>
      <c r="AT226" s="103"/>
      <c r="AU226" s="103"/>
      <c r="AV226" s="103"/>
    </row>
    <row r="227" spans="5:48">
      <c r="E227" s="105">
        <f t="shared" ca="1" si="48"/>
        <v>0</v>
      </c>
      <c r="F227" s="105">
        <f t="shared" ca="1" si="49"/>
        <v>0</v>
      </c>
      <c r="G227" s="105">
        <f t="shared" ca="1" si="50"/>
        <v>0</v>
      </c>
      <c r="H227" s="105">
        <f t="shared" ca="1" si="51"/>
        <v>0</v>
      </c>
      <c r="I227" s="105">
        <f t="shared" ca="1" si="52"/>
        <v>0</v>
      </c>
      <c r="J227" s="105">
        <f t="shared" ca="1" si="53"/>
        <v>0</v>
      </c>
      <c r="K227" s="105">
        <f t="shared" ca="1" si="54"/>
        <v>0</v>
      </c>
      <c r="L227" s="105">
        <f t="shared" ca="1" si="55"/>
        <v>0</v>
      </c>
      <c r="M227" s="105">
        <f t="shared" ca="1" si="56"/>
        <v>0</v>
      </c>
      <c r="N227" s="105">
        <f t="shared" ca="1" si="57"/>
        <v>0</v>
      </c>
      <c r="O227" s="105">
        <f t="shared" ca="1" si="58"/>
        <v>0</v>
      </c>
      <c r="P227" s="105">
        <f t="shared" ca="1" si="59"/>
        <v>0</v>
      </c>
      <c r="Q227" s="105">
        <f t="shared" ca="1" si="60"/>
        <v>0</v>
      </c>
      <c r="R227" s="105">
        <f t="shared" ca="1" si="61"/>
        <v>0</v>
      </c>
      <c r="S227" s="105">
        <f t="shared" ca="1" si="62"/>
        <v>0</v>
      </c>
      <c r="T227" s="105">
        <f t="shared" ca="1" si="63"/>
        <v>0</v>
      </c>
      <c r="U227" s="105">
        <f t="shared" ca="1" si="64"/>
        <v>0</v>
      </c>
      <c r="V227" s="105">
        <f t="shared" ca="1" si="65"/>
        <v>0</v>
      </c>
      <c r="W227" s="105">
        <f t="shared" ca="1" si="66"/>
        <v>0</v>
      </c>
      <c r="X227" s="105">
        <f t="shared" ca="1" si="67"/>
        <v>0</v>
      </c>
      <c r="Y227" s="105">
        <f t="shared" ca="1" si="68"/>
        <v>0</v>
      </c>
      <c r="Z227" s="105">
        <f t="shared" ca="1" si="69"/>
        <v>0</v>
      </c>
      <c r="AA227" s="105">
        <f t="shared" ca="1" si="70"/>
        <v>0</v>
      </c>
      <c r="AB227" s="105">
        <f t="shared" ca="1" si="71"/>
        <v>0</v>
      </c>
      <c r="AC227" s="105"/>
      <c r="AD227" s="103"/>
      <c r="AE227" s="103"/>
      <c r="AF227" s="103"/>
      <c r="AG227" s="103"/>
      <c r="AH227" s="103"/>
      <c r="AI227" s="103"/>
      <c r="AJ227" s="103"/>
      <c r="AK227" s="103"/>
      <c r="AL227" s="103"/>
      <c r="AM227" s="103"/>
      <c r="AN227" s="103"/>
      <c r="AO227" s="103"/>
      <c r="AP227" s="103"/>
      <c r="AQ227" s="103"/>
      <c r="AR227" s="103"/>
      <c r="AS227" s="103"/>
      <c r="AT227" s="103"/>
      <c r="AU227" s="103"/>
      <c r="AV227" s="103"/>
    </row>
    <row r="228" spans="5:48">
      <c r="E228" s="105">
        <f t="shared" ca="1" si="48"/>
        <v>0</v>
      </c>
      <c r="F228" s="105">
        <f t="shared" ca="1" si="49"/>
        <v>0</v>
      </c>
      <c r="G228" s="105">
        <f t="shared" ca="1" si="50"/>
        <v>0</v>
      </c>
      <c r="H228" s="105">
        <f t="shared" ca="1" si="51"/>
        <v>0</v>
      </c>
      <c r="I228" s="105">
        <f t="shared" ca="1" si="52"/>
        <v>0</v>
      </c>
      <c r="J228" s="105">
        <f t="shared" ca="1" si="53"/>
        <v>0</v>
      </c>
      <c r="K228" s="105">
        <f t="shared" ca="1" si="54"/>
        <v>0</v>
      </c>
      <c r="L228" s="105">
        <f t="shared" ca="1" si="55"/>
        <v>0</v>
      </c>
      <c r="M228" s="105">
        <f t="shared" ca="1" si="56"/>
        <v>0</v>
      </c>
      <c r="N228" s="105">
        <f t="shared" ca="1" si="57"/>
        <v>0</v>
      </c>
      <c r="O228" s="105">
        <f t="shared" ca="1" si="58"/>
        <v>0</v>
      </c>
      <c r="P228" s="105">
        <f t="shared" ca="1" si="59"/>
        <v>0</v>
      </c>
      <c r="Q228" s="105">
        <f t="shared" ca="1" si="60"/>
        <v>0</v>
      </c>
      <c r="R228" s="105">
        <f t="shared" ca="1" si="61"/>
        <v>0</v>
      </c>
      <c r="S228" s="105">
        <f t="shared" ca="1" si="62"/>
        <v>0</v>
      </c>
      <c r="T228" s="105">
        <f t="shared" ca="1" si="63"/>
        <v>0</v>
      </c>
      <c r="U228" s="105">
        <f t="shared" ca="1" si="64"/>
        <v>0</v>
      </c>
      <c r="V228" s="105">
        <f t="shared" ca="1" si="65"/>
        <v>0</v>
      </c>
      <c r="W228" s="105">
        <f t="shared" ca="1" si="66"/>
        <v>0</v>
      </c>
      <c r="X228" s="105">
        <f t="shared" ca="1" si="67"/>
        <v>0</v>
      </c>
      <c r="Y228" s="105">
        <f t="shared" ca="1" si="68"/>
        <v>0</v>
      </c>
      <c r="Z228" s="105">
        <f t="shared" ca="1" si="69"/>
        <v>0</v>
      </c>
      <c r="AA228" s="105">
        <f t="shared" ca="1" si="70"/>
        <v>0</v>
      </c>
      <c r="AB228" s="105">
        <f t="shared" ca="1" si="71"/>
        <v>0</v>
      </c>
      <c r="AC228" s="105"/>
      <c r="AD228" s="103"/>
      <c r="AE228" s="103"/>
      <c r="AF228" s="103"/>
      <c r="AG228" s="103"/>
      <c r="AH228" s="103"/>
      <c r="AI228" s="103"/>
      <c r="AJ228" s="103"/>
      <c r="AK228" s="103"/>
      <c r="AL228" s="103"/>
      <c r="AM228" s="103"/>
      <c r="AN228" s="103"/>
      <c r="AO228" s="103"/>
      <c r="AP228" s="103"/>
      <c r="AQ228" s="103"/>
      <c r="AR228" s="103"/>
      <c r="AS228" s="103"/>
      <c r="AT228" s="103"/>
      <c r="AU228" s="103"/>
      <c r="AV228" s="103"/>
    </row>
    <row r="229" spans="5:48">
      <c r="E229" s="105">
        <f t="shared" ca="1" si="48"/>
        <v>0</v>
      </c>
      <c r="F229" s="105">
        <f t="shared" ca="1" si="49"/>
        <v>0</v>
      </c>
      <c r="G229" s="105">
        <f t="shared" ca="1" si="50"/>
        <v>0</v>
      </c>
      <c r="H229" s="105">
        <f t="shared" ca="1" si="51"/>
        <v>0</v>
      </c>
      <c r="I229" s="105">
        <f t="shared" ca="1" si="52"/>
        <v>0</v>
      </c>
      <c r="J229" s="105">
        <f t="shared" ca="1" si="53"/>
        <v>0</v>
      </c>
      <c r="K229" s="105">
        <f t="shared" ca="1" si="54"/>
        <v>0</v>
      </c>
      <c r="L229" s="105">
        <f t="shared" ca="1" si="55"/>
        <v>0</v>
      </c>
      <c r="M229" s="105">
        <f t="shared" ca="1" si="56"/>
        <v>0</v>
      </c>
      <c r="N229" s="105">
        <f t="shared" ca="1" si="57"/>
        <v>0</v>
      </c>
      <c r="O229" s="105">
        <f t="shared" ca="1" si="58"/>
        <v>0</v>
      </c>
      <c r="P229" s="105">
        <f t="shared" ca="1" si="59"/>
        <v>0</v>
      </c>
      <c r="Q229" s="105">
        <f t="shared" ca="1" si="60"/>
        <v>0</v>
      </c>
      <c r="R229" s="105">
        <f t="shared" ca="1" si="61"/>
        <v>0</v>
      </c>
      <c r="S229" s="105">
        <f t="shared" ca="1" si="62"/>
        <v>0</v>
      </c>
      <c r="T229" s="105">
        <f t="shared" ca="1" si="63"/>
        <v>0</v>
      </c>
      <c r="U229" s="105">
        <f t="shared" ca="1" si="64"/>
        <v>0</v>
      </c>
      <c r="V229" s="105">
        <f t="shared" ca="1" si="65"/>
        <v>0</v>
      </c>
      <c r="W229" s="105">
        <f t="shared" ca="1" si="66"/>
        <v>0</v>
      </c>
      <c r="X229" s="105">
        <f t="shared" ca="1" si="67"/>
        <v>0</v>
      </c>
      <c r="Y229" s="105">
        <f t="shared" ca="1" si="68"/>
        <v>0</v>
      </c>
      <c r="Z229" s="105">
        <f t="shared" ca="1" si="69"/>
        <v>0</v>
      </c>
      <c r="AA229" s="105">
        <f t="shared" ca="1" si="70"/>
        <v>0</v>
      </c>
      <c r="AB229" s="105">
        <f t="shared" ca="1" si="71"/>
        <v>0</v>
      </c>
      <c r="AC229" s="105"/>
      <c r="AD229" s="103"/>
      <c r="AE229" s="103"/>
      <c r="AF229" s="103"/>
      <c r="AG229" s="103"/>
      <c r="AH229" s="103"/>
      <c r="AI229" s="103"/>
      <c r="AJ229" s="103"/>
      <c r="AK229" s="103"/>
      <c r="AL229" s="103"/>
      <c r="AM229" s="103"/>
      <c r="AN229" s="103"/>
      <c r="AO229" s="103"/>
      <c r="AP229" s="103"/>
      <c r="AQ229" s="103"/>
      <c r="AR229" s="103"/>
      <c r="AS229" s="103"/>
      <c r="AT229" s="103"/>
      <c r="AU229" s="103"/>
      <c r="AV229" s="103"/>
    </row>
    <row r="230" spans="5:48">
      <c r="E230" s="105">
        <f t="shared" ca="1" si="48"/>
        <v>0</v>
      </c>
      <c r="F230" s="105">
        <f t="shared" ca="1" si="49"/>
        <v>0</v>
      </c>
      <c r="G230" s="105">
        <f t="shared" ca="1" si="50"/>
        <v>0</v>
      </c>
      <c r="H230" s="105">
        <f t="shared" ca="1" si="51"/>
        <v>0</v>
      </c>
      <c r="I230" s="105">
        <f t="shared" ca="1" si="52"/>
        <v>0</v>
      </c>
      <c r="J230" s="105">
        <f t="shared" ca="1" si="53"/>
        <v>0</v>
      </c>
      <c r="K230" s="105">
        <f t="shared" ca="1" si="54"/>
        <v>0</v>
      </c>
      <c r="L230" s="105">
        <f t="shared" ca="1" si="55"/>
        <v>0</v>
      </c>
      <c r="M230" s="105">
        <f t="shared" ca="1" si="56"/>
        <v>0</v>
      </c>
      <c r="N230" s="105">
        <f t="shared" ca="1" si="57"/>
        <v>0</v>
      </c>
      <c r="O230" s="105">
        <f t="shared" ca="1" si="58"/>
        <v>0</v>
      </c>
      <c r="P230" s="105">
        <f t="shared" ca="1" si="59"/>
        <v>0</v>
      </c>
      <c r="Q230" s="105">
        <f t="shared" ca="1" si="60"/>
        <v>0</v>
      </c>
      <c r="R230" s="105">
        <f t="shared" ca="1" si="61"/>
        <v>0</v>
      </c>
      <c r="S230" s="105">
        <f t="shared" ca="1" si="62"/>
        <v>0</v>
      </c>
      <c r="T230" s="105">
        <f t="shared" ca="1" si="63"/>
        <v>0</v>
      </c>
      <c r="U230" s="105">
        <f t="shared" ca="1" si="64"/>
        <v>0</v>
      </c>
      <c r="V230" s="105">
        <f t="shared" ca="1" si="65"/>
        <v>0</v>
      </c>
      <c r="W230" s="105">
        <f t="shared" ca="1" si="66"/>
        <v>0</v>
      </c>
      <c r="X230" s="105">
        <f t="shared" ca="1" si="67"/>
        <v>0</v>
      </c>
      <c r="Y230" s="105">
        <f t="shared" ca="1" si="68"/>
        <v>0</v>
      </c>
      <c r="Z230" s="105">
        <f t="shared" ca="1" si="69"/>
        <v>0</v>
      </c>
      <c r="AA230" s="105">
        <f t="shared" ca="1" si="70"/>
        <v>0</v>
      </c>
      <c r="AB230" s="105">
        <f t="shared" ca="1" si="71"/>
        <v>0</v>
      </c>
      <c r="AC230" s="105"/>
      <c r="AD230" s="103"/>
      <c r="AE230" s="103"/>
      <c r="AF230" s="103"/>
      <c r="AG230" s="103"/>
      <c r="AH230" s="103"/>
      <c r="AI230" s="103"/>
      <c r="AJ230" s="103"/>
      <c r="AK230" s="103"/>
      <c r="AL230" s="103"/>
      <c r="AM230" s="103"/>
      <c r="AN230" s="103"/>
      <c r="AO230" s="103"/>
      <c r="AP230" s="103"/>
      <c r="AQ230" s="103"/>
      <c r="AR230" s="103"/>
      <c r="AS230" s="103"/>
      <c r="AT230" s="103"/>
      <c r="AU230" s="103"/>
      <c r="AV230" s="103"/>
    </row>
    <row r="231" spans="5:48">
      <c r="E231" s="105">
        <f t="shared" ca="1" si="48"/>
        <v>0</v>
      </c>
      <c r="F231" s="105">
        <f t="shared" ca="1" si="49"/>
        <v>0</v>
      </c>
      <c r="G231" s="105">
        <f t="shared" ca="1" si="50"/>
        <v>0</v>
      </c>
      <c r="H231" s="105">
        <f t="shared" ca="1" si="51"/>
        <v>0</v>
      </c>
      <c r="I231" s="105">
        <f t="shared" ca="1" si="52"/>
        <v>0</v>
      </c>
      <c r="J231" s="105">
        <f t="shared" ca="1" si="53"/>
        <v>0</v>
      </c>
      <c r="K231" s="105">
        <f t="shared" ca="1" si="54"/>
        <v>0</v>
      </c>
      <c r="L231" s="105">
        <f t="shared" ca="1" si="55"/>
        <v>0</v>
      </c>
      <c r="M231" s="105">
        <f t="shared" ca="1" si="56"/>
        <v>0</v>
      </c>
      <c r="N231" s="105">
        <f t="shared" ca="1" si="57"/>
        <v>0</v>
      </c>
      <c r="O231" s="105">
        <f t="shared" ca="1" si="58"/>
        <v>0</v>
      </c>
      <c r="P231" s="105">
        <f t="shared" ca="1" si="59"/>
        <v>0</v>
      </c>
      <c r="Q231" s="105">
        <f t="shared" ca="1" si="60"/>
        <v>0</v>
      </c>
      <c r="R231" s="105">
        <f t="shared" ca="1" si="61"/>
        <v>0</v>
      </c>
      <c r="S231" s="105">
        <f t="shared" ca="1" si="62"/>
        <v>0</v>
      </c>
      <c r="T231" s="105">
        <f t="shared" ca="1" si="63"/>
        <v>0</v>
      </c>
      <c r="U231" s="105">
        <f t="shared" ca="1" si="64"/>
        <v>0</v>
      </c>
      <c r="V231" s="105">
        <f t="shared" ca="1" si="65"/>
        <v>0</v>
      </c>
      <c r="W231" s="105">
        <f t="shared" ca="1" si="66"/>
        <v>0</v>
      </c>
      <c r="X231" s="105">
        <f t="shared" ca="1" si="67"/>
        <v>0</v>
      </c>
      <c r="Y231" s="105">
        <f t="shared" ca="1" si="68"/>
        <v>0</v>
      </c>
      <c r="Z231" s="105">
        <f t="shared" ca="1" si="69"/>
        <v>0</v>
      </c>
      <c r="AA231" s="105">
        <f t="shared" ca="1" si="70"/>
        <v>0</v>
      </c>
      <c r="AB231" s="105">
        <f t="shared" ca="1" si="71"/>
        <v>0</v>
      </c>
      <c r="AC231" s="105"/>
      <c r="AD231" s="103"/>
      <c r="AE231" s="103"/>
      <c r="AF231" s="103"/>
      <c r="AG231" s="103"/>
      <c r="AH231" s="103"/>
      <c r="AI231" s="103"/>
      <c r="AJ231" s="103"/>
      <c r="AK231" s="103"/>
      <c r="AL231" s="103"/>
      <c r="AM231" s="103"/>
      <c r="AN231" s="103"/>
      <c r="AO231" s="103"/>
      <c r="AP231" s="103"/>
      <c r="AQ231" s="103"/>
      <c r="AR231" s="103"/>
      <c r="AS231" s="103"/>
      <c r="AT231" s="103"/>
      <c r="AU231" s="103"/>
      <c r="AV231" s="103"/>
    </row>
    <row r="232" spans="5:48">
      <c r="E232" s="105">
        <f t="shared" ca="1" si="48"/>
        <v>0</v>
      </c>
      <c r="F232" s="105">
        <f t="shared" ca="1" si="49"/>
        <v>0</v>
      </c>
      <c r="G232" s="105">
        <f t="shared" ca="1" si="50"/>
        <v>0</v>
      </c>
      <c r="H232" s="105">
        <f t="shared" ca="1" si="51"/>
        <v>0</v>
      </c>
      <c r="I232" s="105">
        <f t="shared" ca="1" si="52"/>
        <v>0</v>
      </c>
      <c r="J232" s="105">
        <f t="shared" ca="1" si="53"/>
        <v>0</v>
      </c>
      <c r="K232" s="105">
        <f t="shared" ca="1" si="54"/>
        <v>0</v>
      </c>
      <c r="L232" s="105">
        <f t="shared" ca="1" si="55"/>
        <v>0</v>
      </c>
      <c r="M232" s="105">
        <f t="shared" ca="1" si="56"/>
        <v>0</v>
      </c>
      <c r="N232" s="105">
        <f t="shared" ca="1" si="57"/>
        <v>0</v>
      </c>
      <c r="O232" s="105">
        <f t="shared" ca="1" si="58"/>
        <v>0</v>
      </c>
      <c r="P232" s="105">
        <f t="shared" ca="1" si="59"/>
        <v>0</v>
      </c>
      <c r="Q232" s="105">
        <f t="shared" ca="1" si="60"/>
        <v>0</v>
      </c>
      <c r="R232" s="105">
        <f t="shared" ca="1" si="61"/>
        <v>0</v>
      </c>
      <c r="S232" s="105">
        <f t="shared" ca="1" si="62"/>
        <v>0</v>
      </c>
      <c r="T232" s="105">
        <f t="shared" ca="1" si="63"/>
        <v>0</v>
      </c>
      <c r="U232" s="105">
        <f t="shared" ca="1" si="64"/>
        <v>0</v>
      </c>
      <c r="V232" s="105">
        <f t="shared" ca="1" si="65"/>
        <v>0</v>
      </c>
      <c r="W232" s="105">
        <f t="shared" ca="1" si="66"/>
        <v>0</v>
      </c>
      <c r="X232" s="105">
        <f t="shared" ca="1" si="67"/>
        <v>0</v>
      </c>
      <c r="Y232" s="105">
        <f t="shared" ca="1" si="68"/>
        <v>0</v>
      </c>
      <c r="Z232" s="105">
        <f t="shared" ca="1" si="69"/>
        <v>0</v>
      </c>
      <c r="AA232" s="105">
        <f t="shared" ca="1" si="70"/>
        <v>0</v>
      </c>
      <c r="AB232" s="105">
        <f t="shared" ca="1" si="71"/>
        <v>0</v>
      </c>
      <c r="AC232" s="105"/>
      <c r="AD232" s="103"/>
      <c r="AE232" s="103"/>
      <c r="AF232" s="103"/>
      <c r="AG232" s="103"/>
      <c r="AH232" s="103"/>
      <c r="AI232" s="103"/>
      <c r="AJ232" s="103"/>
      <c r="AK232" s="103"/>
      <c r="AL232" s="103"/>
      <c r="AM232" s="103"/>
      <c r="AN232" s="103"/>
      <c r="AO232" s="103"/>
      <c r="AP232" s="103"/>
      <c r="AQ232" s="103"/>
      <c r="AR232" s="103"/>
      <c r="AS232" s="103"/>
      <c r="AT232" s="103"/>
      <c r="AU232" s="103"/>
      <c r="AV232" s="103"/>
    </row>
    <row r="233" spans="5:48">
      <c r="E233" s="105">
        <f t="shared" ca="1" si="48"/>
        <v>0</v>
      </c>
      <c r="F233" s="105">
        <f t="shared" ca="1" si="49"/>
        <v>0</v>
      </c>
      <c r="G233" s="105">
        <f t="shared" ca="1" si="50"/>
        <v>0</v>
      </c>
      <c r="H233" s="105">
        <f t="shared" ca="1" si="51"/>
        <v>0</v>
      </c>
      <c r="I233" s="105">
        <f t="shared" ca="1" si="52"/>
        <v>0</v>
      </c>
      <c r="J233" s="105">
        <f t="shared" ca="1" si="53"/>
        <v>0</v>
      </c>
      <c r="K233" s="105">
        <f t="shared" ca="1" si="54"/>
        <v>0</v>
      </c>
      <c r="L233" s="105">
        <f t="shared" ca="1" si="55"/>
        <v>0</v>
      </c>
      <c r="M233" s="105">
        <f t="shared" ca="1" si="56"/>
        <v>0</v>
      </c>
      <c r="N233" s="105">
        <f t="shared" ca="1" si="57"/>
        <v>0</v>
      </c>
      <c r="O233" s="105">
        <f t="shared" ca="1" si="58"/>
        <v>0</v>
      </c>
      <c r="P233" s="105">
        <f t="shared" ca="1" si="59"/>
        <v>0</v>
      </c>
      <c r="Q233" s="105">
        <f t="shared" ca="1" si="60"/>
        <v>0</v>
      </c>
      <c r="R233" s="105">
        <f t="shared" ca="1" si="61"/>
        <v>0</v>
      </c>
      <c r="S233" s="105">
        <f t="shared" ca="1" si="62"/>
        <v>0</v>
      </c>
      <c r="T233" s="105">
        <f t="shared" ca="1" si="63"/>
        <v>0</v>
      </c>
      <c r="U233" s="105">
        <f t="shared" ca="1" si="64"/>
        <v>0</v>
      </c>
      <c r="V233" s="105">
        <f t="shared" ca="1" si="65"/>
        <v>0</v>
      </c>
      <c r="W233" s="105">
        <f t="shared" ca="1" si="66"/>
        <v>0</v>
      </c>
      <c r="X233" s="105">
        <f t="shared" ca="1" si="67"/>
        <v>0</v>
      </c>
      <c r="Y233" s="105">
        <f t="shared" ca="1" si="68"/>
        <v>0</v>
      </c>
      <c r="Z233" s="105">
        <f t="shared" ca="1" si="69"/>
        <v>0</v>
      </c>
      <c r="AA233" s="105">
        <f t="shared" ca="1" si="70"/>
        <v>0</v>
      </c>
      <c r="AB233" s="105">
        <f t="shared" ca="1" si="71"/>
        <v>0</v>
      </c>
      <c r="AC233" s="105"/>
      <c r="AD233" s="103"/>
      <c r="AE233" s="103"/>
      <c r="AF233" s="103"/>
      <c r="AG233" s="103"/>
      <c r="AH233" s="103"/>
      <c r="AI233" s="103"/>
      <c r="AJ233" s="103"/>
      <c r="AK233" s="103"/>
      <c r="AL233" s="103"/>
      <c r="AM233" s="103"/>
      <c r="AN233" s="103"/>
      <c r="AO233" s="103"/>
      <c r="AP233" s="103"/>
      <c r="AQ233" s="103"/>
      <c r="AR233" s="103"/>
      <c r="AS233" s="103"/>
      <c r="AT233" s="103"/>
      <c r="AU233" s="103"/>
      <c r="AV233" s="103"/>
    </row>
    <row r="234" spans="5:48">
      <c r="E234" s="105">
        <f t="shared" ca="1" si="48"/>
        <v>0</v>
      </c>
      <c r="F234" s="105">
        <f t="shared" ca="1" si="49"/>
        <v>0</v>
      </c>
      <c r="G234" s="105">
        <f t="shared" ca="1" si="50"/>
        <v>0</v>
      </c>
      <c r="H234" s="105">
        <f t="shared" ca="1" si="51"/>
        <v>0</v>
      </c>
      <c r="I234" s="105">
        <f t="shared" ca="1" si="52"/>
        <v>0</v>
      </c>
      <c r="J234" s="105">
        <f t="shared" ca="1" si="53"/>
        <v>0</v>
      </c>
      <c r="K234" s="105">
        <f t="shared" ca="1" si="54"/>
        <v>0</v>
      </c>
      <c r="L234" s="105">
        <f t="shared" ca="1" si="55"/>
        <v>0</v>
      </c>
      <c r="M234" s="105">
        <f t="shared" ca="1" si="56"/>
        <v>0</v>
      </c>
      <c r="N234" s="105">
        <f t="shared" ca="1" si="57"/>
        <v>0</v>
      </c>
      <c r="O234" s="105">
        <f t="shared" ca="1" si="58"/>
        <v>0</v>
      </c>
      <c r="P234" s="105">
        <f t="shared" ca="1" si="59"/>
        <v>0</v>
      </c>
      <c r="Q234" s="105">
        <f t="shared" ca="1" si="60"/>
        <v>0</v>
      </c>
      <c r="R234" s="105">
        <f t="shared" ca="1" si="61"/>
        <v>0</v>
      </c>
      <c r="S234" s="105">
        <f t="shared" ca="1" si="62"/>
        <v>0</v>
      </c>
      <c r="T234" s="105">
        <f t="shared" ca="1" si="63"/>
        <v>0</v>
      </c>
      <c r="U234" s="105">
        <f t="shared" ca="1" si="64"/>
        <v>0</v>
      </c>
      <c r="V234" s="105">
        <f t="shared" ca="1" si="65"/>
        <v>0</v>
      </c>
      <c r="W234" s="105">
        <f t="shared" ca="1" si="66"/>
        <v>0</v>
      </c>
      <c r="X234" s="105">
        <f t="shared" ca="1" si="67"/>
        <v>0</v>
      </c>
      <c r="Y234" s="105">
        <f t="shared" ca="1" si="68"/>
        <v>0</v>
      </c>
      <c r="Z234" s="105">
        <f t="shared" ca="1" si="69"/>
        <v>0</v>
      </c>
      <c r="AA234" s="105">
        <f t="shared" ca="1" si="70"/>
        <v>0</v>
      </c>
      <c r="AB234" s="105">
        <f t="shared" ca="1" si="71"/>
        <v>0</v>
      </c>
      <c r="AC234" s="105"/>
      <c r="AD234" s="103"/>
      <c r="AE234" s="103"/>
      <c r="AF234" s="103"/>
      <c r="AG234" s="103"/>
      <c r="AH234" s="103"/>
      <c r="AI234" s="103"/>
      <c r="AJ234" s="103"/>
      <c r="AK234" s="103"/>
      <c r="AL234" s="103"/>
      <c r="AM234" s="103"/>
      <c r="AN234" s="103"/>
      <c r="AO234" s="103"/>
      <c r="AP234" s="103"/>
      <c r="AQ234" s="103"/>
      <c r="AR234" s="103"/>
      <c r="AS234" s="103"/>
      <c r="AT234" s="103"/>
      <c r="AU234" s="103"/>
      <c r="AV234" s="103"/>
    </row>
    <row r="235" spans="5:48">
      <c r="E235" s="105">
        <f t="shared" ca="1" si="48"/>
        <v>0</v>
      </c>
      <c r="F235" s="105">
        <f t="shared" ca="1" si="49"/>
        <v>0</v>
      </c>
      <c r="G235" s="105">
        <f t="shared" ca="1" si="50"/>
        <v>0</v>
      </c>
      <c r="H235" s="105">
        <f t="shared" ca="1" si="51"/>
        <v>0</v>
      </c>
      <c r="I235" s="105">
        <f t="shared" ca="1" si="52"/>
        <v>0</v>
      </c>
      <c r="J235" s="105">
        <f t="shared" ca="1" si="53"/>
        <v>0</v>
      </c>
      <c r="K235" s="105">
        <f t="shared" ca="1" si="54"/>
        <v>0</v>
      </c>
      <c r="L235" s="105">
        <f t="shared" ca="1" si="55"/>
        <v>0</v>
      </c>
      <c r="M235" s="105">
        <f t="shared" ca="1" si="56"/>
        <v>0</v>
      </c>
      <c r="N235" s="105">
        <f t="shared" ca="1" si="57"/>
        <v>0</v>
      </c>
      <c r="O235" s="105">
        <f t="shared" ca="1" si="58"/>
        <v>0</v>
      </c>
      <c r="P235" s="105">
        <f t="shared" ca="1" si="59"/>
        <v>0</v>
      </c>
      <c r="Q235" s="105">
        <f t="shared" ca="1" si="60"/>
        <v>0</v>
      </c>
      <c r="R235" s="105">
        <f t="shared" ca="1" si="61"/>
        <v>0</v>
      </c>
      <c r="S235" s="105">
        <f t="shared" ca="1" si="62"/>
        <v>0</v>
      </c>
      <c r="T235" s="105">
        <f t="shared" ca="1" si="63"/>
        <v>0</v>
      </c>
      <c r="U235" s="105">
        <f t="shared" ca="1" si="64"/>
        <v>0</v>
      </c>
      <c r="V235" s="105">
        <f t="shared" ca="1" si="65"/>
        <v>0</v>
      </c>
      <c r="W235" s="105">
        <f t="shared" ca="1" si="66"/>
        <v>0</v>
      </c>
      <c r="X235" s="105">
        <f t="shared" ca="1" si="67"/>
        <v>0</v>
      </c>
      <c r="Y235" s="105">
        <f t="shared" ca="1" si="68"/>
        <v>0</v>
      </c>
      <c r="Z235" s="105">
        <f t="shared" ca="1" si="69"/>
        <v>0</v>
      </c>
      <c r="AA235" s="105">
        <f t="shared" ca="1" si="70"/>
        <v>0</v>
      </c>
      <c r="AB235" s="105">
        <f t="shared" ca="1" si="71"/>
        <v>0</v>
      </c>
      <c r="AC235" s="105"/>
      <c r="AD235" s="103"/>
      <c r="AE235" s="103"/>
      <c r="AF235" s="103"/>
      <c r="AG235" s="103"/>
      <c r="AH235" s="103"/>
      <c r="AI235" s="103"/>
      <c r="AJ235" s="103"/>
      <c r="AK235" s="103"/>
      <c r="AL235" s="103"/>
      <c r="AM235" s="103"/>
      <c r="AN235" s="103"/>
      <c r="AO235" s="103"/>
      <c r="AP235" s="103"/>
      <c r="AQ235" s="103"/>
      <c r="AR235" s="103"/>
      <c r="AS235" s="103"/>
      <c r="AT235" s="103"/>
      <c r="AU235" s="103"/>
      <c r="AV235" s="103"/>
    </row>
    <row r="236" spans="5:48">
      <c r="E236" s="105">
        <f t="shared" ca="1" si="48"/>
        <v>0</v>
      </c>
      <c r="F236" s="105">
        <f t="shared" ca="1" si="49"/>
        <v>0</v>
      </c>
      <c r="G236" s="105">
        <f t="shared" ca="1" si="50"/>
        <v>0</v>
      </c>
      <c r="H236" s="105">
        <f t="shared" ca="1" si="51"/>
        <v>0</v>
      </c>
      <c r="I236" s="105">
        <f t="shared" ca="1" si="52"/>
        <v>0</v>
      </c>
      <c r="J236" s="105">
        <f t="shared" ca="1" si="53"/>
        <v>0</v>
      </c>
      <c r="K236" s="105">
        <f t="shared" ca="1" si="54"/>
        <v>0</v>
      </c>
      <c r="L236" s="105">
        <f t="shared" ca="1" si="55"/>
        <v>0</v>
      </c>
      <c r="M236" s="105">
        <f t="shared" ca="1" si="56"/>
        <v>0</v>
      </c>
      <c r="N236" s="105">
        <f t="shared" ca="1" si="57"/>
        <v>0</v>
      </c>
      <c r="O236" s="105">
        <f t="shared" ca="1" si="58"/>
        <v>0</v>
      </c>
      <c r="P236" s="105">
        <f t="shared" ca="1" si="59"/>
        <v>0</v>
      </c>
      <c r="Q236" s="105">
        <f t="shared" ca="1" si="60"/>
        <v>0</v>
      </c>
      <c r="R236" s="105">
        <f t="shared" ca="1" si="61"/>
        <v>0</v>
      </c>
      <c r="S236" s="105">
        <f t="shared" ca="1" si="62"/>
        <v>0</v>
      </c>
      <c r="T236" s="105">
        <f t="shared" ca="1" si="63"/>
        <v>0</v>
      </c>
      <c r="U236" s="105">
        <f t="shared" ca="1" si="64"/>
        <v>0</v>
      </c>
      <c r="V236" s="105">
        <f t="shared" ca="1" si="65"/>
        <v>0</v>
      </c>
      <c r="W236" s="105">
        <f t="shared" ca="1" si="66"/>
        <v>0</v>
      </c>
      <c r="X236" s="105">
        <f t="shared" ca="1" si="67"/>
        <v>0</v>
      </c>
      <c r="Y236" s="105">
        <f t="shared" ca="1" si="68"/>
        <v>0</v>
      </c>
      <c r="Z236" s="105">
        <f t="shared" ca="1" si="69"/>
        <v>0</v>
      </c>
      <c r="AA236" s="105">
        <f t="shared" ca="1" si="70"/>
        <v>0</v>
      </c>
      <c r="AB236" s="105">
        <f t="shared" ca="1" si="71"/>
        <v>0</v>
      </c>
      <c r="AC236" s="105"/>
      <c r="AD236" s="103"/>
      <c r="AE236" s="103"/>
      <c r="AF236" s="103"/>
      <c r="AG236" s="103"/>
      <c r="AH236" s="103"/>
      <c r="AI236" s="103"/>
      <c r="AJ236" s="103"/>
      <c r="AK236" s="103"/>
      <c r="AL236" s="103"/>
      <c r="AM236" s="103"/>
      <c r="AN236" s="103"/>
      <c r="AO236" s="103"/>
      <c r="AP236" s="103"/>
      <c r="AQ236" s="103"/>
      <c r="AR236" s="103"/>
      <c r="AS236" s="103"/>
      <c r="AT236" s="103"/>
      <c r="AU236" s="103"/>
      <c r="AV236" s="103"/>
    </row>
    <row r="237" spans="5:48">
      <c r="E237" s="105">
        <f t="shared" ca="1" si="48"/>
        <v>0</v>
      </c>
      <c r="F237" s="105">
        <f t="shared" ca="1" si="49"/>
        <v>0</v>
      </c>
      <c r="G237" s="105">
        <f t="shared" ca="1" si="50"/>
        <v>0</v>
      </c>
      <c r="H237" s="105">
        <f t="shared" ca="1" si="51"/>
        <v>0</v>
      </c>
      <c r="I237" s="105">
        <f t="shared" ca="1" si="52"/>
        <v>0</v>
      </c>
      <c r="J237" s="105">
        <f t="shared" ca="1" si="53"/>
        <v>0</v>
      </c>
      <c r="K237" s="105">
        <f t="shared" ca="1" si="54"/>
        <v>0</v>
      </c>
      <c r="L237" s="105">
        <f t="shared" ca="1" si="55"/>
        <v>0</v>
      </c>
      <c r="M237" s="105">
        <f t="shared" ca="1" si="56"/>
        <v>0</v>
      </c>
      <c r="N237" s="105">
        <f t="shared" ca="1" si="57"/>
        <v>0</v>
      </c>
      <c r="O237" s="105">
        <f t="shared" ca="1" si="58"/>
        <v>0</v>
      </c>
      <c r="P237" s="105">
        <f t="shared" ca="1" si="59"/>
        <v>0</v>
      </c>
      <c r="Q237" s="105">
        <f t="shared" ca="1" si="60"/>
        <v>0</v>
      </c>
      <c r="R237" s="105">
        <f t="shared" ca="1" si="61"/>
        <v>0</v>
      </c>
      <c r="S237" s="105">
        <f t="shared" ca="1" si="62"/>
        <v>0</v>
      </c>
      <c r="T237" s="105">
        <f t="shared" ca="1" si="63"/>
        <v>0</v>
      </c>
      <c r="U237" s="105">
        <f t="shared" ca="1" si="64"/>
        <v>0</v>
      </c>
      <c r="V237" s="105">
        <f t="shared" ca="1" si="65"/>
        <v>0</v>
      </c>
      <c r="W237" s="105">
        <f t="shared" ca="1" si="66"/>
        <v>0</v>
      </c>
      <c r="X237" s="105">
        <f t="shared" ca="1" si="67"/>
        <v>0</v>
      </c>
      <c r="Y237" s="105">
        <f t="shared" ca="1" si="68"/>
        <v>0</v>
      </c>
      <c r="Z237" s="105">
        <f t="shared" ca="1" si="69"/>
        <v>0</v>
      </c>
      <c r="AA237" s="105">
        <f t="shared" ca="1" si="70"/>
        <v>0</v>
      </c>
      <c r="AB237" s="105">
        <f t="shared" ca="1" si="71"/>
        <v>0</v>
      </c>
      <c r="AC237" s="105"/>
      <c r="AD237" s="103"/>
      <c r="AE237" s="103"/>
      <c r="AF237" s="103"/>
      <c r="AG237" s="103"/>
      <c r="AH237" s="103"/>
      <c r="AI237" s="103"/>
      <c r="AJ237" s="103"/>
      <c r="AK237" s="103"/>
      <c r="AL237" s="103"/>
      <c r="AM237" s="103"/>
      <c r="AN237" s="103"/>
      <c r="AO237" s="103"/>
      <c r="AP237" s="103"/>
      <c r="AQ237" s="103"/>
      <c r="AR237" s="103"/>
      <c r="AS237" s="103"/>
      <c r="AT237" s="103"/>
      <c r="AU237" s="103"/>
      <c r="AV237" s="103"/>
    </row>
    <row r="238" spans="5:48">
      <c r="E238" s="105">
        <f t="shared" ca="1" si="48"/>
        <v>0</v>
      </c>
      <c r="F238" s="105">
        <f t="shared" ca="1" si="49"/>
        <v>0</v>
      </c>
      <c r="G238" s="105">
        <f t="shared" ca="1" si="50"/>
        <v>0</v>
      </c>
      <c r="H238" s="105">
        <f t="shared" ca="1" si="51"/>
        <v>0</v>
      </c>
      <c r="I238" s="105">
        <f t="shared" ca="1" si="52"/>
        <v>0</v>
      </c>
      <c r="J238" s="105">
        <f t="shared" ca="1" si="53"/>
        <v>0</v>
      </c>
      <c r="K238" s="105">
        <f t="shared" ca="1" si="54"/>
        <v>0</v>
      </c>
      <c r="L238" s="105">
        <f t="shared" ca="1" si="55"/>
        <v>0</v>
      </c>
      <c r="M238" s="105">
        <f t="shared" ca="1" si="56"/>
        <v>0</v>
      </c>
      <c r="N238" s="105">
        <f t="shared" ca="1" si="57"/>
        <v>0</v>
      </c>
      <c r="O238" s="105">
        <f t="shared" ca="1" si="58"/>
        <v>0</v>
      </c>
      <c r="P238" s="105">
        <f t="shared" ca="1" si="59"/>
        <v>0</v>
      </c>
      <c r="Q238" s="105">
        <f t="shared" ca="1" si="60"/>
        <v>0</v>
      </c>
      <c r="R238" s="105">
        <f t="shared" ca="1" si="61"/>
        <v>0</v>
      </c>
      <c r="S238" s="105">
        <f t="shared" ca="1" si="62"/>
        <v>0</v>
      </c>
      <c r="T238" s="105">
        <f t="shared" ca="1" si="63"/>
        <v>0</v>
      </c>
      <c r="U238" s="105">
        <f t="shared" ca="1" si="64"/>
        <v>0</v>
      </c>
      <c r="V238" s="105">
        <f t="shared" ca="1" si="65"/>
        <v>0</v>
      </c>
      <c r="W238" s="105">
        <f t="shared" ca="1" si="66"/>
        <v>0</v>
      </c>
      <c r="X238" s="105">
        <f t="shared" ca="1" si="67"/>
        <v>0</v>
      </c>
      <c r="Y238" s="105">
        <f t="shared" ca="1" si="68"/>
        <v>0</v>
      </c>
      <c r="Z238" s="105">
        <f t="shared" ca="1" si="69"/>
        <v>0</v>
      </c>
      <c r="AA238" s="105">
        <f t="shared" ca="1" si="70"/>
        <v>0</v>
      </c>
      <c r="AB238" s="105">
        <f t="shared" ca="1" si="71"/>
        <v>0</v>
      </c>
      <c r="AC238" s="105"/>
      <c r="AD238" s="103"/>
      <c r="AE238" s="103"/>
      <c r="AF238" s="103"/>
      <c r="AG238" s="103"/>
      <c r="AH238" s="103"/>
      <c r="AI238" s="103"/>
      <c r="AJ238" s="103"/>
      <c r="AK238" s="103"/>
      <c r="AL238" s="103"/>
      <c r="AM238" s="103"/>
      <c r="AN238" s="103"/>
      <c r="AO238" s="103"/>
      <c r="AP238" s="103"/>
      <c r="AQ238" s="103"/>
      <c r="AR238" s="103"/>
      <c r="AS238" s="103"/>
      <c r="AT238" s="103"/>
      <c r="AU238" s="103"/>
      <c r="AV238" s="103"/>
    </row>
    <row r="239" spans="5:48">
      <c r="E239" s="105">
        <f t="shared" ca="1" si="48"/>
        <v>0</v>
      </c>
      <c r="F239" s="105">
        <f t="shared" ca="1" si="49"/>
        <v>0</v>
      </c>
      <c r="G239" s="105">
        <f t="shared" ca="1" si="50"/>
        <v>0</v>
      </c>
      <c r="H239" s="105">
        <f t="shared" ca="1" si="51"/>
        <v>0</v>
      </c>
      <c r="I239" s="105">
        <f t="shared" ca="1" si="52"/>
        <v>0</v>
      </c>
      <c r="J239" s="105">
        <f t="shared" ca="1" si="53"/>
        <v>0</v>
      </c>
      <c r="K239" s="105">
        <f t="shared" ca="1" si="54"/>
        <v>0</v>
      </c>
      <c r="L239" s="105">
        <f t="shared" ca="1" si="55"/>
        <v>0</v>
      </c>
      <c r="M239" s="105">
        <f t="shared" ca="1" si="56"/>
        <v>0</v>
      </c>
      <c r="N239" s="105">
        <f t="shared" ca="1" si="57"/>
        <v>0</v>
      </c>
      <c r="O239" s="105">
        <f t="shared" ca="1" si="58"/>
        <v>0</v>
      </c>
      <c r="P239" s="105">
        <f t="shared" ca="1" si="59"/>
        <v>0</v>
      </c>
      <c r="Q239" s="105">
        <f t="shared" ca="1" si="60"/>
        <v>0</v>
      </c>
      <c r="R239" s="105">
        <f t="shared" ca="1" si="61"/>
        <v>0</v>
      </c>
      <c r="S239" s="105">
        <f t="shared" ca="1" si="62"/>
        <v>0</v>
      </c>
      <c r="T239" s="105">
        <f t="shared" ca="1" si="63"/>
        <v>0</v>
      </c>
      <c r="U239" s="105">
        <f t="shared" ca="1" si="64"/>
        <v>0</v>
      </c>
      <c r="V239" s="105">
        <f t="shared" ca="1" si="65"/>
        <v>0</v>
      </c>
      <c r="W239" s="105">
        <f t="shared" ca="1" si="66"/>
        <v>0</v>
      </c>
      <c r="X239" s="105">
        <f t="shared" ca="1" si="67"/>
        <v>0</v>
      </c>
      <c r="Y239" s="105">
        <f t="shared" ca="1" si="68"/>
        <v>0</v>
      </c>
      <c r="Z239" s="105">
        <f t="shared" ca="1" si="69"/>
        <v>0</v>
      </c>
      <c r="AA239" s="105">
        <f t="shared" ca="1" si="70"/>
        <v>0</v>
      </c>
      <c r="AB239" s="105">
        <f t="shared" ca="1" si="71"/>
        <v>0</v>
      </c>
      <c r="AC239" s="105"/>
      <c r="AD239" s="103"/>
      <c r="AE239" s="103"/>
      <c r="AF239" s="103"/>
      <c r="AG239" s="103"/>
      <c r="AH239" s="103"/>
      <c r="AI239" s="103"/>
      <c r="AJ239" s="103"/>
      <c r="AK239" s="103"/>
      <c r="AL239" s="103"/>
      <c r="AM239" s="103"/>
      <c r="AN239" s="103"/>
      <c r="AO239" s="103"/>
      <c r="AP239" s="103"/>
      <c r="AQ239" s="103"/>
      <c r="AR239" s="103"/>
      <c r="AS239" s="103"/>
      <c r="AT239" s="103"/>
      <c r="AU239" s="103"/>
      <c r="AV239" s="103"/>
    </row>
    <row r="240" spans="5:48">
      <c r="E240" s="105">
        <f t="shared" ca="1" si="48"/>
        <v>0</v>
      </c>
      <c r="F240" s="105">
        <f t="shared" ca="1" si="49"/>
        <v>0</v>
      </c>
      <c r="G240" s="105">
        <f t="shared" ca="1" si="50"/>
        <v>0</v>
      </c>
      <c r="H240" s="105">
        <f t="shared" ca="1" si="51"/>
        <v>0</v>
      </c>
      <c r="I240" s="105">
        <f t="shared" ca="1" si="52"/>
        <v>0</v>
      </c>
      <c r="J240" s="105">
        <f t="shared" ca="1" si="53"/>
        <v>0</v>
      </c>
      <c r="K240" s="105">
        <f t="shared" ca="1" si="54"/>
        <v>0</v>
      </c>
      <c r="L240" s="105">
        <f t="shared" ca="1" si="55"/>
        <v>0</v>
      </c>
      <c r="M240" s="105">
        <f t="shared" ca="1" si="56"/>
        <v>0</v>
      </c>
      <c r="N240" s="105">
        <f t="shared" ca="1" si="57"/>
        <v>0</v>
      </c>
      <c r="O240" s="105">
        <f t="shared" ca="1" si="58"/>
        <v>0</v>
      </c>
      <c r="P240" s="105">
        <f t="shared" ca="1" si="59"/>
        <v>0</v>
      </c>
      <c r="Q240" s="105">
        <f t="shared" ca="1" si="60"/>
        <v>0</v>
      </c>
      <c r="R240" s="105">
        <f t="shared" ca="1" si="61"/>
        <v>0</v>
      </c>
      <c r="S240" s="105">
        <f t="shared" ca="1" si="62"/>
        <v>0</v>
      </c>
      <c r="T240" s="105">
        <f t="shared" ca="1" si="63"/>
        <v>0</v>
      </c>
      <c r="U240" s="105">
        <f t="shared" ca="1" si="64"/>
        <v>0</v>
      </c>
      <c r="V240" s="105">
        <f t="shared" ca="1" si="65"/>
        <v>0</v>
      </c>
      <c r="W240" s="105">
        <f t="shared" ca="1" si="66"/>
        <v>0</v>
      </c>
      <c r="X240" s="105">
        <f t="shared" ca="1" si="67"/>
        <v>0</v>
      </c>
      <c r="Y240" s="105">
        <f t="shared" ca="1" si="68"/>
        <v>0</v>
      </c>
      <c r="Z240" s="105">
        <f t="shared" ca="1" si="69"/>
        <v>0</v>
      </c>
      <c r="AA240" s="105">
        <f t="shared" ca="1" si="70"/>
        <v>0</v>
      </c>
      <c r="AB240" s="105">
        <f t="shared" ca="1" si="71"/>
        <v>0</v>
      </c>
      <c r="AC240" s="105"/>
      <c r="AD240" s="103"/>
      <c r="AE240" s="103"/>
      <c r="AF240" s="103"/>
      <c r="AG240" s="103"/>
      <c r="AH240" s="103"/>
      <c r="AI240" s="103"/>
      <c r="AJ240" s="103"/>
      <c r="AK240" s="103"/>
      <c r="AL240" s="103"/>
      <c r="AM240" s="103"/>
      <c r="AN240" s="103"/>
      <c r="AO240" s="103"/>
      <c r="AP240" s="103"/>
      <c r="AQ240" s="103"/>
      <c r="AR240" s="103"/>
      <c r="AS240" s="103"/>
      <c r="AT240" s="103"/>
      <c r="AU240" s="103"/>
      <c r="AV240" s="103"/>
    </row>
    <row r="241" spans="5:48">
      <c r="E241" s="105">
        <f t="shared" ca="1" si="48"/>
        <v>0</v>
      </c>
      <c r="F241" s="105">
        <f t="shared" ca="1" si="49"/>
        <v>0</v>
      </c>
      <c r="G241" s="105">
        <f t="shared" ca="1" si="50"/>
        <v>0</v>
      </c>
      <c r="H241" s="105">
        <f t="shared" ca="1" si="51"/>
        <v>0</v>
      </c>
      <c r="I241" s="105">
        <f t="shared" ca="1" si="52"/>
        <v>0</v>
      </c>
      <c r="J241" s="105">
        <f t="shared" ca="1" si="53"/>
        <v>0</v>
      </c>
      <c r="K241" s="105">
        <f t="shared" ca="1" si="54"/>
        <v>0</v>
      </c>
      <c r="L241" s="105">
        <f t="shared" ca="1" si="55"/>
        <v>0</v>
      </c>
      <c r="M241" s="105">
        <f t="shared" ca="1" si="56"/>
        <v>0</v>
      </c>
      <c r="N241" s="105">
        <f t="shared" ca="1" si="57"/>
        <v>0</v>
      </c>
      <c r="O241" s="105">
        <f t="shared" ca="1" si="58"/>
        <v>0</v>
      </c>
      <c r="P241" s="105">
        <f t="shared" ca="1" si="59"/>
        <v>0</v>
      </c>
      <c r="Q241" s="105">
        <f t="shared" ca="1" si="60"/>
        <v>0</v>
      </c>
      <c r="R241" s="105">
        <f t="shared" ca="1" si="61"/>
        <v>0</v>
      </c>
      <c r="S241" s="105">
        <f t="shared" ca="1" si="62"/>
        <v>0</v>
      </c>
      <c r="T241" s="105">
        <f t="shared" ca="1" si="63"/>
        <v>0</v>
      </c>
      <c r="U241" s="105">
        <f t="shared" ca="1" si="64"/>
        <v>0</v>
      </c>
      <c r="V241" s="105">
        <f t="shared" ca="1" si="65"/>
        <v>0</v>
      </c>
      <c r="W241" s="105">
        <f t="shared" ca="1" si="66"/>
        <v>0</v>
      </c>
      <c r="X241" s="105">
        <f t="shared" ca="1" si="67"/>
        <v>0</v>
      </c>
      <c r="Y241" s="105">
        <f t="shared" ca="1" si="68"/>
        <v>0</v>
      </c>
      <c r="Z241" s="105">
        <f t="shared" ca="1" si="69"/>
        <v>0</v>
      </c>
      <c r="AA241" s="105">
        <f t="shared" ca="1" si="70"/>
        <v>0</v>
      </c>
      <c r="AB241" s="105">
        <f t="shared" ca="1" si="71"/>
        <v>0</v>
      </c>
      <c r="AC241" s="105"/>
      <c r="AD241" s="103"/>
      <c r="AE241" s="103"/>
      <c r="AF241" s="103"/>
      <c r="AG241" s="103"/>
      <c r="AH241" s="103"/>
      <c r="AI241" s="103"/>
      <c r="AJ241" s="103"/>
      <c r="AK241" s="103"/>
      <c r="AL241" s="103"/>
      <c r="AM241" s="103"/>
      <c r="AN241" s="103"/>
      <c r="AO241" s="103"/>
      <c r="AP241" s="103"/>
      <c r="AQ241" s="103"/>
      <c r="AR241" s="103"/>
      <c r="AS241" s="103"/>
      <c r="AT241" s="103"/>
      <c r="AU241" s="103"/>
      <c r="AV241" s="103"/>
    </row>
    <row r="242" spans="5:48">
      <c r="E242" s="105">
        <f t="shared" ca="1" si="48"/>
        <v>0</v>
      </c>
      <c r="F242" s="105">
        <f t="shared" ca="1" si="49"/>
        <v>0</v>
      </c>
      <c r="G242" s="105">
        <f t="shared" ca="1" si="50"/>
        <v>0</v>
      </c>
      <c r="H242" s="105">
        <f t="shared" ca="1" si="51"/>
        <v>0</v>
      </c>
      <c r="I242" s="105">
        <f t="shared" ca="1" si="52"/>
        <v>0</v>
      </c>
      <c r="J242" s="105">
        <f t="shared" ca="1" si="53"/>
        <v>0</v>
      </c>
      <c r="K242" s="105">
        <f t="shared" ca="1" si="54"/>
        <v>0</v>
      </c>
      <c r="L242" s="105">
        <f t="shared" ca="1" si="55"/>
        <v>0</v>
      </c>
      <c r="M242" s="105">
        <f t="shared" ca="1" si="56"/>
        <v>0</v>
      </c>
      <c r="N242" s="105">
        <f t="shared" ca="1" si="57"/>
        <v>0</v>
      </c>
      <c r="O242" s="105">
        <f t="shared" ca="1" si="58"/>
        <v>0</v>
      </c>
      <c r="P242" s="105">
        <f t="shared" ca="1" si="59"/>
        <v>0</v>
      </c>
      <c r="Q242" s="105">
        <f t="shared" ca="1" si="60"/>
        <v>0</v>
      </c>
      <c r="R242" s="105">
        <f t="shared" ca="1" si="61"/>
        <v>0</v>
      </c>
      <c r="S242" s="105">
        <f t="shared" ca="1" si="62"/>
        <v>0</v>
      </c>
      <c r="T242" s="105">
        <f t="shared" ca="1" si="63"/>
        <v>0</v>
      </c>
      <c r="U242" s="105">
        <f t="shared" ca="1" si="64"/>
        <v>0</v>
      </c>
      <c r="V242" s="105">
        <f t="shared" ca="1" si="65"/>
        <v>0</v>
      </c>
      <c r="W242" s="105">
        <f t="shared" ca="1" si="66"/>
        <v>0</v>
      </c>
      <c r="X242" s="105">
        <f t="shared" ca="1" si="67"/>
        <v>0</v>
      </c>
      <c r="Y242" s="105">
        <f t="shared" ca="1" si="68"/>
        <v>0</v>
      </c>
      <c r="Z242" s="105">
        <f t="shared" ca="1" si="69"/>
        <v>0</v>
      </c>
      <c r="AA242" s="105">
        <f t="shared" ca="1" si="70"/>
        <v>0</v>
      </c>
      <c r="AB242" s="105">
        <f t="shared" ca="1" si="71"/>
        <v>0</v>
      </c>
      <c r="AC242" s="105"/>
      <c r="AD242" s="103"/>
      <c r="AE242" s="103"/>
      <c r="AF242" s="103"/>
      <c r="AG242" s="103"/>
      <c r="AH242" s="103"/>
      <c r="AI242" s="103"/>
      <c r="AJ242" s="103"/>
      <c r="AK242" s="103"/>
      <c r="AL242" s="103"/>
      <c r="AM242" s="103"/>
      <c r="AN242" s="103"/>
      <c r="AO242" s="103"/>
      <c r="AP242" s="103"/>
      <c r="AQ242" s="103"/>
      <c r="AR242" s="103"/>
      <c r="AS242" s="103"/>
      <c r="AT242" s="103"/>
      <c r="AU242" s="103"/>
      <c r="AV242" s="103"/>
    </row>
    <row r="243" spans="5:48">
      <c r="E243" s="105">
        <f t="shared" ca="1" si="48"/>
        <v>0</v>
      </c>
      <c r="F243" s="105">
        <f t="shared" ca="1" si="49"/>
        <v>0</v>
      </c>
      <c r="G243" s="105">
        <f t="shared" ca="1" si="50"/>
        <v>0</v>
      </c>
      <c r="H243" s="105">
        <f t="shared" ca="1" si="51"/>
        <v>0</v>
      </c>
      <c r="I243" s="105">
        <f t="shared" ca="1" si="52"/>
        <v>0</v>
      </c>
      <c r="J243" s="105">
        <f t="shared" ca="1" si="53"/>
        <v>0</v>
      </c>
      <c r="K243" s="105">
        <f t="shared" ca="1" si="54"/>
        <v>0</v>
      </c>
      <c r="L243" s="105">
        <f t="shared" ca="1" si="55"/>
        <v>0</v>
      </c>
      <c r="M243" s="105">
        <f t="shared" ca="1" si="56"/>
        <v>0</v>
      </c>
      <c r="N243" s="105">
        <f t="shared" ca="1" si="57"/>
        <v>0</v>
      </c>
      <c r="O243" s="105">
        <f t="shared" ca="1" si="58"/>
        <v>0</v>
      </c>
      <c r="P243" s="105">
        <f t="shared" ca="1" si="59"/>
        <v>0</v>
      </c>
      <c r="Q243" s="105">
        <f t="shared" ca="1" si="60"/>
        <v>0</v>
      </c>
      <c r="R243" s="105">
        <f t="shared" ca="1" si="61"/>
        <v>0</v>
      </c>
      <c r="S243" s="105">
        <f t="shared" ca="1" si="62"/>
        <v>0</v>
      </c>
      <c r="T243" s="105">
        <f t="shared" ca="1" si="63"/>
        <v>0</v>
      </c>
      <c r="U243" s="105">
        <f t="shared" ca="1" si="64"/>
        <v>0</v>
      </c>
      <c r="V243" s="105">
        <f t="shared" ca="1" si="65"/>
        <v>0</v>
      </c>
      <c r="W243" s="105">
        <f t="shared" ca="1" si="66"/>
        <v>0</v>
      </c>
      <c r="X243" s="105">
        <f t="shared" ca="1" si="67"/>
        <v>0</v>
      </c>
      <c r="Y243" s="105">
        <f t="shared" ca="1" si="68"/>
        <v>0</v>
      </c>
      <c r="Z243" s="105">
        <f t="shared" ca="1" si="69"/>
        <v>0</v>
      </c>
      <c r="AA243" s="105">
        <f t="shared" ca="1" si="70"/>
        <v>0</v>
      </c>
      <c r="AB243" s="105">
        <f t="shared" ca="1" si="71"/>
        <v>0</v>
      </c>
      <c r="AC243" s="105"/>
      <c r="AD243" s="103"/>
      <c r="AE243" s="103"/>
      <c r="AF243" s="103"/>
      <c r="AG243" s="103"/>
      <c r="AH243" s="103"/>
      <c r="AI243" s="103"/>
      <c r="AJ243" s="103"/>
      <c r="AK243" s="103"/>
      <c r="AL243" s="103"/>
      <c r="AM243" s="103"/>
      <c r="AN243" s="103"/>
      <c r="AO243" s="103"/>
      <c r="AP243" s="103"/>
      <c r="AQ243" s="103"/>
      <c r="AR243" s="103"/>
      <c r="AS243" s="103"/>
      <c r="AT243" s="103"/>
      <c r="AU243" s="103"/>
      <c r="AV243" s="103"/>
    </row>
    <row r="244" spans="5:48">
      <c r="E244" s="105">
        <f t="shared" ca="1" si="48"/>
        <v>0</v>
      </c>
      <c r="F244" s="105">
        <f t="shared" ca="1" si="49"/>
        <v>0</v>
      </c>
      <c r="G244" s="105">
        <f t="shared" ca="1" si="50"/>
        <v>0</v>
      </c>
      <c r="H244" s="105">
        <f t="shared" ca="1" si="51"/>
        <v>0</v>
      </c>
      <c r="I244" s="105">
        <f t="shared" ca="1" si="52"/>
        <v>0</v>
      </c>
      <c r="J244" s="105">
        <f t="shared" ca="1" si="53"/>
        <v>0</v>
      </c>
      <c r="K244" s="105">
        <f t="shared" ca="1" si="54"/>
        <v>0</v>
      </c>
      <c r="L244" s="105">
        <f t="shared" ca="1" si="55"/>
        <v>0</v>
      </c>
      <c r="M244" s="105">
        <f t="shared" ca="1" si="56"/>
        <v>0</v>
      </c>
      <c r="N244" s="105">
        <f t="shared" ca="1" si="57"/>
        <v>0</v>
      </c>
      <c r="O244" s="105">
        <f t="shared" ca="1" si="58"/>
        <v>0</v>
      </c>
      <c r="P244" s="105">
        <f t="shared" ca="1" si="59"/>
        <v>0</v>
      </c>
      <c r="Q244" s="105">
        <f t="shared" ca="1" si="60"/>
        <v>0</v>
      </c>
      <c r="R244" s="105">
        <f t="shared" ca="1" si="61"/>
        <v>0</v>
      </c>
      <c r="S244" s="105">
        <f t="shared" ca="1" si="62"/>
        <v>0</v>
      </c>
      <c r="T244" s="105">
        <f t="shared" ca="1" si="63"/>
        <v>0</v>
      </c>
      <c r="U244" s="105">
        <f t="shared" ca="1" si="64"/>
        <v>0</v>
      </c>
      <c r="V244" s="105">
        <f t="shared" ca="1" si="65"/>
        <v>0</v>
      </c>
      <c r="W244" s="105">
        <f t="shared" ca="1" si="66"/>
        <v>0</v>
      </c>
      <c r="X244" s="105">
        <f t="shared" ca="1" si="67"/>
        <v>0</v>
      </c>
      <c r="Y244" s="105">
        <f t="shared" ca="1" si="68"/>
        <v>0</v>
      </c>
      <c r="Z244" s="105">
        <f t="shared" ca="1" si="69"/>
        <v>0</v>
      </c>
      <c r="AA244" s="105">
        <f t="shared" ca="1" si="70"/>
        <v>0</v>
      </c>
      <c r="AB244" s="105">
        <f t="shared" ca="1" si="71"/>
        <v>0</v>
      </c>
      <c r="AC244" s="105"/>
      <c r="AD244" s="103"/>
      <c r="AE244" s="103"/>
      <c r="AF244" s="103"/>
      <c r="AG244" s="103"/>
      <c r="AH244" s="103"/>
      <c r="AI244" s="103"/>
      <c r="AJ244" s="103"/>
      <c r="AK244" s="103"/>
      <c r="AL244" s="103"/>
      <c r="AM244" s="103"/>
      <c r="AN244" s="103"/>
      <c r="AO244" s="103"/>
      <c r="AP244" s="103"/>
      <c r="AQ244" s="103"/>
      <c r="AR244" s="103"/>
      <c r="AS244" s="103"/>
      <c r="AT244" s="103"/>
      <c r="AU244" s="103"/>
      <c r="AV244" s="103"/>
    </row>
    <row r="245" spans="5:48">
      <c r="E245" s="105">
        <f t="shared" ca="1" si="48"/>
        <v>0</v>
      </c>
      <c r="F245" s="105">
        <f t="shared" ca="1" si="49"/>
        <v>0</v>
      </c>
      <c r="G245" s="105">
        <f t="shared" ca="1" si="50"/>
        <v>0</v>
      </c>
      <c r="H245" s="105">
        <f t="shared" ca="1" si="51"/>
        <v>0</v>
      </c>
      <c r="I245" s="105">
        <f t="shared" ca="1" si="52"/>
        <v>0</v>
      </c>
      <c r="J245" s="105">
        <f t="shared" ca="1" si="53"/>
        <v>0</v>
      </c>
      <c r="K245" s="105">
        <f t="shared" ca="1" si="54"/>
        <v>0</v>
      </c>
      <c r="L245" s="105">
        <f t="shared" ca="1" si="55"/>
        <v>0</v>
      </c>
      <c r="M245" s="105">
        <f t="shared" ca="1" si="56"/>
        <v>0</v>
      </c>
      <c r="N245" s="105">
        <f t="shared" ca="1" si="57"/>
        <v>0</v>
      </c>
      <c r="O245" s="105">
        <f t="shared" ca="1" si="58"/>
        <v>1</v>
      </c>
      <c r="P245" s="105">
        <f t="shared" ca="1" si="59"/>
        <v>1</v>
      </c>
      <c r="Q245" s="105">
        <f t="shared" ca="1" si="60"/>
        <v>1</v>
      </c>
      <c r="R245" s="105">
        <f t="shared" ca="1" si="61"/>
        <v>1</v>
      </c>
      <c r="S245" s="105">
        <f t="shared" ca="1" si="62"/>
        <v>1</v>
      </c>
      <c r="T245" s="105">
        <f t="shared" ca="1" si="63"/>
        <v>1</v>
      </c>
      <c r="U245" s="105">
        <f t="shared" ca="1" si="64"/>
        <v>1</v>
      </c>
      <c r="V245" s="105">
        <f t="shared" ca="1" si="65"/>
        <v>1</v>
      </c>
      <c r="W245" s="105">
        <f t="shared" ca="1" si="66"/>
        <v>1</v>
      </c>
      <c r="X245" s="105">
        <f t="shared" ca="1" si="67"/>
        <v>1</v>
      </c>
      <c r="Y245" s="105">
        <f t="shared" ca="1" si="68"/>
        <v>1</v>
      </c>
      <c r="Z245" s="105">
        <f t="shared" ca="1" si="69"/>
        <v>1</v>
      </c>
      <c r="AA245" s="105">
        <f t="shared" ca="1" si="70"/>
        <v>0</v>
      </c>
      <c r="AB245" s="105">
        <f t="shared" ca="1" si="71"/>
        <v>0</v>
      </c>
      <c r="AC245" s="105"/>
      <c r="AD245" s="103"/>
      <c r="AE245" s="103"/>
      <c r="AF245" s="103"/>
      <c r="AG245" s="103"/>
      <c r="AH245" s="103"/>
      <c r="AI245" s="103"/>
      <c r="AJ245" s="103"/>
      <c r="AK245" s="103"/>
      <c r="AL245" s="103"/>
      <c r="AM245" s="103"/>
      <c r="AN245" s="103"/>
      <c r="AO245" s="103"/>
      <c r="AP245" s="103"/>
      <c r="AQ245" s="103"/>
      <c r="AR245" s="103"/>
      <c r="AS245" s="103"/>
      <c r="AT245" s="103"/>
      <c r="AU245" s="103"/>
      <c r="AV245" s="103"/>
    </row>
    <row r="246" spans="5:48">
      <c r="E246" s="105">
        <f t="shared" ca="1" si="48"/>
        <v>0</v>
      </c>
      <c r="F246" s="105">
        <f t="shared" ca="1" si="49"/>
        <v>0</v>
      </c>
      <c r="G246" s="105">
        <f t="shared" ca="1" si="50"/>
        <v>0</v>
      </c>
      <c r="H246" s="105">
        <f t="shared" ca="1" si="51"/>
        <v>0</v>
      </c>
      <c r="I246" s="105">
        <f t="shared" ca="1" si="52"/>
        <v>0</v>
      </c>
      <c r="J246" s="105">
        <f t="shared" ca="1" si="53"/>
        <v>0</v>
      </c>
      <c r="K246" s="105">
        <f t="shared" ca="1" si="54"/>
        <v>0</v>
      </c>
      <c r="L246" s="105">
        <f t="shared" ca="1" si="55"/>
        <v>0</v>
      </c>
      <c r="M246" s="105">
        <f t="shared" ca="1" si="56"/>
        <v>0</v>
      </c>
      <c r="N246" s="105">
        <f t="shared" ca="1" si="57"/>
        <v>0</v>
      </c>
      <c r="O246" s="105">
        <f t="shared" ca="1" si="58"/>
        <v>0</v>
      </c>
      <c r="P246" s="105">
        <f t="shared" ca="1" si="59"/>
        <v>0</v>
      </c>
      <c r="Q246" s="105">
        <f t="shared" ca="1" si="60"/>
        <v>0</v>
      </c>
      <c r="R246" s="105">
        <f t="shared" ca="1" si="61"/>
        <v>0</v>
      </c>
      <c r="S246" s="105">
        <f t="shared" ca="1" si="62"/>
        <v>0</v>
      </c>
      <c r="T246" s="105">
        <f t="shared" ca="1" si="63"/>
        <v>0</v>
      </c>
      <c r="U246" s="105">
        <f t="shared" ca="1" si="64"/>
        <v>0</v>
      </c>
      <c r="V246" s="105">
        <f t="shared" ca="1" si="65"/>
        <v>0</v>
      </c>
      <c r="W246" s="105">
        <f t="shared" ca="1" si="66"/>
        <v>0</v>
      </c>
      <c r="X246" s="105">
        <f t="shared" ca="1" si="67"/>
        <v>0</v>
      </c>
      <c r="Y246" s="105">
        <f t="shared" ca="1" si="68"/>
        <v>0</v>
      </c>
      <c r="Z246" s="105">
        <f t="shared" ca="1" si="69"/>
        <v>0</v>
      </c>
      <c r="AA246" s="105">
        <f t="shared" ca="1" si="70"/>
        <v>0</v>
      </c>
      <c r="AB246" s="105">
        <f t="shared" ca="1" si="71"/>
        <v>0</v>
      </c>
      <c r="AC246" s="105"/>
      <c r="AD246" s="103"/>
      <c r="AE246" s="103"/>
      <c r="AF246" s="103"/>
      <c r="AG246" s="103"/>
      <c r="AH246" s="103"/>
      <c r="AI246" s="103"/>
      <c r="AJ246" s="103"/>
      <c r="AK246" s="103"/>
      <c r="AL246" s="103"/>
      <c r="AM246" s="103"/>
      <c r="AN246" s="103"/>
      <c r="AO246" s="103"/>
      <c r="AP246" s="103"/>
      <c r="AQ246" s="103"/>
      <c r="AR246" s="103"/>
      <c r="AS246" s="103"/>
      <c r="AT246" s="103"/>
      <c r="AU246" s="103"/>
      <c r="AV246" s="103"/>
    </row>
    <row r="247" spans="5:48">
      <c r="E247" s="105">
        <f t="shared" ca="1" si="48"/>
        <v>0</v>
      </c>
      <c r="F247" s="105">
        <f t="shared" ca="1" si="49"/>
        <v>0</v>
      </c>
      <c r="G247" s="105">
        <f t="shared" ca="1" si="50"/>
        <v>0</v>
      </c>
      <c r="H247" s="105">
        <f t="shared" ca="1" si="51"/>
        <v>0</v>
      </c>
      <c r="I247" s="105">
        <f t="shared" ca="1" si="52"/>
        <v>0</v>
      </c>
      <c r="J247" s="105">
        <f t="shared" ca="1" si="53"/>
        <v>0</v>
      </c>
      <c r="K247" s="105">
        <f t="shared" ca="1" si="54"/>
        <v>0</v>
      </c>
      <c r="L247" s="105">
        <f t="shared" ca="1" si="55"/>
        <v>0</v>
      </c>
      <c r="M247" s="105">
        <f t="shared" ca="1" si="56"/>
        <v>0</v>
      </c>
      <c r="N247" s="105">
        <f t="shared" ca="1" si="57"/>
        <v>0</v>
      </c>
      <c r="O247" s="105">
        <f t="shared" ca="1" si="58"/>
        <v>0</v>
      </c>
      <c r="P247" s="105">
        <f t="shared" ca="1" si="59"/>
        <v>0</v>
      </c>
      <c r="Q247" s="105">
        <f t="shared" ca="1" si="60"/>
        <v>0</v>
      </c>
      <c r="R247" s="105">
        <f t="shared" ca="1" si="61"/>
        <v>0</v>
      </c>
      <c r="S247" s="105">
        <f t="shared" ca="1" si="62"/>
        <v>0</v>
      </c>
      <c r="T247" s="105">
        <f t="shared" ca="1" si="63"/>
        <v>0</v>
      </c>
      <c r="U247" s="105">
        <f t="shared" ca="1" si="64"/>
        <v>0</v>
      </c>
      <c r="V247" s="105">
        <f t="shared" ca="1" si="65"/>
        <v>0</v>
      </c>
      <c r="W247" s="105">
        <f t="shared" ca="1" si="66"/>
        <v>0</v>
      </c>
      <c r="X247" s="105">
        <f t="shared" ca="1" si="67"/>
        <v>0</v>
      </c>
      <c r="Y247" s="105">
        <f t="shared" ca="1" si="68"/>
        <v>0</v>
      </c>
      <c r="Z247" s="105">
        <f t="shared" ca="1" si="69"/>
        <v>0</v>
      </c>
      <c r="AA247" s="105">
        <f t="shared" ca="1" si="70"/>
        <v>0</v>
      </c>
      <c r="AB247" s="105">
        <f t="shared" ca="1" si="71"/>
        <v>0</v>
      </c>
      <c r="AC247" s="105"/>
      <c r="AD247" s="103"/>
      <c r="AE247" s="103"/>
      <c r="AF247" s="103"/>
      <c r="AG247" s="103"/>
      <c r="AH247" s="103"/>
      <c r="AI247" s="103"/>
      <c r="AJ247" s="103"/>
      <c r="AK247" s="103"/>
      <c r="AL247" s="103"/>
      <c r="AM247" s="103"/>
      <c r="AN247" s="103"/>
      <c r="AO247" s="103"/>
      <c r="AP247" s="103"/>
      <c r="AQ247" s="103"/>
      <c r="AR247" s="103"/>
      <c r="AS247" s="103"/>
      <c r="AT247" s="103"/>
      <c r="AU247" s="103"/>
      <c r="AV247" s="103"/>
    </row>
    <row r="248" spans="5:48">
      <c r="E248" s="105">
        <f t="shared" ca="1" si="48"/>
        <v>0</v>
      </c>
      <c r="F248" s="105">
        <f t="shared" ca="1" si="49"/>
        <v>0</v>
      </c>
      <c r="G248" s="105">
        <f t="shared" ca="1" si="50"/>
        <v>0</v>
      </c>
      <c r="H248" s="105">
        <f t="shared" ca="1" si="51"/>
        <v>0</v>
      </c>
      <c r="I248" s="105">
        <f t="shared" ca="1" si="52"/>
        <v>0</v>
      </c>
      <c r="J248" s="105">
        <f t="shared" ca="1" si="53"/>
        <v>0</v>
      </c>
      <c r="K248" s="105">
        <f t="shared" ca="1" si="54"/>
        <v>0</v>
      </c>
      <c r="L248" s="105">
        <f t="shared" ca="1" si="55"/>
        <v>0</v>
      </c>
      <c r="M248" s="105">
        <f t="shared" ca="1" si="56"/>
        <v>0</v>
      </c>
      <c r="N248" s="105">
        <f t="shared" ca="1" si="57"/>
        <v>0</v>
      </c>
      <c r="O248" s="105">
        <f t="shared" ca="1" si="58"/>
        <v>0</v>
      </c>
      <c r="P248" s="105">
        <f t="shared" ca="1" si="59"/>
        <v>0</v>
      </c>
      <c r="Q248" s="105">
        <f t="shared" ca="1" si="60"/>
        <v>0</v>
      </c>
      <c r="R248" s="105">
        <f t="shared" ca="1" si="61"/>
        <v>0</v>
      </c>
      <c r="S248" s="105">
        <f t="shared" ca="1" si="62"/>
        <v>0</v>
      </c>
      <c r="T248" s="105">
        <f t="shared" ca="1" si="63"/>
        <v>0</v>
      </c>
      <c r="U248" s="105">
        <f t="shared" ca="1" si="64"/>
        <v>0</v>
      </c>
      <c r="V248" s="105">
        <f t="shared" ca="1" si="65"/>
        <v>0</v>
      </c>
      <c r="W248" s="105">
        <f t="shared" ca="1" si="66"/>
        <v>0</v>
      </c>
      <c r="X248" s="105">
        <f t="shared" ca="1" si="67"/>
        <v>0</v>
      </c>
      <c r="Y248" s="105">
        <f t="shared" ca="1" si="68"/>
        <v>0</v>
      </c>
      <c r="Z248" s="105">
        <f t="shared" ca="1" si="69"/>
        <v>0</v>
      </c>
      <c r="AA248" s="105">
        <f t="shared" ca="1" si="70"/>
        <v>0</v>
      </c>
      <c r="AB248" s="105">
        <f t="shared" ca="1" si="71"/>
        <v>0</v>
      </c>
      <c r="AC248" s="105"/>
      <c r="AD248" s="103"/>
      <c r="AE248" s="103"/>
      <c r="AF248" s="103"/>
      <c r="AG248" s="103"/>
      <c r="AH248" s="103"/>
      <c r="AI248" s="103"/>
      <c r="AJ248" s="103"/>
      <c r="AK248" s="103"/>
      <c r="AL248" s="103"/>
      <c r="AM248" s="103"/>
      <c r="AN248" s="103"/>
      <c r="AO248" s="103"/>
      <c r="AP248" s="103"/>
      <c r="AQ248" s="103"/>
      <c r="AR248" s="103"/>
      <c r="AS248" s="103"/>
      <c r="AT248" s="103"/>
      <c r="AU248" s="103"/>
      <c r="AV248" s="103"/>
    </row>
    <row r="249" spans="5:48">
      <c r="E249" s="105">
        <f t="shared" ca="1" si="48"/>
        <v>0</v>
      </c>
      <c r="F249" s="105">
        <f t="shared" ca="1" si="49"/>
        <v>0</v>
      </c>
      <c r="G249" s="105">
        <f t="shared" ca="1" si="50"/>
        <v>0</v>
      </c>
      <c r="H249" s="105">
        <f t="shared" ca="1" si="51"/>
        <v>0</v>
      </c>
      <c r="I249" s="105">
        <f t="shared" ca="1" si="52"/>
        <v>0</v>
      </c>
      <c r="J249" s="105">
        <f t="shared" ca="1" si="53"/>
        <v>0</v>
      </c>
      <c r="K249" s="105">
        <f t="shared" ca="1" si="54"/>
        <v>0</v>
      </c>
      <c r="L249" s="105">
        <f t="shared" ca="1" si="55"/>
        <v>0</v>
      </c>
      <c r="M249" s="105">
        <f t="shared" ca="1" si="56"/>
        <v>0</v>
      </c>
      <c r="N249" s="105">
        <f t="shared" ca="1" si="57"/>
        <v>0</v>
      </c>
      <c r="O249" s="105">
        <f t="shared" ca="1" si="58"/>
        <v>0</v>
      </c>
      <c r="P249" s="105">
        <f t="shared" ca="1" si="59"/>
        <v>0</v>
      </c>
      <c r="Q249" s="105">
        <f t="shared" ca="1" si="60"/>
        <v>0</v>
      </c>
      <c r="R249" s="105">
        <f t="shared" ca="1" si="61"/>
        <v>0</v>
      </c>
      <c r="S249" s="105">
        <f t="shared" ca="1" si="62"/>
        <v>0</v>
      </c>
      <c r="T249" s="105">
        <f t="shared" ca="1" si="63"/>
        <v>0</v>
      </c>
      <c r="U249" s="105">
        <f t="shared" ca="1" si="64"/>
        <v>0</v>
      </c>
      <c r="V249" s="105">
        <f t="shared" ca="1" si="65"/>
        <v>0</v>
      </c>
      <c r="W249" s="105">
        <f t="shared" ca="1" si="66"/>
        <v>0</v>
      </c>
      <c r="X249" s="105">
        <f t="shared" ca="1" si="67"/>
        <v>0</v>
      </c>
      <c r="Y249" s="105">
        <f t="shared" ca="1" si="68"/>
        <v>0</v>
      </c>
      <c r="Z249" s="105">
        <f t="shared" ca="1" si="69"/>
        <v>0</v>
      </c>
      <c r="AA249" s="105">
        <f t="shared" ca="1" si="70"/>
        <v>0</v>
      </c>
      <c r="AB249" s="105">
        <f t="shared" ca="1" si="71"/>
        <v>0</v>
      </c>
      <c r="AC249" s="105"/>
      <c r="AD249" s="103"/>
      <c r="AE249" s="103"/>
      <c r="AF249" s="103"/>
      <c r="AG249" s="103"/>
      <c r="AH249" s="103"/>
      <c r="AI249" s="103"/>
      <c r="AJ249" s="103"/>
      <c r="AK249" s="103"/>
      <c r="AL249" s="103"/>
      <c r="AM249" s="103"/>
      <c r="AN249" s="103"/>
      <c r="AO249" s="103"/>
      <c r="AP249" s="103"/>
      <c r="AQ249" s="103"/>
      <c r="AR249" s="103"/>
      <c r="AS249" s="103"/>
      <c r="AT249" s="103"/>
      <c r="AU249" s="103"/>
      <c r="AV249" s="103"/>
    </row>
    <row r="250" spans="5:48">
      <c r="E250" s="105">
        <f t="shared" ca="1" si="48"/>
        <v>0</v>
      </c>
      <c r="F250" s="105">
        <f t="shared" ca="1" si="49"/>
        <v>0</v>
      </c>
      <c r="G250" s="105">
        <f t="shared" ca="1" si="50"/>
        <v>0</v>
      </c>
      <c r="H250" s="105">
        <f t="shared" ca="1" si="51"/>
        <v>0</v>
      </c>
      <c r="I250" s="105">
        <f t="shared" ca="1" si="52"/>
        <v>0</v>
      </c>
      <c r="J250" s="105">
        <f t="shared" ca="1" si="53"/>
        <v>0</v>
      </c>
      <c r="K250" s="105">
        <f t="shared" ca="1" si="54"/>
        <v>0</v>
      </c>
      <c r="L250" s="105">
        <f t="shared" ca="1" si="55"/>
        <v>0</v>
      </c>
      <c r="M250" s="105">
        <f t="shared" ca="1" si="56"/>
        <v>0</v>
      </c>
      <c r="N250" s="105">
        <f t="shared" ca="1" si="57"/>
        <v>0</v>
      </c>
      <c r="O250" s="105">
        <f t="shared" ca="1" si="58"/>
        <v>0</v>
      </c>
      <c r="P250" s="105">
        <f t="shared" ca="1" si="59"/>
        <v>0</v>
      </c>
      <c r="Q250" s="105">
        <f t="shared" ca="1" si="60"/>
        <v>0</v>
      </c>
      <c r="R250" s="105">
        <f t="shared" ca="1" si="61"/>
        <v>0</v>
      </c>
      <c r="S250" s="105">
        <f t="shared" ca="1" si="62"/>
        <v>0</v>
      </c>
      <c r="T250" s="105">
        <f t="shared" ca="1" si="63"/>
        <v>0</v>
      </c>
      <c r="U250" s="105">
        <f t="shared" ca="1" si="64"/>
        <v>0</v>
      </c>
      <c r="V250" s="105">
        <f t="shared" ca="1" si="65"/>
        <v>0</v>
      </c>
      <c r="W250" s="105">
        <f t="shared" ca="1" si="66"/>
        <v>0</v>
      </c>
      <c r="X250" s="105">
        <f t="shared" ca="1" si="67"/>
        <v>0</v>
      </c>
      <c r="Y250" s="105">
        <f t="shared" ca="1" si="68"/>
        <v>0</v>
      </c>
      <c r="Z250" s="105">
        <f t="shared" ca="1" si="69"/>
        <v>0</v>
      </c>
      <c r="AA250" s="105">
        <f t="shared" ca="1" si="70"/>
        <v>0</v>
      </c>
      <c r="AB250" s="105">
        <f t="shared" ca="1" si="71"/>
        <v>0</v>
      </c>
      <c r="AC250" s="105"/>
      <c r="AD250" s="103"/>
      <c r="AE250" s="103"/>
      <c r="AF250" s="103"/>
      <c r="AG250" s="103"/>
      <c r="AH250" s="103"/>
      <c r="AI250" s="103"/>
      <c r="AJ250" s="103"/>
      <c r="AK250" s="103"/>
      <c r="AL250" s="103"/>
      <c r="AM250" s="103"/>
      <c r="AN250" s="103"/>
      <c r="AO250" s="103"/>
      <c r="AP250" s="103"/>
      <c r="AQ250" s="103"/>
      <c r="AR250" s="103"/>
      <c r="AS250" s="103"/>
      <c r="AT250" s="103"/>
      <c r="AU250" s="103"/>
      <c r="AV250" s="103"/>
    </row>
    <row r="251" spans="5:48">
      <c r="E251" s="105">
        <f t="shared" ca="1" si="48"/>
        <v>0</v>
      </c>
      <c r="F251" s="105">
        <f t="shared" ca="1" si="49"/>
        <v>0</v>
      </c>
      <c r="G251" s="105">
        <f t="shared" ca="1" si="50"/>
        <v>0</v>
      </c>
      <c r="H251" s="105">
        <f t="shared" ca="1" si="51"/>
        <v>0</v>
      </c>
      <c r="I251" s="105">
        <f t="shared" ca="1" si="52"/>
        <v>0</v>
      </c>
      <c r="J251" s="105">
        <f t="shared" ca="1" si="53"/>
        <v>0</v>
      </c>
      <c r="K251" s="105">
        <f t="shared" ca="1" si="54"/>
        <v>0</v>
      </c>
      <c r="L251" s="105">
        <f t="shared" ca="1" si="55"/>
        <v>0</v>
      </c>
      <c r="M251" s="105">
        <f t="shared" ca="1" si="56"/>
        <v>0</v>
      </c>
      <c r="N251" s="105">
        <f t="shared" ca="1" si="57"/>
        <v>0</v>
      </c>
      <c r="O251" s="105">
        <f t="shared" ca="1" si="58"/>
        <v>0</v>
      </c>
      <c r="P251" s="105">
        <f t="shared" ca="1" si="59"/>
        <v>0</v>
      </c>
      <c r="Q251" s="105">
        <f t="shared" ca="1" si="60"/>
        <v>0</v>
      </c>
      <c r="R251" s="105">
        <f t="shared" ca="1" si="61"/>
        <v>0</v>
      </c>
      <c r="S251" s="105">
        <f t="shared" ca="1" si="62"/>
        <v>0</v>
      </c>
      <c r="T251" s="105">
        <f t="shared" ca="1" si="63"/>
        <v>0</v>
      </c>
      <c r="U251" s="105">
        <f t="shared" ca="1" si="64"/>
        <v>0</v>
      </c>
      <c r="V251" s="105">
        <f t="shared" ca="1" si="65"/>
        <v>0</v>
      </c>
      <c r="W251" s="105">
        <f t="shared" ca="1" si="66"/>
        <v>0</v>
      </c>
      <c r="X251" s="105">
        <f t="shared" ca="1" si="67"/>
        <v>0</v>
      </c>
      <c r="Y251" s="105">
        <f t="shared" ca="1" si="68"/>
        <v>0</v>
      </c>
      <c r="Z251" s="105">
        <f t="shared" ca="1" si="69"/>
        <v>0</v>
      </c>
      <c r="AA251" s="105">
        <f t="shared" ca="1" si="70"/>
        <v>0</v>
      </c>
      <c r="AB251" s="105">
        <f t="shared" ca="1" si="71"/>
        <v>0</v>
      </c>
      <c r="AC251" s="105"/>
      <c r="AD251" s="103"/>
      <c r="AE251" s="103"/>
      <c r="AF251" s="103"/>
      <c r="AG251" s="103"/>
      <c r="AH251" s="103"/>
      <c r="AI251" s="103"/>
      <c r="AJ251" s="103"/>
      <c r="AK251" s="103"/>
      <c r="AL251" s="103"/>
      <c r="AM251" s="103"/>
      <c r="AN251" s="103"/>
      <c r="AO251" s="103"/>
      <c r="AP251" s="103"/>
      <c r="AQ251" s="103"/>
      <c r="AR251" s="103"/>
      <c r="AS251" s="103"/>
      <c r="AT251" s="103"/>
      <c r="AU251" s="103"/>
      <c r="AV251" s="103"/>
    </row>
    <row r="252" spans="5:48">
      <c r="E252" s="105">
        <f t="shared" ca="1" si="48"/>
        <v>0</v>
      </c>
      <c r="F252" s="105">
        <f t="shared" ca="1" si="49"/>
        <v>0</v>
      </c>
      <c r="G252" s="105">
        <f t="shared" ca="1" si="50"/>
        <v>0</v>
      </c>
      <c r="H252" s="105">
        <f t="shared" ca="1" si="51"/>
        <v>0</v>
      </c>
      <c r="I252" s="105">
        <f t="shared" ca="1" si="52"/>
        <v>0</v>
      </c>
      <c r="J252" s="105">
        <f t="shared" ca="1" si="53"/>
        <v>0</v>
      </c>
      <c r="K252" s="105">
        <f t="shared" ca="1" si="54"/>
        <v>0</v>
      </c>
      <c r="L252" s="105">
        <f t="shared" ca="1" si="55"/>
        <v>0</v>
      </c>
      <c r="M252" s="105">
        <f t="shared" ca="1" si="56"/>
        <v>0</v>
      </c>
      <c r="N252" s="105">
        <f t="shared" ca="1" si="57"/>
        <v>0</v>
      </c>
      <c r="O252" s="105">
        <f t="shared" ca="1" si="58"/>
        <v>0</v>
      </c>
      <c r="P252" s="105">
        <f t="shared" ca="1" si="59"/>
        <v>0</v>
      </c>
      <c r="Q252" s="105">
        <f t="shared" ca="1" si="60"/>
        <v>0</v>
      </c>
      <c r="R252" s="105">
        <f t="shared" ca="1" si="61"/>
        <v>0</v>
      </c>
      <c r="S252" s="105">
        <f t="shared" ca="1" si="62"/>
        <v>0</v>
      </c>
      <c r="T252" s="105">
        <f t="shared" ca="1" si="63"/>
        <v>0</v>
      </c>
      <c r="U252" s="105">
        <f t="shared" ca="1" si="64"/>
        <v>0</v>
      </c>
      <c r="V252" s="105">
        <f t="shared" ca="1" si="65"/>
        <v>0</v>
      </c>
      <c r="W252" s="105">
        <f t="shared" ca="1" si="66"/>
        <v>0</v>
      </c>
      <c r="X252" s="105">
        <f t="shared" ca="1" si="67"/>
        <v>0</v>
      </c>
      <c r="Y252" s="105">
        <f t="shared" ca="1" si="68"/>
        <v>0</v>
      </c>
      <c r="Z252" s="105">
        <f t="shared" ca="1" si="69"/>
        <v>0</v>
      </c>
      <c r="AA252" s="105">
        <f t="shared" ca="1" si="70"/>
        <v>0</v>
      </c>
      <c r="AB252" s="105">
        <f t="shared" ca="1" si="71"/>
        <v>0</v>
      </c>
      <c r="AC252" s="105"/>
      <c r="AD252" s="103"/>
      <c r="AE252" s="103"/>
      <c r="AF252" s="103"/>
      <c r="AG252" s="103"/>
      <c r="AH252" s="103"/>
      <c r="AI252" s="103"/>
      <c r="AJ252" s="103"/>
      <c r="AK252" s="103"/>
      <c r="AL252" s="103"/>
      <c r="AM252" s="103"/>
      <c r="AN252" s="103"/>
      <c r="AO252" s="103"/>
      <c r="AP252" s="103"/>
      <c r="AQ252" s="103"/>
      <c r="AR252" s="103"/>
      <c r="AS252" s="103"/>
      <c r="AT252" s="103"/>
      <c r="AU252" s="103"/>
      <c r="AV252" s="103"/>
    </row>
    <row r="253" spans="5:48">
      <c r="E253" s="105">
        <f t="shared" ca="1" si="48"/>
        <v>0</v>
      </c>
      <c r="F253" s="105">
        <f t="shared" ca="1" si="49"/>
        <v>0</v>
      </c>
      <c r="G253" s="105">
        <f t="shared" ca="1" si="50"/>
        <v>0</v>
      </c>
      <c r="H253" s="105">
        <f t="shared" ca="1" si="51"/>
        <v>0</v>
      </c>
      <c r="I253" s="105">
        <f t="shared" ca="1" si="52"/>
        <v>0</v>
      </c>
      <c r="J253" s="105">
        <f t="shared" ca="1" si="53"/>
        <v>0</v>
      </c>
      <c r="K253" s="105">
        <f t="shared" ca="1" si="54"/>
        <v>0</v>
      </c>
      <c r="L253" s="105">
        <f t="shared" ca="1" si="55"/>
        <v>0</v>
      </c>
      <c r="M253" s="105">
        <f t="shared" ca="1" si="56"/>
        <v>0</v>
      </c>
      <c r="N253" s="105">
        <f t="shared" ca="1" si="57"/>
        <v>0</v>
      </c>
      <c r="O253" s="105">
        <f t="shared" ca="1" si="58"/>
        <v>0</v>
      </c>
      <c r="P253" s="105">
        <f t="shared" ca="1" si="59"/>
        <v>0</v>
      </c>
      <c r="Q253" s="105">
        <f t="shared" ca="1" si="60"/>
        <v>0</v>
      </c>
      <c r="R253" s="105">
        <f t="shared" ca="1" si="61"/>
        <v>0</v>
      </c>
      <c r="S253" s="105">
        <f t="shared" ca="1" si="62"/>
        <v>0</v>
      </c>
      <c r="T253" s="105">
        <f t="shared" ca="1" si="63"/>
        <v>0</v>
      </c>
      <c r="U253" s="105">
        <f t="shared" ca="1" si="64"/>
        <v>0</v>
      </c>
      <c r="V253" s="105">
        <f t="shared" ca="1" si="65"/>
        <v>0</v>
      </c>
      <c r="W253" s="105">
        <f t="shared" ca="1" si="66"/>
        <v>0</v>
      </c>
      <c r="X253" s="105">
        <f t="shared" ca="1" si="67"/>
        <v>0</v>
      </c>
      <c r="Y253" s="105">
        <f t="shared" ca="1" si="68"/>
        <v>0</v>
      </c>
      <c r="Z253" s="105">
        <f t="shared" ca="1" si="69"/>
        <v>0</v>
      </c>
      <c r="AA253" s="105">
        <f t="shared" ca="1" si="70"/>
        <v>0</v>
      </c>
      <c r="AB253" s="105">
        <f t="shared" ca="1" si="71"/>
        <v>0</v>
      </c>
      <c r="AC253" s="105"/>
      <c r="AD253" s="103"/>
      <c r="AE253" s="103"/>
      <c r="AF253" s="103"/>
      <c r="AG253" s="103"/>
      <c r="AH253" s="103"/>
      <c r="AI253" s="103"/>
      <c r="AJ253" s="103"/>
      <c r="AK253" s="103"/>
      <c r="AL253" s="103"/>
      <c r="AM253" s="103"/>
      <c r="AN253" s="103"/>
      <c r="AO253" s="103"/>
      <c r="AP253" s="103"/>
      <c r="AQ253" s="103"/>
      <c r="AR253" s="103"/>
      <c r="AS253" s="103"/>
      <c r="AT253" s="103"/>
      <c r="AU253" s="103"/>
      <c r="AV253" s="103"/>
    </row>
    <row r="254" spans="5:48">
      <c r="E254" s="105">
        <f t="shared" ca="1" si="48"/>
        <v>0</v>
      </c>
      <c r="F254" s="105">
        <f t="shared" ca="1" si="49"/>
        <v>0</v>
      </c>
      <c r="G254" s="105">
        <f t="shared" ca="1" si="50"/>
        <v>0</v>
      </c>
      <c r="H254" s="105">
        <f t="shared" ca="1" si="51"/>
        <v>0</v>
      </c>
      <c r="I254" s="105">
        <f t="shared" ca="1" si="52"/>
        <v>0</v>
      </c>
      <c r="J254" s="105">
        <f t="shared" ca="1" si="53"/>
        <v>0</v>
      </c>
      <c r="K254" s="105">
        <f t="shared" ca="1" si="54"/>
        <v>0</v>
      </c>
      <c r="L254" s="105">
        <f t="shared" ca="1" si="55"/>
        <v>0</v>
      </c>
      <c r="M254" s="105">
        <f t="shared" ca="1" si="56"/>
        <v>0</v>
      </c>
      <c r="N254" s="105">
        <f t="shared" ca="1" si="57"/>
        <v>0</v>
      </c>
      <c r="O254" s="105">
        <f t="shared" ca="1" si="58"/>
        <v>0</v>
      </c>
      <c r="P254" s="105">
        <f t="shared" ca="1" si="59"/>
        <v>0</v>
      </c>
      <c r="Q254" s="105">
        <f t="shared" ca="1" si="60"/>
        <v>0</v>
      </c>
      <c r="R254" s="105">
        <f t="shared" ca="1" si="61"/>
        <v>0</v>
      </c>
      <c r="S254" s="105">
        <f t="shared" ca="1" si="62"/>
        <v>0</v>
      </c>
      <c r="T254" s="105">
        <f t="shared" ca="1" si="63"/>
        <v>0</v>
      </c>
      <c r="U254" s="105">
        <f t="shared" ca="1" si="64"/>
        <v>0</v>
      </c>
      <c r="V254" s="105">
        <f t="shared" ca="1" si="65"/>
        <v>0</v>
      </c>
      <c r="W254" s="105">
        <f t="shared" ca="1" si="66"/>
        <v>0</v>
      </c>
      <c r="X254" s="105">
        <f t="shared" ca="1" si="67"/>
        <v>0</v>
      </c>
      <c r="Y254" s="105">
        <f t="shared" ca="1" si="68"/>
        <v>0</v>
      </c>
      <c r="Z254" s="105">
        <f t="shared" ca="1" si="69"/>
        <v>0</v>
      </c>
      <c r="AA254" s="105">
        <f t="shared" ca="1" si="70"/>
        <v>0</v>
      </c>
      <c r="AB254" s="105">
        <f t="shared" ca="1" si="71"/>
        <v>0</v>
      </c>
      <c r="AC254" s="105"/>
      <c r="AD254" s="103"/>
      <c r="AE254" s="103"/>
      <c r="AF254" s="103"/>
      <c r="AG254" s="103"/>
      <c r="AH254" s="103"/>
      <c r="AI254" s="103"/>
      <c r="AJ254" s="103"/>
      <c r="AK254" s="103"/>
      <c r="AL254" s="103"/>
      <c r="AM254" s="103"/>
      <c r="AN254" s="103"/>
      <c r="AO254" s="103"/>
      <c r="AP254" s="103"/>
      <c r="AQ254" s="103"/>
      <c r="AR254" s="103"/>
      <c r="AS254" s="103"/>
      <c r="AT254" s="103"/>
      <c r="AU254" s="103"/>
      <c r="AV254" s="103"/>
    </row>
    <row r="255" spans="5:48">
      <c r="E255" s="105">
        <f t="shared" ca="1" si="48"/>
        <v>0</v>
      </c>
      <c r="F255" s="105">
        <f t="shared" ca="1" si="49"/>
        <v>0</v>
      </c>
      <c r="G255" s="105">
        <f t="shared" ca="1" si="50"/>
        <v>0</v>
      </c>
      <c r="H255" s="105">
        <f t="shared" ca="1" si="51"/>
        <v>0</v>
      </c>
      <c r="I255" s="105">
        <f t="shared" ca="1" si="52"/>
        <v>0</v>
      </c>
      <c r="J255" s="105">
        <f t="shared" ca="1" si="53"/>
        <v>0</v>
      </c>
      <c r="K255" s="105">
        <f t="shared" ca="1" si="54"/>
        <v>0</v>
      </c>
      <c r="L255" s="105">
        <f t="shared" ca="1" si="55"/>
        <v>0</v>
      </c>
      <c r="M255" s="105">
        <f t="shared" ca="1" si="56"/>
        <v>0</v>
      </c>
      <c r="N255" s="105">
        <f t="shared" ca="1" si="57"/>
        <v>0</v>
      </c>
      <c r="O255" s="105">
        <f t="shared" ca="1" si="58"/>
        <v>0</v>
      </c>
      <c r="P255" s="105">
        <f t="shared" ca="1" si="59"/>
        <v>0</v>
      </c>
      <c r="Q255" s="105">
        <f t="shared" ca="1" si="60"/>
        <v>0</v>
      </c>
      <c r="R255" s="105">
        <f t="shared" ca="1" si="61"/>
        <v>0</v>
      </c>
      <c r="S255" s="105">
        <f t="shared" ca="1" si="62"/>
        <v>0</v>
      </c>
      <c r="T255" s="105">
        <f t="shared" ca="1" si="63"/>
        <v>0</v>
      </c>
      <c r="U255" s="105">
        <f t="shared" ca="1" si="64"/>
        <v>0</v>
      </c>
      <c r="V255" s="105">
        <f t="shared" ca="1" si="65"/>
        <v>1</v>
      </c>
      <c r="W255" s="105">
        <f t="shared" ca="1" si="66"/>
        <v>1</v>
      </c>
      <c r="X255" s="105">
        <f t="shared" ca="1" si="67"/>
        <v>1</v>
      </c>
      <c r="Y255" s="105">
        <f t="shared" ca="1" si="68"/>
        <v>1</v>
      </c>
      <c r="Z255" s="105">
        <f t="shared" ca="1" si="69"/>
        <v>1</v>
      </c>
      <c r="AA255" s="105">
        <f t="shared" ca="1" si="70"/>
        <v>1</v>
      </c>
      <c r="AB255" s="105">
        <f t="shared" ca="1" si="71"/>
        <v>1</v>
      </c>
      <c r="AC255" s="105"/>
      <c r="AD255" s="103"/>
      <c r="AE255" s="103"/>
      <c r="AF255" s="103"/>
      <c r="AG255" s="103"/>
      <c r="AH255" s="103"/>
      <c r="AI255" s="103"/>
      <c r="AJ255" s="103"/>
      <c r="AK255" s="103"/>
      <c r="AL255" s="103"/>
      <c r="AM255" s="103"/>
      <c r="AN255" s="103"/>
      <c r="AO255" s="103"/>
      <c r="AP255" s="103"/>
      <c r="AQ255" s="103"/>
      <c r="AR255" s="103"/>
      <c r="AS255" s="103"/>
      <c r="AT255" s="103"/>
      <c r="AU255" s="103"/>
      <c r="AV255" s="103"/>
    </row>
    <row r="256" spans="5:48">
      <c r="E256" s="105">
        <f t="shared" ca="1" si="48"/>
        <v>0</v>
      </c>
      <c r="F256" s="105">
        <f t="shared" ca="1" si="49"/>
        <v>0</v>
      </c>
      <c r="G256" s="105">
        <f t="shared" ca="1" si="50"/>
        <v>0</v>
      </c>
      <c r="H256" s="105">
        <f t="shared" ca="1" si="51"/>
        <v>0</v>
      </c>
      <c r="I256" s="105">
        <f t="shared" ca="1" si="52"/>
        <v>0</v>
      </c>
      <c r="J256" s="105">
        <f t="shared" ca="1" si="53"/>
        <v>0</v>
      </c>
      <c r="K256" s="105">
        <f t="shared" ca="1" si="54"/>
        <v>0</v>
      </c>
      <c r="L256" s="105">
        <f t="shared" ca="1" si="55"/>
        <v>0</v>
      </c>
      <c r="M256" s="105">
        <f t="shared" ca="1" si="56"/>
        <v>0</v>
      </c>
      <c r="N256" s="105">
        <f t="shared" ca="1" si="57"/>
        <v>0</v>
      </c>
      <c r="O256" s="105">
        <f t="shared" ca="1" si="58"/>
        <v>0</v>
      </c>
      <c r="P256" s="105">
        <f t="shared" ca="1" si="59"/>
        <v>0</v>
      </c>
      <c r="Q256" s="105">
        <f t="shared" ca="1" si="60"/>
        <v>0</v>
      </c>
      <c r="R256" s="105">
        <f t="shared" ca="1" si="61"/>
        <v>0</v>
      </c>
      <c r="S256" s="105">
        <f t="shared" ca="1" si="62"/>
        <v>0</v>
      </c>
      <c r="T256" s="105">
        <f t="shared" ca="1" si="63"/>
        <v>0</v>
      </c>
      <c r="U256" s="105">
        <f t="shared" ca="1" si="64"/>
        <v>0</v>
      </c>
      <c r="V256" s="105">
        <f t="shared" ca="1" si="65"/>
        <v>0</v>
      </c>
      <c r="W256" s="105">
        <f t="shared" ca="1" si="66"/>
        <v>0</v>
      </c>
      <c r="X256" s="105">
        <f t="shared" ca="1" si="67"/>
        <v>0</v>
      </c>
      <c r="Y256" s="105">
        <f t="shared" ca="1" si="68"/>
        <v>0</v>
      </c>
      <c r="Z256" s="105">
        <f t="shared" ca="1" si="69"/>
        <v>0</v>
      </c>
      <c r="AA256" s="105">
        <f t="shared" ca="1" si="70"/>
        <v>0</v>
      </c>
      <c r="AB256" s="105">
        <f t="shared" ca="1" si="71"/>
        <v>0</v>
      </c>
      <c r="AC256" s="105"/>
      <c r="AD256" s="103"/>
      <c r="AE256" s="103"/>
      <c r="AF256" s="103"/>
      <c r="AG256" s="103"/>
      <c r="AH256" s="103"/>
      <c r="AI256" s="103"/>
      <c r="AJ256" s="103"/>
      <c r="AK256" s="103"/>
      <c r="AL256" s="103"/>
      <c r="AM256" s="103"/>
      <c r="AN256" s="103"/>
      <c r="AO256" s="103"/>
      <c r="AP256" s="103"/>
      <c r="AQ256" s="103"/>
      <c r="AR256" s="103"/>
      <c r="AS256" s="103"/>
      <c r="AT256" s="103"/>
      <c r="AU256" s="103"/>
      <c r="AV256" s="103"/>
    </row>
    <row r="257" spans="5:48">
      <c r="E257" s="105">
        <f t="shared" ca="1" si="48"/>
        <v>0</v>
      </c>
      <c r="F257" s="105">
        <f t="shared" ca="1" si="49"/>
        <v>0</v>
      </c>
      <c r="G257" s="105">
        <f t="shared" ca="1" si="50"/>
        <v>0</v>
      </c>
      <c r="H257" s="105">
        <f t="shared" ca="1" si="51"/>
        <v>0</v>
      </c>
      <c r="I257" s="105">
        <f t="shared" ca="1" si="52"/>
        <v>0</v>
      </c>
      <c r="J257" s="105">
        <f t="shared" ca="1" si="53"/>
        <v>0</v>
      </c>
      <c r="K257" s="105">
        <f t="shared" ca="1" si="54"/>
        <v>0</v>
      </c>
      <c r="L257" s="105">
        <f t="shared" ca="1" si="55"/>
        <v>0</v>
      </c>
      <c r="M257" s="105">
        <f t="shared" ca="1" si="56"/>
        <v>0</v>
      </c>
      <c r="N257" s="105">
        <f t="shared" ca="1" si="57"/>
        <v>0</v>
      </c>
      <c r="O257" s="105">
        <f t="shared" ca="1" si="58"/>
        <v>0</v>
      </c>
      <c r="P257" s="105">
        <f t="shared" ca="1" si="59"/>
        <v>0</v>
      </c>
      <c r="Q257" s="105">
        <f t="shared" ca="1" si="60"/>
        <v>0</v>
      </c>
      <c r="R257" s="105">
        <f t="shared" ca="1" si="61"/>
        <v>0</v>
      </c>
      <c r="S257" s="105">
        <f t="shared" ca="1" si="62"/>
        <v>0</v>
      </c>
      <c r="T257" s="105">
        <f t="shared" ca="1" si="63"/>
        <v>0</v>
      </c>
      <c r="U257" s="105">
        <f t="shared" ca="1" si="64"/>
        <v>0</v>
      </c>
      <c r="V257" s="105">
        <f t="shared" ca="1" si="65"/>
        <v>0</v>
      </c>
      <c r="W257" s="105">
        <f t="shared" ca="1" si="66"/>
        <v>0</v>
      </c>
      <c r="X257" s="105">
        <f t="shared" ca="1" si="67"/>
        <v>0</v>
      </c>
      <c r="Y257" s="105">
        <f t="shared" ca="1" si="68"/>
        <v>0</v>
      </c>
      <c r="Z257" s="105">
        <f t="shared" ca="1" si="69"/>
        <v>0</v>
      </c>
      <c r="AA257" s="105">
        <f t="shared" ca="1" si="70"/>
        <v>0</v>
      </c>
      <c r="AB257" s="105">
        <f t="shared" ca="1" si="71"/>
        <v>0</v>
      </c>
      <c r="AC257" s="105"/>
      <c r="AD257" s="103"/>
      <c r="AE257" s="103"/>
      <c r="AF257" s="103"/>
      <c r="AG257" s="103"/>
      <c r="AH257" s="103"/>
      <c r="AI257" s="103"/>
      <c r="AJ257" s="103"/>
      <c r="AK257" s="103"/>
      <c r="AL257" s="103"/>
      <c r="AM257" s="103"/>
      <c r="AN257" s="103"/>
      <c r="AO257" s="103"/>
      <c r="AP257" s="103"/>
      <c r="AQ257" s="103"/>
      <c r="AR257" s="103"/>
      <c r="AS257" s="103"/>
      <c r="AT257" s="103"/>
      <c r="AU257" s="103"/>
      <c r="AV257" s="103"/>
    </row>
    <row r="258" spans="5:48">
      <c r="E258" s="105">
        <f t="shared" ca="1" si="48"/>
        <v>0</v>
      </c>
      <c r="F258" s="105">
        <f t="shared" ca="1" si="49"/>
        <v>0</v>
      </c>
      <c r="G258" s="105">
        <f t="shared" ca="1" si="50"/>
        <v>0</v>
      </c>
      <c r="H258" s="105">
        <f t="shared" ca="1" si="51"/>
        <v>0</v>
      </c>
      <c r="I258" s="105">
        <f t="shared" ca="1" si="52"/>
        <v>0</v>
      </c>
      <c r="J258" s="105">
        <f t="shared" ca="1" si="53"/>
        <v>0</v>
      </c>
      <c r="K258" s="105">
        <f t="shared" ca="1" si="54"/>
        <v>0</v>
      </c>
      <c r="L258" s="105">
        <f t="shared" ca="1" si="55"/>
        <v>0</v>
      </c>
      <c r="M258" s="105">
        <f t="shared" ca="1" si="56"/>
        <v>0</v>
      </c>
      <c r="N258" s="105">
        <f t="shared" ca="1" si="57"/>
        <v>0</v>
      </c>
      <c r="O258" s="105">
        <f t="shared" ca="1" si="58"/>
        <v>0</v>
      </c>
      <c r="P258" s="105">
        <f t="shared" ca="1" si="59"/>
        <v>0</v>
      </c>
      <c r="Q258" s="105">
        <f t="shared" ca="1" si="60"/>
        <v>0</v>
      </c>
      <c r="R258" s="105">
        <f t="shared" ca="1" si="61"/>
        <v>0</v>
      </c>
      <c r="S258" s="105">
        <f t="shared" ca="1" si="62"/>
        <v>0</v>
      </c>
      <c r="T258" s="105">
        <f t="shared" ca="1" si="63"/>
        <v>0</v>
      </c>
      <c r="U258" s="105">
        <f t="shared" ca="1" si="64"/>
        <v>0</v>
      </c>
      <c r="V258" s="105">
        <f t="shared" ca="1" si="65"/>
        <v>0</v>
      </c>
      <c r="W258" s="105">
        <f t="shared" ca="1" si="66"/>
        <v>0</v>
      </c>
      <c r="X258" s="105">
        <f t="shared" ca="1" si="67"/>
        <v>0</v>
      </c>
      <c r="Y258" s="105">
        <f t="shared" ca="1" si="68"/>
        <v>0</v>
      </c>
      <c r="Z258" s="105">
        <f t="shared" ca="1" si="69"/>
        <v>0</v>
      </c>
      <c r="AA258" s="105">
        <f t="shared" ca="1" si="70"/>
        <v>0</v>
      </c>
      <c r="AB258" s="105">
        <f t="shared" ca="1" si="71"/>
        <v>0</v>
      </c>
      <c r="AC258" s="105"/>
      <c r="AD258" s="103"/>
      <c r="AE258" s="103"/>
      <c r="AF258" s="103"/>
      <c r="AG258" s="103"/>
      <c r="AH258" s="103"/>
      <c r="AI258" s="103"/>
      <c r="AJ258" s="103"/>
      <c r="AK258" s="103"/>
      <c r="AL258" s="103"/>
      <c r="AM258" s="103"/>
      <c r="AN258" s="103"/>
      <c r="AO258" s="103"/>
      <c r="AP258" s="103"/>
      <c r="AQ258" s="103"/>
      <c r="AR258" s="103"/>
      <c r="AS258" s="103"/>
      <c r="AT258" s="103"/>
      <c r="AU258" s="103"/>
      <c r="AV258" s="103"/>
    </row>
    <row r="259" spans="5:48">
      <c r="E259" s="105">
        <f t="shared" ca="1" si="48"/>
        <v>0</v>
      </c>
      <c r="F259" s="105">
        <f t="shared" ca="1" si="49"/>
        <v>0</v>
      </c>
      <c r="G259" s="105">
        <f t="shared" ca="1" si="50"/>
        <v>0</v>
      </c>
      <c r="H259" s="105">
        <f t="shared" ca="1" si="51"/>
        <v>0</v>
      </c>
      <c r="I259" s="105">
        <f t="shared" ca="1" si="52"/>
        <v>0</v>
      </c>
      <c r="J259" s="105">
        <f t="shared" ca="1" si="53"/>
        <v>0</v>
      </c>
      <c r="K259" s="105">
        <f t="shared" ca="1" si="54"/>
        <v>0</v>
      </c>
      <c r="L259" s="105">
        <f t="shared" ca="1" si="55"/>
        <v>0</v>
      </c>
      <c r="M259" s="105">
        <f t="shared" ca="1" si="56"/>
        <v>0</v>
      </c>
      <c r="N259" s="105">
        <f t="shared" ca="1" si="57"/>
        <v>0</v>
      </c>
      <c r="O259" s="105">
        <f t="shared" ca="1" si="58"/>
        <v>0</v>
      </c>
      <c r="P259" s="105">
        <f t="shared" ca="1" si="59"/>
        <v>0</v>
      </c>
      <c r="Q259" s="105">
        <f t="shared" ca="1" si="60"/>
        <v>0</v>
      </c>
      <c r="R259" s="105">
        <f t="shared" ca="1" si="61"/>
        <v>0</v>
      </c>
      <c r="S259" s="105">
        <f t="shared" ca="1" si="62"/>
        <v>0</v>
      </c>
      <c r="T259" s="105">
        <f t="shared" ca="1" si="63"/>
        <v>0</v>
      </c>
      <c r="U259" s="105">
        <f t="shared" ca="1" si="64"/>
        <v>0</v>
      </c>
      <c r="V259" s="105">
        <f t="shared" ca="1" si="65"/>
        <v>0</v>
      </c>
      <c r="W259" s="105">
        <f t="shared" ca="1" si="66"/>
        <v>0</v>
      </c>
      <c r="X259" s="105">
        <f t="shared" ca="1" si="67"/>
        <v>0</v>
      </c>
      <c r="Y259" s="105">
        <f t="shared" ca="1" si="68"/>
        <v>0</v>
      </c>
      <c r="Z259" s="105">
        <f t="shared" ca="1" si="69"/>
        <v>0</v>
      </c>
      <c r="AA259" s="105">
        <f t="shared" ca="1" si="70"/>
        <v>0</v>
      </c>
      <c r="AB259" s="105">
        <f t="shared" ca="1" si="71"/>
        <v>0</v>
      </c>
      <c r="AC259" s="105"/>
      <c r="AD259" s="103"/>
      <c r="AE259" s="103"/>
      <c r="AF259" s="103"/>
      <c r="AG259" s="103"/>
      <c r="AH259" s="103"/>
      <c r="AI259" s="103"/>
      <c r="AJ259" s="103"/>
      <c r="AK259" s="103"/>
      <c r="AL259" s="103"/>
      <c r="AM259" s="103"/>
      <c r="AN259" s="103"/>
      <c r="AO259" s="103"/>
      <c r="AP259" s="103"/>
      <c r="AQ259" s="103"/>
      <c r="AR259" s="103"/>
      <c r="AS259" s="103"/>
      <c r="AT259" s="103"/>
      <c r="AU259" s="103"/>
      <c r="AV259" s="103"/>
    </row>
    <row r="260" spans="5:48">
      <c r="E260" s="105">
        <f t="shared" ca="1" si="48"/>
        <v>0</v>
      </c>
      <c r="F260" s="105">
        <f t="shared" ca="1" si="49"/>
        <v>0</v>
      </c>
      <c r="G260" s="105">
        <f t="shared" ca="1" si="50"/>
        <v>0</v>
      </c>
      <c r="H260" s="105">
        <f t="shared" ca="1" si="51"/>
        <v>0</v>
      </c>
      <c r="I260" s="105">
        <f t="shared" ca="1" si="52"/>
        <v>0</v>
      </c>
      <c r="J260" s="105">
        <f t="shared" ca="1" si="53"/>
        <v>0</v>
      </c>
      <c r="K260" s="105">
        <f t="shared" ca="1" si="54"/>
        <v>0</v>
      </c>
      <c r="L260" s="105">
        <f t="shared" ca="1" si="55"/>
        <v>0</v>
      </c>
      <c r="M260" s="105">
        <f t="shared" ca="1" si="56"/>
        <v>0</v>
      </c>
      <c r="N260" s="105">
        <f t="shared" ca="1" si="57"/>
        <v>0</v>
      </c>
      <c r="O260" s="105">
        <f t="shared" ca="1" si="58"/>
        <v>0</v>
      </c>
      <c r="P260" s="105">
        <f t="shared" ca="1" si="59"/>
        <v>0</v>
      </c>
      <c r="Q260" s="105">
        <f t="shared" ca="1" si="60"/>
        <v>0</v>
      </c>
      <c r="R260" s="105">
        <f t="shared" ca="1" si="61"/>
        <v>0</v>
      </c>
      <c r="S260" s="105">
        <f t="shared" ca="1" si="62"/>
        <v>0</v>
      </c>
      <c r="T260" s="105">
        <f t="shared" ca="1" si="63"/>
        <v>0</v>
      </c>
      <c r="U260" s="105">
        <f t="shared" ca="1" si="64"/>
        <v>0</v>
      </c>
      <c r="V260" s="105">
        <f t="shared" ca="1" si="65"/>
        <v>0</v>
      </c>
      <c r="W260" s="105">
        <f t="shared" ca="1" si="66"/>
        <v>0</v>
      </c>
      <c r="X260" s="105">
        <f t="shared" ca="1" si="67"/>
        <v>0</v>
      </c>
      <c r="Y260" s="105">
        <f t="shared" ca="1" si="68"/>
        <v>0</v>
      </c>
      <c r="Z260" s="105">
        <f t="shared" ca="1" si="69"/>
        <v>0</v>
      </c>
      <c r="AA260" s="105">
        <f t="shared" ca="1" si="70"/>
        <v>0</v>
      </c>
      <c r="AB260" s="105">
        <f t="shared" ca="1" si="71"/>
        <v>0</v>
      </c>
      <c r="AC260" s="105"/>
      <c r="AD260" s="103"/>
      <c r="AE260" s="103"/>
      <c r="AF260" s="103"/>
      <c r="AG260" s="103"/>
      <c r="AH260" s="103"/>
      <c r="AI260" s="103"/>
      <c r="AJ260" s="103"/>
      <c r="AK260" s="103"/>
      <c r="AL260" s="103"/>
      <c r="AM260" s="103"/>
      <c r="AN260" s="103"/>
      <c r="AO260" s="103"/>
      <c r="AP260" s="103"/>
      <c r="AQ260" s="103"/>
      <c r="AR260" s="103"/>
      <c r="AS260" s="103"/>
      <c r="AT260" s="103"/>
      <c r="AU260" s="103"/>
      <c r="AV260" s="103"/>
    </row>
    <row r="261" spans="5:48">
      <c r="E261" s="105">
        <f t="shared" ca="1" si="48"/>
        <v>0</v>
      </c>
      <c r="F261" s="105">
        <f t="shared" ca="1" si="49"/>
        <v>0</v>
      </c>
      <c r="G261" s="105">
        <f t="shared" ca="1" si="50"/>
        <v>0</v>
      </c>
      <c r="H261" s="105">
        <f t="shared" ca="1" si="51"/>
        <v>0</v>
      </c>
      <c r="I261" s="105">
        <f t="shared" ca="1" si="52"/>
        <v>0</v>
      </c>
      <c r="J261" s="105">
        <f t="shared" ca="1" si="53"/>
        <v>0</v>
      </c>
      <c r="K261" s="105">
        <f t="shared" ca="1" si="54"/>
        <v>0</v>
      </c>
      <c r="L261" s="105">
        <f t="shared" ca="1" si="55"/>
        <v>0</v>
      </c>
      <c r="M261" s="105">
        <f t="shared" ca="1" si="56"/>
        <v>0</v>
      </c>
      <c r="N261" s="105">
        <f t="shared" ca="1" si="57"/>
        <v>0</v>
      </c>
      <c r="O261" s="105">
        <f t="shared" ca="1" si="58"/>
        <v>0</v>
      </c>
      <c r="P261" s="105">
        <f t="shared" ca="1" si="59"/>
        <v>0</v>
      </c>
      <c r="Q261" s="105">
        <f t="shared" ca="1" si="60"/>
        <v>0</v>
      </c>
      <c r="R261" s="105">
        <f t="shared" ca="1" si="61"/>
        <v>0</v>
      </c>
      <c r="S261" s="105">
        <f t="shared" ca="1" si="62"/>
        <v>0</v>
      </c>
      <c r="T261" s="105">
        <f t="shared" ca="1" si="63"/>
        <v>0</v>
      </c>
      <c r="U261" s="105">
        <f t="shared" ca="1" si="64"/>
        <v>0</v>
      </c>
      <c r="V261" s="105">
        <f t="shared" ca="1" si="65"/>
        <v>0</v>
      </c>
      <c r="W261" s="105">
        <f t="shared" ca="1" si="66"/>
        <v>0</v>
      </c>
      <c r="X261" s="105">
        <f t="shared" ca="1" si="67"/>
        <v>0</v>
      </c>
      <c r="Y261" s="105">
        <f t="shared" ca="1" si="68"/>
        <v>0</v>
      </c>
      <c r="Z261" s="105">
        <f t="shared" ca="1" si="69"/>
        <v>0</v>
      </c>
      <c r="AA261" s="105">
        <f t="shared" ca="1" si="70"/>
        <v>0</v>
      </c>
      <c r="AB261" s="105">
        <f t="shared" ca="1" si="71"/>
        <v>0</v>
      </c>
      <c r="AC261" s="105"/>
      <c r="AD261" s="103"/>
      <c r="AE261" s="103"/>
      <c r="AF261" s="103"/>
      <c r="AG261" s="103"/>
      <c r="AH261" s="103"/>
      <c r="AI261" s="103"/>
      <c r="AJ261" s="103"/>
      <c r="AK261" s="103"/>
      <c r="AL261" s="103"/>
      <c r="AM261" s="103"/>
      <c r="AN261" s="103"/>
      <c r="AO261" s="103"/>
      <c r="AP261" s="103"/>
      <c r="AQ261" s="103"/>
      <c r="AR261" s="103"/>
      <c r="AS261" s="103"/>
      <c r="AT261" s="103"/>
      <c r="AU261" s="103"/>
      <c r="AV261" s="103"/>
    </row>
    <row r="262" spans="5:48">
      <c r="E262" s="105">
        <f t="shared" ca="1" si="48"/>
        <v>0</v>
      </c>
      <c r="F262" s="105">
        <f t="shared" ca="1" si="49"/>
        <v>0</v>
      </c>
      <c r="G262" s="105">
        <f t="shared" ca="1" si="50"/>
        <v>0</v>
      </c>
      <c r="H262" s="105">
        <f t="shared" ca="1" si="51"/>
        <v>0</v>
      </c>
      <c r="I262" s="105">
        <f t="shared" ca="1" si="52"/>
        <v>0</v>
      </c>
      <c r="J262" s="105">
        <f t="shared" ca="1" si="53"/>
        <v>0</v>
      </c>
      <c r="K262" s="105">
        <f t="shared" ca="1" si="54"/>
        <v>0</v>
      </c>
      <c r="L262" s="105">
        <f t="shared" ca="1" si="55"/>
        <v>0</v>
      </c>
      <c r="M262" s="105">
        <f t="shared" ca="1" si="56"/>
        <v>0</v>
      </c>
      <c r="N262" s="105">
        <f t="shared" ca="1" si="57"/>
        <v>0</v>
      </c>
      <c r="O262" s="105">
        <f t="shared" ca="1" si="58"/>
        <v>0</v>
      </c>
      <c r="P262" s="105">
        <f t="shared" ca="1" si="59"/>
        <v>0</v>
      </c>
      <c r="Q262" s="105">
        <f t="shared" ca="1" si="60"/>
        <v>0</v>
      </c>
      <c r="R262" s="105">
        <f t="shared" ca="1" si="61"/>
        <v>0</v>
      </c>
      <c r="S262" s="105">
        <f t="shared" ca="1" si="62"/>
        <v>0</v>
      </c>
      <c r="T262" s="105">
        <f t="shared" ca="1" si="63"/>
        <v>0</v>
      </c>
      <c r="U262" s="105">
        <f t="shared" ca="1" si="64"/>
        <v>0</v>
      </c>
      <c r="V262" s="105">
        <f t="shared" ca="1" si="65"/>
        <v>0</v>
      </c>
      <c r="W262" s="105">
        <f t="shared" ca="1" si="66"/>
        <v>0</v>
      </c>
      <c r="X262" s="105">
        <f t="shared" ca="1" si="67"/>
        <v>0</v>
      </c>
      <c r="Y262" s="105">
        <f t="shared" ca="1" si="68"/>
        <v>0</v>
      </c>
      <c r="Z262" s="105">
        <f t="shared" ca="1" si="69"/>
        <v>0</v>
      </c>
      <c r="AA262" s="105">
        <f t="shared" ca="1" si="70"/>
        <v>0</v>
      </c>
      <c r="AB262" s="105">
        <f t="shared" ca="1" si="71"/>
        <v>0</v>
      </c>
      <c r="AC262" s="105"/>
      <c r="AD262" s="103"/>
      <c r="AE262" s="103"/>
      <c r="AF262" s="103"/>
      <c r="AG262" s="103"/>
      <c r="AH262" s="103"/>
      <c r="AI262" s="103"/>
      <c r="AJ262" s="103"/>
      <c r="AK262" s="103"/>
      <c r="AL262" s="103"/>
      <c r="AM262" s="103"/>
      <c r="AN262" s="103"/>
      <c r="AO262" s="103"/>
      <c r="AP262" s="103"/>
      <c r="AQ262" s="103"/>
      <c r="AR262" s="103"/>
      <c r="AS262" s="103"/>
      <c r="AT262" s="103"/>
      <c r="AU262" s="103"/>
      <c r="AV262" s="103"/>
    </row>
    <row r="263" spans="5:48">
      <c r="E263" s="105">
        <f t="shared" ca="1" si="48"/>
        <v>0</v>
      </c>
      <c r="F263" s="105">
        <f t="shared" ca="1" si="49"/>
        <v>0</v>
      </c>
      <c r="G263" s="105">
        <f t="shared" ca="1" si="50"/>
        <v>0</v>
      </c>
      <c r="H263" s="105">
        <f t="shared" ca="1" si="51"/>
        <v>0</v>
      </c>
      <c r="I263" s="105">
        <f t="shared" ca="1" si="52"/>
        <v>0</v>
      </c>
      <c r="J263" s="105">
        <f t="shared" ca="1" si="53"/>
        <v>0</v>
      </c>
      <c r="K263" s="105">
        <f t="shared" ca="1" si="54"/>
        <v>0</v>
      </c>
      <c r="L263" s="105">
        <f t="shared" ca="1" si="55"/>
        <v>0</v>
      </c>
      <c r="M263" s="105">
        <f t="shared" ca="1" si="56"/>
        <v>0</v>
      </c>
      <c r="N263" s="105">
        <f t="shared" ca="1" si="57"/>
        <v>0</v>
      </c>
      <c r="O263" s="105">
        <f t="shared" ca="1" si="58"/>
        <v>0</v>
      </c>
      <c r="P263" s="105">
        <f t="shared" ca="1" si="59"/>
        <v>0</v>
      </c>
      <c r="Q263" s="105">
        <f t="shared" ca="1" si="60"/>
        <v>0</v>
      </c>
      <c r="R263" s="105">
        <f t="shared" ca="1" si="61"/>
        <v>0</v>
      </c>
      <c r="S263" s="105">
        <f t="shared" ca="1" si="62"/>
        <v>0</v>
      </c>
      <c r="T263" s="105">
        <f t="shared" ca="1" si="63"/>
        <v>0</v>
      </c>
      <c r="U263" s="105">
        <f t="shared" ca="1" si="64"/>
        <v>0</v>
      </c>
      <c r="V263" s="105">
        <f t="shared" ca="1" si="65"/>
        <v>0</v>
      </c>
      <c r="W263" s="105">
        <f t="shared" ca="1" si="66"/>
        <v>0</v>
      </c>
      <c r="X263" s="105">
        <f t="shared" ca="1" si="67"/>
        <v>0</v>
      </c>
      <c r="Y263" s="105">
        <f t="shared" ca="1" si="68"/>
        <v>0</v>
      </c>
      <c r="Z263" s="105">
        <f t="shared" ca="1" si="69"/>
        <v>0</v>
      </c>
      <c r="AA263" s="105">
        <f t="shared" ca="1" si="70"/>
        <v>0</v>
      </c>
      <c r="AB263" s="105">
        <f t="shared" ca="1" si="71"/>
        <v>0</v>
      </c>
      <c r="AC263" s="105"/>
      <c r="AD263" s="103"/>
      <c r="AE263" s="103"/>
      <c r="AF263" s="103"/>
      <c r="AG263" s="103"/>
      <c r="AH263" s="103"/>
      <c r="AI263" s="103"/>
      <c r="AJ263" s="103"/>
      <c r="AK263" s="103"/>
      <c r="AL263" s="103"/>
      <c r="AM263" s="103"/>
      <c r="AN263" s="103"/>
      <c r="AO263" s="103"/>
      <c r="AP263" s="103"/>
      <c r="AQ263" s="103"/>
      <c r="AR263" s="103"/>
      <c r="AS263" s="103"/>
      <c r="AT263" s="103"/>
      <c r="AU263" s="103"/>
      <c r="AV263" s="103"/>
    </row>
    <row r="264" spans="5:48">
      <c r="E264" s="105">
        <f t="shared" ca="1" si="48"/>
        <v>0</v>
      </c>
      <c r="F264" s="105">
        <f t="shared" ca="1" si="49"/>
        <v>0</v>
      </c>
      <c r="G264" s="105">
        <f t="shared" ca="1" si="50"/>
        <v>0</v>
      </c>
      <c r="H264" s="105">
        <f t="shared" ca="1" si="51"/>
        <v>0</v>
      </c>
      <c r="I264" s="105">
        <f t="shared" ca="1" si="52"/>
        <v>0</v>
      </c>
      <c r="J264" s="105">
        <f t="shared" ca="1" si="53"/>
        <v>0</v>
      </c>
      <c r="K264" s="105">
        <f t="shared" ca="1" si="54"/>
        <v>0</v>
      </c>
      <c r="L264" s="105">
        <f t="shared" ca="1" si="55"/>
        <v>0</v>
      </c>
      <c r="M264" s="105">
        <f t="shared" ca="1" si="56"/>
        <v>0</v>
      </c>
      <c r="N264" s="105">
        <f t="shared" ca="1" si="57"/>
        <v>0</v>
      </c>
      <c r="O264" s="105">
        <f t="shared" ca="1" si="58"/>
        <v>0</v>
      </c>
      <c r="P264" s="105">
        <f t="shared" ca="1" si="59"/>
        <v>0</v>
      </c>
      <c r="Q264" s="105">
        <f t="shared" ca="1" si="60"/>
        <v>0</v>
      </c>
      <c r="R264" s="105">
        <f t="shared" ca="1" si="61"/>
        <v>0</v>
      </c>
      <c r="S264" s="105">
        <f t="shared" ca="1" si="62"/>
        <v>0</v>
      </c>
      <c r="T264" s="105">
        <f t="shared" ca="1" si="63"/>
        <v>0</v>
      </c>
      <c r="U264" s="105">
        <f t="shared" ca="1" si="64"/>
        <v>0</v>
      </c>
      <c r="V264" s="105">
        <f t="shared" ca="1" si="65"/>
        <v>0</v>
      </c>
      <c r="W264" s="105">
        <f t="shared" ca="1" si="66"/>
        <v>0</v>
      </c>
      <c r="X264" s="105">
        <f t="shared" ca="1" si="67"/>
        <v>0</v>
      </c>
      <c r="Y264" s="105">
        <f t="shared" ca="1" si="68"/>
        <v>0</v>
      </c>
      <c r="Z264" s="105">
        <f t="shared" ca="1" si="69"/>
        <v>0</v>
      </c>
      <c r="AA264" s="105">
        <f t="shared" ca="1" si="70"/>
        <v>0</v>
      </c>
      <c r="AB264" s="105">
        <f t="shared" ca="1" si="71"/>
        <v>0</v>
      </c>
      <c r="AC264" s="105"/>
      <c r="AD264" s="103"/>
      <c r="AE264" s="103"/>
      <c r="AF264" s="103"/>
      <c r="AG264" s="103"/>
      <c r="AH264" s="103"/>
      <c r="AI264" s="103"/>
      <c r="AJ264" s="103"/>
      <c r="AK264" s="103"/>
      <c r="AL264" s="103"/>
      <c r="AM264" s="103"/>
      <c r="AN264" s="103"/>
      <c r="AO264" s="103"/>
      <c r="AP264" s="103"/>
      <c r="AQ264" s="103"/>
      <c r="AR264" s="103"/>
      <c r="AS264" s="103"/>
      <c r="AT264" s="103"/>
      <c r="AU264" s="103"/>
      <c r="AV264" s="103"/>
    </row>
    <row r="265" spans="5:48">
      <c r="E265" s="105">
        <f t="shared" ca="1" si="48"/>
        <v>0</v>
      </c>
      <c r="F265" s="105">
        <f t="shared" ca="1" si="49"/>
        <v>0</v>
      </c>
      <c r="G265" s="105">
        <f t="shared" ca="1" si="50"/>
        <v>0</v>
      </c>
      <c r="H265" s="105">
        <f t="shared" ca="1" si="51"/>
        <v>0</v>
      </c>
      <c r="I265" s="105">
        <f t="shared" ca="1" si="52"/>
        <v>0</v>
      </c>
      <c r="J265" s="105">
        <f t="shared" ca="1" si="53"/>
        <v>0</v>
      </c>
      <c r="K265" s="105">
        <f t="shared" ca="1" si="54"/>
        <v>0</v>
      </c>
      <c r="L265" s="105">
        <f t="shared" ca="1" si="55"/>
        <v>0</v>
      </c>
      <c r="M265" s="105">
        <f t="shared" ca="1" si="56"/>
        <v>0</v>
      </c>
      <c r="N265" s="105">
        <f t="shared" ca="1" si="57"/>
        <v>0</v>
      </c>
      <c r="O265" s="105">
        <f t="shared" ca="1" si="58"/>
        <v>0</v>
      </c>
      <c r="P265" s="105">
        <f t="shared" ca="1" si="59"/>
        <v>0</v>
      </c>
      <c r="Q265" s="105">
        <f t="shared" ca="1" si="60"/>
        <v>0</v>
      </c>
      <c r="R265" s="105">
        <f t="shared" ca="1" si="61"/>
        <v>0</v>
      </c>
      <c r="S265" s="105">
        <f t="shared" ca="1" si="62"/>
        <v>0</v>
      </c>
      <c r="T265" s="105">
        <f t="shared" ca="1" si="63"/>
        <v>0</v>
      </c>
      <c r="U265" s="105">
        <f t="shared" ca="1" si="64"/>
        <v>0</v>
      </c>
      <c r="V265" s="105">
        <f t="shared" ca="1" si="65"/>
        <v>0</v>
      </c>
      <c r="W265" s="105">
        <f t="shared" ca="1" si="66"/>
        <v>0</v>
      </c>
      <c r="X265" s="105">
        <f t="shared" ca="1" si="67"/>
        <v>0</v>
      </c>
      <c r="Y265" s="105">
        <f t="shared" ca="1" si="68"/>
        <v>0</v>
      </c>
      <c r="Z265" s="105">
        <f t="shared" ca="1" si="69"/>
        <v>0</v>
      </c>
      <c r="AA265" s="105">
        <f t="shared" ca="1" si="70"/>
        <v>0</v>
      </c>
      <c r="AB265" s="105">
        <f t="shared" ca="1" si="71"/>
        <v>0</v>
      </c>
      <c r="AC265" s="105"/>
      <c r="AD265" s="103"/>
      <c r="AE265" s="103"/>
      <c r="AF265" s="103"/>
      <c r="AG265" s="103"/>
      <c r="AH265" s="103"/>
      <c r="AI265" s="103"/>
      <c r="AJ265" s="103"/>
      <c r="AK265" s="103"/>
      <c r="AL265" s="103"/>
      <c r="AM265" s="103"/>
      <c r="AN265" s="103"/>
      <c r="AO265" s="103"/>
      <c r="AP265" s="103"/>
      <c r="AQ265" s="103"/>
      <c r="AR265" s="103"/>
      <c r="AS265" s="103"/>
      <c r="AT265" s="103"/>
      <c r="AU265" s="103"/>
      <c r="AV265" s="103"/>
    </row>
    <row r="266" spans="5:48">
      <c r="E266" s="105">
        <f t="shared" ca="1" si="48"/>
        <v>0</v>
      </c>
      <c r="F266" s="105">
        <f t="shared" ca="1" si="49"/>
        <v>0</v>
      </c>
      <c r="G266" s="105">
        <f t="shared" ca="1" si="50"/>
        <v>0</v>
      </c>
      <c r="H266" s="105">
        <f t="shared" ca="1" si="51"/>
        <v>0</v>
      </c>
      <c r="I266" s="105">
        <f t="shared" ca="1" si="52"/>
        <v>0</v>
      </c>
      <c r="J266" s="105">
        <f t="shared" ca="1" si="53"/>
        <v>0</v>
      </c>
      <c r="K266" s="105">
        <f t="shared" ca="1" si="54"/>
        <v>0</v>
      </c>
      <c r="L266" s="105">
        <f t="shared" ca="1" si="55"/>
        <v>0</v>
      </c>
      <c r="M266" s="105">
        <f t="shared" ca="1" si="56"/>
        <v>0</v>
      </c>
      <c r="N266" s="105">
        <f t="shared" ca="1" si="57"/>
        <v>0</v>
      </c>
      <c r="O266" s="105">
        <f t="shared" ca="1" si="58"/>
        <v>0</v>
      </c>
      <c r="P266" s="105">
        <f t="shared" ca="1" si="59"/>
        <v>0</v>
      </c>
      <c r="Q266" s="105">
        <f t="shared" ca="1" si="60"/>
        <v>0</v>
      </c>
      <c r="R266" s="105">
        <f t="shared" ca="1" si="61"/>
        <v>0</v>
      </c>
      <c r="S266" s="105">
        <f t="shared" ca="1" si="62"/>
        <v>0</v>
      </c>
      <c r="T266" s="105">
        <f t="shared" ca="1" si="63"/>
        <v>0</v>
      </c>
      <c r="U266" s="105">
        <f t="shared" ca="1" si="64"/>
        <v>0</v>
      </c>
      <c r="V266" s="105">
        <f t="shared" ca="1" si="65"/>
        <v>0</v>
      </c>
      <c r="W266" s="105">
        <f t="shared" ca="1" si="66"/>
        <v>0</v>
      </c>
      <c r="X266" s="105">
        <f t="shared" ca="1" si="67"/>
        <v>0</v>
      </c>
      <c r="Y266" s="105">
        <f t="shared" ca="1" si="68"/>
        <v>0</v>
      </c>
      <c r="Z266" s="105">
        <f t="shared" ca="1" si="69"/>
        <v>0</v>
      </c>
      <c r="AA266" s="105">
        <f t="shared" ca="1" si="70"/>
        <v>0</v>
      </c>
      <c r="AB266" s="105">
        <f t="shared" ca="1" si="71"/>
        <v>0</v>
      </c>
      <c r="AC266" s="105"/>
      <c r="AD266" s="103"/>
      <c r="AE266" s="103"/>
      <c r="AF266" s="103"/>
      <c r="AG266" s="103"/>
      <c r="AH266" s="103"/>
      <c r="AI266" s="103"/>
      <c r="AJ266" s="103"/>
      <c r="AK266" s="103"/>
      <c r="AL266" s="103"/>
      <c r="AM266" s="103"/>
      <c r="AN266" s="103"/>
      <c r="AO266" s="103"/>
      <c r="AP266" s="103"/>
      <c r="AQ266" s="103"/>
      <c r="AR266" s="103"/>
      <c r="AS266" s="103"/>
      <c r="AT266" s="103"/>
      <c r="AU266" s="103"/>
      <c r="AV266" s="103"/>
    </row>
    <row r="267" spans="5:48">
      <c r="E267" s="105">
        <f t="shared" ca="1" si="48"/>
        <v>0</v>
      </c>
      <c r="F267" s="105">
        <f t="shared" ca="1" si="49"/>
        <v>0</v>
      </c>
      <c r="G267" s="105">
        <f t="shared" ca="1" si="50"/>
        <v>0</v>
      </c>
      <c r="H267" s="105">
        <f t="shared" ca="1" si="51"/>
        <v>0</v>
      </c>
      <c r="I267" s="105">
        <f t="shared" ca="1" si="52"/>
        <v>0</v>
      </c>
      <c r="J267" s="105">
        <f t="shared" ca="1" si="53"/>
        <v>0</v>
      </c>
      <c r="K267" s="105">
        <f t="shared" ca="1" si="54"/>
        <v>0</v>
      </c>
      <c r="L267" s="105">
        <f t="shared" ca="1" si="55"/>
        <v>0</v>
      </c>
      <c r="M267" s="105">
        <f t="shared" ca="1" si="56"/>
        <v>0</v>
      </c>
      <c r="N267" s="105">
        <f t="shared" ca="1" si="57"/>
        <v>0</v>
      </c>
      <c r="O267" s="105">
        <f t="shared" ca="1" si="58"/>
        <v>0</v>
      </c>
      <c r="P267" s="105">
        <f t="shared" ca="1" si="59"/>
        <v>0</v>
      </c>
      <c r="Q267" s="105">
        <f t="shared" ca="1" si="60"/>
        <v>0</v>
      </c>
      <c r="R267" s="105">
        <f t="shared" ca="1" si="61"/>
        <v>0</v>
      </c>
      <c r="S267" s="105">
        <f t="shared" ca="1" si="62"/>
        <v>0</v>
      </c>
      <c r="T267" s="105">
        <f t="shared" ca="1" si="63"/>
        <v>0</v>
      </c>
      <c r="U267" s="105">
        <f t="shared" ca="1" si="64"/>
        <v>0</v>
      </c>
      <c r="V267" s="105">
        <f t="shared" ca="1" si="65"/>
        <v>0</v>
      </c>
      <c r="W267" s="105">
        <f t="shared" ca="1" si="66"/>
        <v>0</v>
      </c>
      <c r="X267" s="105">
        <f t="shared" ca="1" si="67"/>
        <v>0</v>
      </c>
      <c r="Y267" s="105">
        <f t="shared" ca="1" si="68"/>
        <v>0</v>
      </c>
      <c r="Z267" s="105">
        <f t="shared" ca="1" si="69"/>
        <v>0</v>
      </c>
      <c r="AA267" s="105">
        <f t="shared" ca="1" si="70"/>
        <v>0</v>
      </c>
      <c r="AB267" s="105">
        <f t="shared" ca="1" si="71"/>
        <v>0</v>
      </c>
      <c r="AC267" s="105"/>
      <c r="AD267" s="103"/>
      <c r="AE267" s="103"/>
      <c r="AF267" s="103"/>
      <c r="AG267" s="103"/>
      <c r="AH267" s="103"/>
      <c r="AI267" s="103"/>
      <c r="AJ267" s="103"/>
      <c r="AK267" s="103"/>
      <c r="AL267" s="103"/>
      <c r="AM267" s="103"/>
      <c r="AN267" s="103"/>
      <c r="AO267" s="103"/>
      <c r="AP267" s="103"/>
      <c r="AQ267" s="103"/>
      <c r="AR267" s="103"/>
      <c r="AS267" s="103"/>
      <c r="AT267" s="103"/>
      <c r="AU267" s="103"/>
      <c r="AV267" s="103"/>
    </row>
    <row r="268" spans="5:48">
      <c r="E268" s="105">
        <f t="shared" ca="1" si="48"/>
        <v>0</v>
      </c>
      <c r="F268" s="105">
        <f t="shared" ca="1" si="49"/>
        <v>0</v>
      </c>
      <c r="G268" s="105">
        <f t="shared" ca="1" si="50"/>
        <v>0</v>
      </c>
      <c r="H268" s="105">
        <f t="shared" ca="1" si="51"/>
        <v>0</v>
      </c>
      <c r="I268" s="105">
        <f t="shared" ca="1" si="52"/>
        <v>0</v>
      </c>
      <c r="J268" s="105">
        <f t="shared" ca="1" si="53"/>
        <v>0</v>
      </c>
      <c r="K268" s="105">
        <f t="shared" ca="1" si="54"/>
        <v>0</v>
      </c>
      <c r="L268" s="105">
        <f t="shared" ca="1" si="55"/>
        <v>0</v>
      </c>
      <c r="M268" s="105">
        <f t="shared" ca="1" si="56"/>
        <v>0</v>
      </c>
      <c r="N268" s="105">
        <f t="shared" ca="1" si="57"/>
        <v>0</v>
      </c>
      <c r="O268" s="105">
        <f t="shared" ca="1" si="58"/>
        <v>0</v>
      </c>
      <c r="P268" s="105">
        <f t="shared" ca="1" si="59"/>
        <v>0</v>
      </c>
      <c r="Q268" s="105">
        <f t="shared" ca="1" si="60"/>
        <v>0</v>
      </c>
      <c r="R268" s="105">
        <f t="shared" ca="1" si="61"/>
        <v>0</v>
      </c>
      <c r="S268" s="105">
        <f t="shared" ca="1" si="62"/>
        <v>0</v>
      </c>
      <c r="T268" s="105">
        <f t="shared" ca="1" si="63"/>
        <v>0</v>
      </c>
      <c r="U268" s="105">
        <f t="shared" ca="1" si="64"/>
        <v>0</v>
      </c>
      <c r="V268" s="105">
        <f t="shared" ca="1" si="65"/>
        <v>0</v>
      </c>
      <c r="W268" s="105">
        <f t="shared" ca="1" si="66"/>
        <v>0</v>
      </c>
      <c r="X268" s="105">
        <f t="shared" ca="1" si="67"/>
        <v>0</v>
      </c>
      <c r="Y268" s="105">
        <f t="shared" ca="1" si="68"/>
        <v>0</v>
      </c>
      <c r="Z268" s="105">
        <f t="shared" ca="1" si="69"/>
        <v>0</v>
      </c>
      <c r="AA268" s="105">
        <f t="shared" ca="1" si="70"/>
        <v>0</v>
      </c>
      <c r="AB268" s="105">
        <f t="shared" ca="1" si="71"/>
        <v>0</v>
      </c>
      <c r="AC268" s="105"/>
      <c r="AD268" s="103"/>
      <c r="AE268" s="103"/>
      <c r="AF268" s="103"/>
      <c r="AG268" s="103"/>
      <c r="AH268" s="103"/>
      <c r="AI268" s="103"/>
      <c r="AJ268" s="103"/>
      <c r="AK268" s="103"/>
      <c r="AL268" s="103"/>
      <c r="AM268" s="103"/>
      <c r="AN268" s="103"/>
      <c r="AO268" s="103"/>
      <c r="AP268" s="103"/>
      <c r="AQ268" s="103"/>
      <c r="AR268" s="103"/>
      <c r="AS268" s="103"/>
      <c r="AT268" s="103"/>
      <c r="AU268" s="103"/>
      <c r="AV268" s="103"/>
    </row>
    <row r="269" spans="5:48">
      <c r="E269" s="105">
        <f t="shared" ca="1" si="48"/>
        <v>0</v>
      </c>
      <c r="F269" s="105">
        <f t="shared" ca="1" si="49"/>
        <v>0</v>
      </c>
      <c r="G269" s="105">
        <f t="shared" ca="1" si="50"/>
        <v>0</v>
      </c>
      <c r="H269" s="105">
        <f t="shared" ca="1" si="51"/>
        <v>0</v>
      </c>
      <c r="I269" s="105">
        <f t="shared" ca="1" si="52"/>
        <v>0</v>
      </c>
      <c r="J269" s="105">
        <f t="shared" ca="1" si="53"/>
        <v>0</v>
      </c>
      <c r="K269" s="105">
        <f t="shared" ca="1" si="54"/>
        <v>0</v>
      </c>
      <c r="L269" s="105">
        <f t="shared" ca="1" si="55"/>
        <v>0</v>
      </c>
      <c r="M269" s="105">
        <f t="shared" ca="1" si="56"/>
        <v>0</v>
      </c>
      <c r="N269" s="105">
        <f t="shared" ca="1" si="57"/>
        <v>0</v>
      </c>
      <c r="O269" s="105">
        <f t="shared" ca="1" si="58"/>
        <v>0</v>
      </c>
      <c r="P269" s="105">
        <f t="shared" ca="1" si="59"/>
        <v>0</v>
      </c>
      <c r="Q269" s="105">
        <f t="shared" ca="1" si="60"/>
        <v>0</v>
      </c>
      <c r="R269" s="105">
        <f t="shared" ca="1" si="61"/>
        <v>0</v>
      </c>
      <c r="S269" s="105">
        <f t="shared" ca="1" si="62"/>
        <v>0</v>
      </c>
      <c r="T269" s="105">
        <f t="shared" ca="1" si="63"/>
        <v>0</v>
      </c>
      <c r="U269" s="105">
        <f t="shared" ca="1" si="64"/>
        <v>0</v>
      </c>
      <c r="V269" s="105">
        <f t="shared" ca="1" si="65"/>
        <v>0</v>
      </c>
      <c r="W269" s="105">
        <f t="shared" ca="1" si="66"/>
        <v>0</v>
      </c>
      <c r="X269" s="105">
        <f t="shared" ca="1" si="67"/>
        <v>0</v>
      </c>
      <c r="Y269" s="105">
        <f t="shared" ca="1" si="68"/>
        <v>0</v>
      </c>
      <c r="Z269" s="105">
        <f t="shared" ca="1" si="69"/>
        <v>0</v>
      </c>
      <c r="AA269" s="105">
        <f t="shared" ca="1" si="70"/>
        <v>0</v>
      </c>
      <c r="AB269" s="105">
        <f t="shared" ca="1" si="71"/>
        <v>0</v>
      </c>
      <c r="AC269" s="105"/>
      <c r="AD269" s="103"/>
      <c r="AE269" s="103"/>
      <c r="AF269" s="103"/>
      <c r="AG269" s="103"/>
      <c r="AH269" s="103"/>
      <c r="AI269" s="103"/>
      <c r="AJ269" s="103"/>
      <c r="AK269" s="103"/>
      <c r="AL269" s="103"/>
      <c r="AM269" s="103"/>
      <c r="AN269" s="103"/>
      <c r="AO269" s="103"/>
      <c r="AP269" s="103"/>
      <c r="AQ269" s="103"/>
      <c r="AR269" s="103"/>
      <c r="AS269" s="103"/>
      <c r="AT269" s="103"/>
      <c r="AU269" s="103"/>
      <c r="AV269" s="103"/>
    </row>
    <row r="270" spans="5:48">
      <c r="E270" s="105">
        <f t="shared" ca="1" si="48"/>
        <v>0</v>
      </c>
      <c r="F270" s="105">
        <f t="shared" ca="1" si="49"/>
        <v>0</v>
      </c>
      <c r="G270" s="105">
        <f t="shared" ca="1" si="50"/>
        <v>0</v>
      </c>
      <c r="H270" s="105">
        <f t="shared" ca="1" si="51"/>
        <v>0</v>
      </c>
      <c r="I270" s="105">
        <f t="shared" ca="1" si="52"/>
        <v>0</v>
      </c>
      <c r="J270" s="105">
        <f t="shared" ca="1" si="53"/>
        <v>0</v>
      </c>
      <c r="K270" s="105">
        <f t="shared" ca="1" si="54"/>
        <v>0</v>
      </c>
      <c r="L270" s="105">
        <f t="shared" ca="1" si="55"/>
        <v>0</v>
      </c>
      <c r="M270" s="105">
        <f t="shared" ca="1" si="56"/>
        <v>0</v>
      </c>
      <c r="N270" s="105">
        <f t="shared" ca="1" si="57"/>
        <v>0</v>
      </c>
      <c r="O270" s="105">
        <f t="shared" ca="1" si="58"/>
        <v>0</v>
      </c>
      <c r="P270" s="105">
        <f t="shared" ca="1" si="59"/>
        <v>0</v>
      </c>
      <c r="Q270" s="105">
        <f t="shared" ca="1" si="60"/>
        <v>0</v>
      </c>
      <c r="R270" s="105">
        <f t="shared" ca="1" si="61"/>
        <v>0</v>
      </c>
      <c r="S270" s="105">
        <f t="shared" ca="1" si="62"/>
        <v>0</v>
      </c>
      <c r="T270" s="105">
        <f t="shared" ca="1" si="63"/>
        <v>0</v>
      </c>
      <c r="U270" s="105">
        <f t="shared" ca="1" si="64"/>
        <v>0</v>
      </c>
      <c r="V270" s="105">
        <f t="shared" ca="1" si="65"/>
        <v>0</v>
      </c>
      <c r="W270" s="105">
        <f t="shared" ca="1" si="66"/>
        <v>0</v>
      </c>
      <c r="X270" s="105">
        <f t="shared" ca="1" si="67"/>
        <v>0</v>
      </c>
      <c r="Y270" s="105">
        <f t="shared" ca="1" si="68"/>
        <v>0</v>
      </c>
      <c r="Z270" s="105">
        <f t="shared" ca="1" si="69"/>
        <v>0</v>
      </c>
      <c r="AA270" s="105">
        <f t="shared" ca="1" si="70"/>
        <v>0</v>
      </c>
      <c r="AB270" s="105">
        <f t="shared" ca="1" si="71"/>
        <v>0</v>
      </c>
      <c r="AC270" s="105"/>
      <c r="AD270" s="103"/>
      <c r="AE270" s="103"/>
      <c r="AF270" s="103"/>
      <c r="AG270" s="103"/>
      <c r="AH270" s="103"/>
      <c r="AI270" s="103"/>
      <c r="AJ270" s="103"/>
      <c r="AK270" s="103"/>
      <c r="AL270" s="103"/>
      <c r="AM270" s="103"/>
      <c r="AN270" s="103"/>
      <c r="AO270" s="103"/>
      <c r="AP270" s="103"/>
      <c r="AQ270" s="103"/>
      <c r="AR270" s="103"/>
      <c r="AS270" s="103"/>
      <c r="AT270" s="103"/>
      <c r="AU270" s="103"/>
      <c r="AV270" s="103"/>
    </row>
    <row r="271" spans="5:48">
      <c r="E271" s="105">
        <f t="shared" ca="1" si="48"/>
        <v>0</v>
      </c>
      <c r="F271" s="105">
        <f t="shared" ca="1" si="49"/>
        <v>0</v>
      </c>
      <c r="G271" s="105">
        <f t="shared" ca="1" si="50"/>
        <v>0</v>
      </c>
      <c r="H271" s="105">
        <f t="shared" ca="1" si="51"/>
        <v>0</v>
      </c>
      <c r="I271" s="105">
        <f t="shared" ca="1" si="52"/>
        <v>0</v>
      </c>
      <c r="J271" s="105">
        <f t="shared" ca="1" si="53"/>
        <v>0</v>
      </c>
      <c r="K271" s="105">
        <f t="shared" ca="1" si="54"/>
        <v>0</v>
      </c>
      <c r="L271" s="105">
        <f t="shared" ca="1" si="55"/>
        <v>0</v>
      </c>
      <c r="M271" s="105">
        <f t="shared" ca="1" si="56"/>
        <v>0</v>
      </c>
      <c r="N271" s="105">
        <f t="shared" ca="1" si="57"/>
        <v>0</v>
      </c>
      <c r="O271" s="105">
        <f t="shared" ca="1" si="58"/>
        <v>0</v>
      </c>
      <c r="P271" s="105">
        <f t="shared" ca="1" si="59"/>
        <v>0</v>
      </c>
      <c r="Q271" s="105">
        <f t="shared" ca="1" si="60"/>
        <v>0</v>
      </c>
      <c r="R271" s="105">
        <f t="shared" ca="1" si="61"/>
        <v>0</v>
      </c>
      <c r="S271" s="105">
        <f t="shared" ca="1" si="62"/>
        <v>0</v>
      </c>
      <c r="T271" s="105">
        <f t="shared" ca="1" si="63"/>
        <v>0</v>
      </c>
      <c r="U271" s="105">
        <f t="shared" ca="1" si="64"/>
        <v>0</v>
      </c>
      <c r="V271" s="105">
        <f t="shared" ca="1" si="65"/>
        <v>0</v>
      </c>
      <c r="W271" s="105">
        <f t="shared" ca="1" si="66"/>
        <v>0</v>
      </c>
      <c r="X271" s="105">
        <f t="shared" ca="1" si="67"/>
        <v>0</v>
      </c>
      <c r="Y271" s="105">
        <f t="shared" ca="1" si="68"/>
        <v>0</v>
      </c>
      <c r="Z271" s="105">
        <f t="shared" ca="1" si="69"/>
        <v>0</v>
      </c>
      <c r="AA271" s="105">
        <f t="shared" ca="1" si="70"/>
        <v>0</v>
      </c>
      <c r="AB271" s="105">
        <f t="shared" ca="1" si="71"/>
        <v>0</v>
      </c>
      <c r="AC271" s="105"/>
      <c r="AD271" s="103"/>
      <c r="AE271" s="103"/>
      <c r="AF271" s="103"/>
      <c r="AG271" s="103"/>
      <c r="AH271" s="103"/>
      <c r="AI271" s="103"/>
      <c r="AJ271" s="103"/>
      <c r="AK271" s="103"/>
      <c r="AL271" s="103"/>
      <c r="AM271" s="103"/>
      <c r="AN271" s="103"/>
      <c r="AO271" s="103"/>
      <c r="AP271" s="103"/>
      <c r="AQ271" s="103"/>
      <c r="AR271" s="103"/>
      <c r="AS271" s="103"/>
      <c r="AT271" s="103"/>
      <c r="AU271" s="103"/>
      <c r="AV271" s="103"/>
    </row>
    <row r="272" spans="5:48">
      <c r="E272" s="105">
        <f t="shared" ca="1" si="48"/>
        <v>0</v>
      </c>
      <c r="F272" s="105">
        <f t="shared" ca="1" si="49"/>
        <v>0</v>
      </c>
      <c r="G272" s="105">
        <f t="shared" ca="1" si="50"/>
        <v>0</v>
      </c>
      <c r="H272" s="105">
        <f t="shared" ca="1" si="51"/>
        <v>0</v>
      </c>
      <c r="I272" s="105">
        <f t="shared" ca="1" si="52"/>
        <v>0</v>
      </c>
      <c r="J272" s="105">
        <f t="shared" ca="1" si="53"/>
        <v>0</v>
      </c>
      <c r="K272" s="105">
        <f t="shared" ca="1" si="54"/>
        <v>0</v>
      </c>
      <c r="L272" s="105">
        <f t="shared" ca="1" si="55"/>
        <v>0</v>
      </c>
      <c r="M272" s="105">
        <f t="shared" ca="1" si="56"/>
        <v>0</v>
      </c>
      <c r="N272" s="105">
        <f t="shared" ca="1" si="57"/>
        <v>0</v>
      </c>
      <c r="O272" s="105">
        <f t="shared" ca="1" si="58"/>
        <v>0</v>
      </c>
      <c r="P272" s="105">
        <f t="shared" ca="1" si="59"/>
        <v>0</v>
      </c>
      <c r="Q272" s="105">
        <f t="shared" ca="1" si="60"/>
        <v>0</v>
      </c>
      <c r="R272" s="105">
        <f t="shared" ca="1" si="61"/>
        <v>0</v>
      </c>
      <c r="S272" s="105">
        <f t="shared" ca="1" si="62"/>
        <v>0</v>
      </c>
      <c r="T272" s="105">
        <f t="shared" ca="1" si="63"/>
        <v>0</v>
      </c>
      <c r="U272" s="105">
        <f t="shared" ca="1" si="64"/>
        <v>0</v>
      </c>
      <c r="V272" s="105">
        <f t="shared" ca="1" si="65"/>
        <v>0</v>
      </c>
      <c r="W272" s="105">
        <f t="shared" ca="1" si="66"/>
        <v>0</v>
      </c>
      <c r="X272" s="105">
        <f t="shared" ca="1" si="67"/>
        <v>0</v>
      </c>
      <c r="Y272" s="105">
        <f t="shared" ca="1" si="68"/>
        <v>0</v>
      </c>
      <c r="Z272" s="105">
        <f t="shared" ca="1" si="69"/>
        <v>0</v>
      </c>
      <c r="AA272" s="105">
        <f t="shared" ca="1" si="70"/>
        <v>0</v>
      </c>
      <c r="AB272" s="105">
        <f t="shared" ca="1" si="71"/>
        <v>0</v>
      </c>
      <c r="AC272" s="105"/>
      <c r="AD272" s="103"/>
      <c r="AE272" s="103"/>
      <c r="AF272" s="103"/>
      <c r="AG272" s="103"/>
      <c r="AH272" s="103"/>
      <c r="AI272" s="103"/>
      <c r="AJ272" s="103"/>
      <c r="AK272" s="103"/>
      <c r="AL272" s="103"/>
      <c r="AM272" s="103"/>
      <c r="AN272" s="103"/>
      <c r="AO272" s="103"/>
      <c r="AP272" s="103"/>
      <c r="AQ272" s="103"/>
      <c r="AR272" s="103"/>
      <c r="AS272" s="103"/>
      <c r="AT272" s="103"/>
      <c r="AU272" s="103"/>
      <c r="AV272" s="103"/>
    </row>
    <row r="273" spans="5:48">
      <c r="E273" s="105">
        <f t="shared" ca="1" si="48"/>
        <v>0</v>
      </c>
      <c r="F273" s="105">
        <f t="shared" ca="1" si="49"/>
        <v>0</v>
      </c>
      <c r="G273" s="105">
        <f t="shared" ca="1" si="50"/>
        <v>0</v>
      </c>
      <c r="H273" s="105">
        <f t="shared" ca="1" si="51"/>
        <v>0</v>
      </c>
      <c r="I273" s="105">
        <f t="shared" ca="1" si="52"/>
        <v>0</v>
      </c>
      <c r="J273" s="105">
        <f t="shared" ca="1" si="53"/>
        <v>0</v>
      </c>
      <c r="K273" s="105">
        <f t="shared" ca="1" si="54"/>
        <v>0</v>
      </c>
      <c r="L273" s="105">
        <f t="shared" ca="1" si="55"/>
        <v>0</v>
      </c>
      <c r="M273" s="105">
        <f t="shared" ca="1" si="56"/>
        <v>0</v>
      </c>
      <c r="N273" s="105">
        <f t="shared" ca="1" si="57"/>
        <v>0</v>
      </c>
      <c r="O273" s="105">
        <f t="shared" ca="1" si="58"/>
        <v>0</v>
      </c>
      <c r="P273" s="105">
        <f t="shared" ca="1" si="59"/>
        <v>0</v>
      </c>
      <c r="Q273" s="105">
        <f t="shared" ca="1" si="60"/>
        <v>0</v>
      </c>
      <c r="R273" s="105">
        <f t="shared" ca="1" si="61"/>
        <v>0</v>
      </c>
      <c r="S273" s="105">
        <f t="shared" ca="1" si="62"/>
        <v>0</v>
      </c>
      <c r="T273" s="105">
        <f t="shared" ca="1" si="63"/>
        <v>0</v>
      </c>
      <c r="U273" s="105">
        <f t="shared" ca="1" si="64"/>
        <v>0</v>
      </c>
      <c r="V273" s="105">
        <f t="shared" ca="1" si="65"/>
        <v>0</v>
      </c>
      <c r="W273" s="105">
        <f t="shared" ca="1" si="66"/>
        <v>0</v>
      </c>
      <c r="X273" s="105">
        <f t="shared" ca="1" si="67"/>
        <v>0</v>
      </c>
      <c r="Y273" s="105">
        <f t="shared" ca="1" si="68"/>
        <v>0</v>
      </c>
      <c r="Z273" s="105">
        <f t="shared" ca="1" si="69"/>
        <v>0</v>
      </c>
      <c r="AA273" s="105">
        <f t="shared" ca="1" si="70"/>
        <v>0</v>
      </c>
      <c r="AB273" s="105">
        <f t="shared" ca="1" si="71"/>
        <v>0</v>
      </c>
      <c r="AC273" s="105"/>
      <c r="AD273" s="103"/>
      <c r="AE273" s="103"/>
      <c r="AF273" s="103"/>
      <c r="AG273" s="103"/>
      <c r="AH273" s="103"/>
      <c r="AI273" s="103"/>
      <c r="AJ273" s="103"/>
      <c r="AK273" s="103"/>
      <c r="AL273" s="103"/>
      <c r="AM273" s="103"/>
      <c r="AN273" s="103"/>
      <c r="AO273" s="103"/>
      <c r="AP273" s="103"/>
      <c r="AQ273" s="103"/>
      <c r="AR273" s="103"/>
      <c r="AS273" s="103"/>
      <c r="AT273" s="103"/>
      <c r="AU273" s="103"/>
      <c r="AV273" s="103"/>
    </row>
    <row r="274" spans="5:48">
      <c r="E274" s="105">
        <f t="shared" ca="1" si="48"/>
        <v>0</v>
      </c>
      <c r="F274" s="105">
        <f t="shared" ca="1" si="49"/>
        <v>0</v>
      </c>
      <c r="G274" s="105">
        <f t="shared" ca="1" si="50"/>
        <v>0</v>
      </c>
      <c r="H274" s="105">
        <f t="shared" ca="1" si="51"/>
        <v>0</v>
      </c>
      <c r="I274" s="105">
        <f t="shared" ca="1" si="52"/>
        <v>0</v>
      </c>
      <c r="J274" s="105">
        <f t="shared" ca="1" si="53"/>
        <v>0</v>
      </c>
      <c r="K274" s="105">
        <f t="shared" ca="1" si="54"/>
        <v>0</v>
      </c>
      <c r="L274" s="105">
        <f t="shared" ca="1" si="55"/>
        <v>0</v>
      </c>
      <c r="M274" s="105">
        <f t="shared" ca="1" si="56"/>
        <v>0</v>
      </c>
      <c r="N274" s="105">
        <f t="shared" ca="1" si="57"/>
        <v>0</v>
      </c>
      <c r="O274" s="105">
        <f t="shared" ca="1" si="58"/>
        <v>0</v>
      </c>
      <c r="P274" s="105">
        <f t="shared" ca="1" si="59"/>
        <v>0</v>
      </c>
      <c r="Q274" s="105">
        <f t="shared" ca="1" si="60"/>
        <v>0</v>
      </c>
      <c r="R274" s="105">
        <f t="shared" ca="1" si="61"/>
        <v>0</v>
      </c>
      <c r="S274" s="105">
        <f t="shared" ca="1" si="62"/>
        <v>0</v>
      </c>
      <c r="T274" s="105">
        <f t="shared" ca="1" si="63"/>
        <v>0</v>
      </c>
      <c r="U274" s="105">
        <f t="shared" ca="1" si="64"/>
        <v>0</v>
      </c>
      <c r="V274" s="105">
        <f t="shared" ca="1" si="65"/>
        <v>0</v>
      </c>
      <c r="W274" s="105">
        <f t="shared" ca="1" si="66"/>
        <v>0</v>
      </c>
      <c r="X274" s="105">
        <f t="shared" ca="1" si="67"/>
        <v>0</v>
      </c>
      <c r="Y274" s="105">
        <f t="shared" ca="1" si="68"/>
        <v>0</v>
      </c>
      <c r="Z274" s="105">
        <f t="shared" ca="1" si="69"/>
        <v>0</v>
      </c>
      <c r="AA274" s="105">
        <f t="shared" ca="1" si="70"/>
        <v>0</v>
      </c>
      <c r="AB274" s="105">
        <f t="shared" ca="1" si="71"/>
        <v>0</v>
      </c>
      <c r="AC274" s="105"/>
      <c r="AD274" s="103"/>
      <c r="AE274" s="103"/>
      <c r="AF274" s="103"/>
      <c r="AG274" s="103"/>
      <c r="AH274" s="103"/>
      <c r="AI274" s="103"/>
      <c r="AJ274" s="103"/>
      <c r="AK274" s="103"/>
      <c r="AL274" s="103"/>
      <c r="AM274" s="103"/>
      <c r="AN274" s="103"/>
      <c r="AO274" s="103"/>
      <c r="AP274" s="103"/>
      <c r="AQ274" s="103"/>
      <c r="AR274" s="103"/>
      <c r="AS274" s="103"/>
      <c r="AT274" s="103"/>
      <c r="AU274" s="103"/>
      <c r="AV274" s="103"/>
    </row>
    <row r="275" spans="5:48">
      <c r="E275" s="105">
        <f t="shared" ca="1" si="48"/>
        <v>0</v>
      </c>
      <c r="F275" s="105">
        <f t="shared" ca="1" si="49"/>
        <v>0</v>
      </c>
      <c r="G275" s="105">
        <f t="shared" ca="1" si="50"/>
        <v>0</v>
      </c>
      <c r="H275" s="105">
        <f t="shared" ca="1" si="51"/>
        <v>0</v>
      </c>
      <c r="I275" s="105">
        <f t="shared" ca="1" si="52"/>
        <v>0</v>
      </c>
      <c r="J275" s="105">
        <f t="shared" ca="1" si="53"/>
        <v>0</v>
      </c>
      <c r="K275" s="105">
        <f t="shared" ca="1" si="54"/>
        <v>0</v>
      </c>
      <c r="L275" s="105">
        <f t="shared" ca="1" si="55"/>
        <v>0</v>
      </c>
      <c r="M275" s="105">
        <f t="shared" ca="1" si="56"/>
        <v>0</v>
      </c>
      <c r="N275" s="105">
        <f t="shared" ca="1" si="57"/>
        <v>0</v>
      </c>
      <c r="O275" s="105">
        <f t="shared" ca="1" si="58"/>
        <v>0</v>
      </c>
      <c r="P275" s="105">
        <f t="shared" ca="1" si="59"/>
        <v>0</v>
      </c>
      <c r="Q275" s="105">
        <f t="shared" ca="1" si="60"/>
        <v>0</v>
      </c>
      <c r="R275" s="105">
        <f t="shared" ca="1" si="61"/>
        <v>0</v>
      </c>
      <c r="S275" s="105">
        <f t="shared" ca="1" si="62"/>
        <v>0</v>
      </c>
      <c r="T275" s="105">
        <f t="shared" ca="1" si="63"/>
        <v>0</v>
      </c>
      <c r="U275" s="105">
        <f t="shared" ca="1" si="64"/>
        <v>0</v>
      </c>
      <c r="V275" s="105">
        <f t="shared" ca="1" si="65"/>
        <v>0</v>
      </c>
      <c r="W275" s="105">
        <f t="shared" ca="1" si="66"/>
        <v>0</v>
      </c>
      <c r="X275" s="105">
        <f t="shared" ca="1" si="67"/>
        <v>0</v>
      </c>
      <c r="Y275" s="105">
        <f t="shared" ca="1" si="68"/>
        <v>0</v>
      </c>
      <c r="Z275" s="105">
        <f t="shared" ca="1" si="69"/>
        <v>0</v>
      </c>
      <c r="AA275" s="105">
        <f t="shared" ca="1" si="70"/>
        <v>0</v>
      </c>
      <c r="AB275" s="105">
        <f t="shared" ca="1" si="71"/>
        <v>0</v>
      </c>
      <c r="AC275" s="105"/>
      <c r="AD275" s="103"/>
      <c r="AE275" s="103"/>
      <c r="AF275" s="103"/>
      <c r="AG275" s="103"/>
      <c r="AH275" s="103"/>
      <c r="AI275" s="103"/>
      <c r="AJ275" s="103"/>
      <c r="AK275" s="103"/>
      <c r="AL275" s="103"/>
      <c r="AM275" s="103"/>
      <c r="AN275" s="103"/>
      <c r="AO275" s="103"/>
      <c r="AP275" s="103"/>
      <c r="AQ275" s="103"/>
      <c r="AR275" s="103"/>
      <c r="AS275" s="103"/>
      <c r="AT275" s="103"/>
      <c r="AU275" s="103"/>
      <c r="AV275" s="103"/>
    </row>
    <row r="276" spans="5:48">
      <c r="E276" s="105">
        <f t="shared" ca="1" si="48"/>
        <v>0</v>
      </c>
      <c r="F276" s="105">
        <f t="shared" ca="1" si="49"/>
        <v>0</v>
      </c>
      <c r="G276" s="105">
        <f t="shared" ca="1" si="50"/>
        <v>0</v>
      </c>
      <c r="H276" s="105">
        <f t="shared" ca="1" si="51"/>
        <v>0</v>
      </c>
      <c r="I276" s="105">
        <f t="shared" ca="1" si="52"/>
        <v>0</v>
      </c>
      <c r="J276" s="105">
        <f t="shared" ca="1" si="53"/>
        <v>0</v>
      </c>
      <c r="K276" s="105">
        <f t="shared" ca="1" si="54"/>
        <v>0</v>
      </c>
      <c r="L276" s="105">
        <f t="shared" ca="1" si="55"/>
        <v>0</v>
      </c>
      <c r="M276" s="105">
        <f t="shared" ca="1" si="56"/>
        <v>0</v>
      </c>
      <c r="N276" s="105">
        <f t="shared" ca="1" si="57"/>
        <v>0</v>
      </c>
      <c r="O276" s="105">
        <f t="shared" ca="1" si="58"/>
        <v>0</v>
      </c>
      <c r="P276" s="105">
        <f t="shared" ca="1" si="59"/>
        <v>0</v>
      </c>
      <c r="Q276" s="105">
        <f t="shared" ca="1" si="60"/>
        <v>0</v>
      </c>
      <c r="R276" s="105">
        <f t="shared" ca="1" si="61"/>
        <v>0</v>
      </c>
      <c r="S276" s="105">
        <f t="shared" ca="1" si="62"/>
        <v>0</v>
      </c>
      <c r="T276" s="105">
        <f t="shared" ca="1" si="63"/>
        <v>0</v>
      </c>
      <c r="U276" s="105">
        <f t="shared" ca="1" si="64"/>
        <v>0</v>
      </c>
      <c r="V276" s="105">
        <f t="shared" ca="1" si="65"/>
        <v>0</v>
      </c>
      <c r="W276" s="105">
        <f t="shared" ca="1" si="66"/>
        <v>0</v>
      </c>
      <c r="X276" s="105">
        <f t="shared" ca="1" si="67"/>
        <v>0</v>
      </c>
      <c r="Y276" s="105">
        <f t="shared" ca="1" si="68"/>
        <v>0</v>
      </c>
      <c r="Z276" s="105">
        <f t="shared" ca="1" si="69"/>
        <v>0</v>
      </c>
      <c r="AA276" s="105">
        <f t="shared" ca="1" si="70"/>
        <v>0</v>
      </c>
      <c r="AB276" s="105">
        <f t="shared" ca="1" si="71"/>
        <v>0</v>
      </c>
      <c r="AC276" s="105"/>
      <c r="AD276" s="103"/>
      <c r="AE276" s="103"/>
      <c r="AF276" s="103"/>
      <c r="AG276" s="103"/>
      <c r="AH276" s="103"/>
      <c r="AI276" s="103"/>
      <c r="AJ276" s="103"/>
      <c r="AK276" s="103"/>
      <c r="AL276" s="103"/>
      <c r="AM276" s="103"/>
      <c r="AN276" s="103"/>
      <c r="AO276" s="103"/>
      <c r="AP276" s="103"/>
      <c r="AQ276" s="103"/>
      <c r="AR276" s="103"/>
      <c r="AS276" s="103"/>
      <c r="AT276" s="103"/>
      <c r="AU276" s="103"/>
      <c r="AV276" s="103"/>
    </row>
    <row r="277" spans="5:48">
      <c r="E277" s="105">
        <f t="shared" ca="1" si="48"/>
        <v>0</v>
      </c>
      <c r="F277" s="105">
        <f t="shared" ca="1" si="49"/>
        <v>0</v>
      </c>
      <c r="G277" s="105">
        <f t="shared" ca="1" si="50"/>
        <v>0</v>
      </c>
      <c r="H277" s="105">
        <f t="shared" ca="1" si="51"/>
        <v>0</v>
      </c>
      <c r="I277" s="105">
        <f t="shared" ca="1" si="52"/>
        <v>0</v>
      </c>
      <c r="J277" s="105">
        <f t="shared" ca="1" si="53"/>
        <v>0</v>
      </c>
      <c r="K277" s="105">
        <f t="shared" ca="1" si="54"/>
        <v>0</v>
      </c>
      <c r="L277" s="105">
        <f t="shared" ca="1" si="55"/>
        <v>0</v>
      </c>
      <c r="M277" s="105">
        <f t="shared" ca="1" si="56"/>
        <v>0</v>
      </c>
      <c r="N277" s="105">
        <f t="shared" ca="1" si="57"/>
        <v>0</v>
      </c>
      <c r="O277" s="105">
        <f t="shared" ca="1" si="58"/>
        <v>0</v>
      </c>
      <c r="P277" s="105">
        <f t="shared" ca="1" si="59"/>
        <v>0</v>
      </c>
      <c r="Q277" s="105">
        <f t="shared" ca="1" si="60"/>
        <v>0</v>
      </c>
      <c r="R277" s="105">
        <f t="shared" ca="1" si="61"/>
        <v>0</v>
      </c>
      <c r="S277" s="105">
        <f t="shared" ca="1" si="62"/>
        <v>0</v>
      </c>
      <c r="T277" s="105">
        <f t="shared" ca="1" si="63"/>
        <v>0</v>
      </c>
      <c r="U277" s="105">
        <f t="shared" ca="1" si="64"/>
        <v>0</v>
      </c>
      <c r="V277" s="105">
        <f t="shared" ca="1" si="65"/>
        <v>0</v>
      </c>
      <c r="W277" s="105">
        <f t="shared" ca="1" si="66"/>
        <v>0</v>
      </c>
      <c r="X277" s="105">
        <f t="shared" ca="1" si="67"/>
        <v>0</v>
      </c>
      <c r="Y277" s="105">
        <f t="shared" ca="1" si="68"/>
        <v>0</v>
      </c>
      <c r="Z277" s="105">
        <f t="shared" ca="1" si="69"/>
        <v>0</v>
      </c>
      <c r="AA277" s="105">
        <f t="shared" ca="1" si="70"/>
        <v>0</v>
      </c>
      <c r="AB277" s="105">
        <f t="shared" ca="1" si="71"/>
        <v>0</v>
      </c>
      <c r="AC277" s="105"/>
      <c r="AD277" s="103"/>
      <c r="AE277" s="103"/>
      <c r="AF277" s="103"/>
      <c r="AG277" s="103"/>
      <c r="AH277" s="103"/>
      <c r="AI277" s="103"/>
      <c r="AJ277" s="103"/>
      <c r="AK277" s="103"/>
      <c r="AL277" s="103"/>
      <c r="AM277" s="103"/>
      <c r="AN277" s="103"/>
      <c r="AO277" s="103"/>
      <c r="AP277" s="103"/>
      <c r="AQ277" s="103"/>
      <c r="AR277" s="103"/>
      <c r="AS277" s="103"/>
      <c r="AT277" s="103"/>
      <c r="AU277" s="103"/>
      <c r="AV277" s="103"/>
    </row>
    <row r="278" spans="5:48">
      <c r="E278" s="105">
        <f t="shared" ca="1" si="48"/>
        <v>0</v>
      </c>
      <c r="F278" s="105">
        <f t="shared" ca="1" si="49"/>
        <v>0</v>
      </c>
      <c r="G278" s="105">
        <f t="shared" ca="1" si="50"/>
        <v>0</v>
      </c>
      <c r="H278" s="105">
        <f t="shared" ca="1" si="51"/>
        <v>0</v>
      </c>
      <c r="I278" s="105">
        <f t="shared" ca="1" si="52"/>
        <v>0</v>
      </c>
      <c r="J278" s="105">
        <f t="shared" ca="1" si="53"/>
        <v>0</v>
      </c>
      <c r="K278" s="105">
        <f t="shared" ca="1" si="54"/>
        <v>0</v>
      </c>
      <c r="L278" s="105">
        <f t="shared" ca="1" si="55"/>
        <v>0</v>
      </c>
      <c r="M278" s="105">
        <f t="shared" ca="1" si="56"/>
        <v>0</v>
      </c>
      <c r="N278" s="105">
        <f t="shared" ca="1" si="57"/>
        <v>0</v>
      </c>
      <c r="O278" s="105">
        <f t="shared" ca="1" si="58"/>
        <v>0</v>
      </c>
      <c r="P278" s="105">
        <f t="shared" ca="1" si="59"/>
        <v>0</v>
      </c>
      <c r="Q278" s="105">
        <f t="shared" ca="1" si="60"/>
        <v>0</v>
      </c>
      <c r="R278" s="105">
        <f t="shared" ca="1" si="61"/>
        <v>0</v>
      </c>
      <c r="S278" s="105">
        <f t="shared" ca="1" si="62"/>
        <v>0</v>
      </c>
      <c r="T278" s="105">
        <f t="shared" ca="1" si="63"/>
        <v>0</v>
      </c>
      <c r="U278" s="105">
        <f t="shared" ca="1" si="64"/>
        <v>0</v>
      </c>
      <c r="V278" s="105">
        <f t="shared" ca="1" si="65"/>
        <v>0</v>
      </c>
      <c r="W278" s="105">
        <f t="shared" ca="1" si="66"/>
        <v>0</v>
      </c>
      <c r="X278" s="105">
        <f t="shared" ca="1" si="67"/>
        <v>0</v>
      </c>
      <c r="Y278" s="105">
        <f t="shared" ca="1" si="68"/>
        <v>0</v>
      </c>
      <c r="Z278" s="105">
        <f t="shared" ca="1" si="69"/>
        <v>0</v>
      </c>
      <c r="AA278" s="105">
        <f t="shared" ca="1" si="70"/>
        <v>0</v>
      </c>
      <c r="AB278" s="105">
        <f t="shared" ca="1" si="71"/>
        <v>0</v>
      </c>
      <c r="AC278" s="105"/>
      <c r="AD278" s="103"/>
      <c r="AE278" s="103"/>
      <c r="AF278" s="103"/>
      <c r="AG278" s="103"/>
      <c r="AH278" s="103"/>
      <c r="AI278" s="103"/>
      <c r="AJ278" s="103"/>
      <c r="AK278" s="103"/>
      <c r="AL278" s="103"/>
      <c r="AM278" s="103"/>
      <c r="AN278" s="103"/>
      <c r="AO278" s="103"/>
      <c r="AP278" s="103"/>
      <c r="AQ278" s="103"/>
      <c r="AR278" s="103"/>
      <c r="AS278" s="103"/>
      <c r="AT278" s="103"/>
      <c r="AU278" s="103"/>
      <c r="AV278" s="103"/>
    </row>
    <row r="279" spans="5:48">
      <c r="E279" s="105">
        <f t="shared" ca="1" si="48"/>
        <v>0</v>
      </c>
      <c r="F279" s="105">
        <f t="shared" ca="1" si="49"/>
        <v>0</v>
      </c>
      <c r="G279" s="105">
        <f t="shared" ca="1" si="50"/>
        <v>0</v>
      </c>
      <c r="H279" s="105">
        <f t="shared" ca="1" si="51"/>
        <v>0</v>
      </c>
      <c r="I279" s="105">
        <f t="shared" ca="1" si="52"/>
        <v>0</v>
      </c>
      <c r="J279" s="105">
        <f t="shared" ca="1" si="53"/>
        <v>0</v>
      </c>
      <c r="K279" s="105">
        <f t="shared" ca="1" si="54"/>
        <v>0</v>
      </c>
      <c r="L279" s="105">
        <f t="shared" ca="1" si="55"/>
        <v>0</v>
      </c>
      <c r="M279" s="105">
        <f t="shared" ca="1" si="56"/>
        <v>0</v>
      </c>
      <c r="N279" s="105">
        <f t="shared" ca="1" si="57"/>
        <v>0</v>
      </c>
      <c r="O279" s="105">
        <f t="shared" ca="1" si="58"/>
        <v>0</v>
      </c>
      <c r="P279" s="105">
        <f t="shared" ca="1" si="59"/>
        <v>0</v>
      </c>
      <c r="Q279" s="105">
        <f t="shared" ca="1" si="60"/>
        <v>0</v>
      </c>
      <c r="R279" s="105">
        <f t="shared" ca="1" si="61"/>
        <v>0</v>
      </c>
      <c r="S279" s="105">
        <f t="shared" ca="1" si="62"/>
        <v>0</v>
      </c>
      <c r="T279" s="105">
        <f t="shared" ca="1" si="63"/>
        <v>0</v>
      </c>
      <c r="U279" s="105">
        <f t="shared" ca="1" si="64"/>
        <v>0</v>
      </c>
      <c r="V279" s="105">
        <f t="shared" ca="1" si="65"/>
        <v>0</v>
      </c>
      <c r="W279" s="105">
        <f t="shared" ca="1" si="66"/>
        <v>0</v>
      </c>
      <c r="X279" s="105">
        <f t="shared" ca="1" si="67"/>
        <v>0</v>
      </c>
      <c r="Y279" s="105">
        <f t="shared" ca="1" si="68"/>
        <v>0</v>
      </c>
      <c r="Z279" s="105">
        <f t="shared" ca="1" si="69"/>
        <v>0</v>
      </c>
      <c r="AA279" s="105">
        <f t="shared" ca="1" si="70"/>
        <v>0</v>
      </c>
      <c r="AB279" s="105">
        <f t="shared" ca="1" si="71"/>
        <v>0</v>
      </c>
      <c r="AC279" s="105"/>
      <c r="AD279" s="103"/>
      <c r="AE279" s="103"/>
      <c r="AF279" s="103"/>
      <c r="AG279" s="103"/>
      <c r="AH279" s="103"/>
      <c r="AI279" s="103"/>
      <c r="AJ279" s="103"/>
      <c r="AK279" s="103"/>
      <c r="AL279" s="103"/>
      <c r="AM279" s="103"/>
      <c r="AN279" s="103"/>
      <c r="AO279" s="103"/>
      <c r="AP279" s="103"/>
      <c r="AQ279" s="103"/>
      <c r="AR279" s="103"/>
      <c r="AS279" s="103"/>
      <c r="AT279" s="103"/>
      <c r="AU279" s="103"/>
      <c r="AV279" s="103"/>
    </row>
    <row r="280" spans="5:48">
      <c r="E280" s="105">
        <f t="shared" ca="1" si="48"/>
        <v>0</v>
      </c>
      <c r="F280" s="105">
        <f t="shared" ca="1" si="49"/>
        <v>0</v>
      </c>
      <c r="G280" s="105">
        <f t="shared" ca="1" si="50"/>
        <v>0</v>
      </c>
      <c r="H280" s="105">
        <f t="shared" ca="1" si="51"/>
        <v>0</v>
      </c>
      <c r="I280" s="105">
        <f t="shared" ca="1" si="52"/>
        <v>0</v>
      </c>
      <c r="J280" s="105">
        <f t="shared" ca="1" si="53"/>
        <v>0</v>
      </c>
      <c r="K280" s="105">
        <f t="shared" ca="1" si="54"/>
        <v>0</v>
      </c>
      <c r="L280" s="105">
        <f t="shared" ca="1" si="55"/>
        <v>0</v>
      </c>
      <c r="M280" s="105">
        <f t="shared" ca="1" si="56"/>
        <v>0</v>
      </c>
      <c r="N280" s="105">
        <f t="shared" ca="1" si="57"/>
        <v>0</v>
      </c>
      <c r="O280" s="105">
        <f t="shared" ca="1" si="58"/>
        <v>0</v>
      </c>
      <c r="P280" s="105">
        <f t="shared" ca="1" si="59"/>
        <v>0</v>
      </c>
      <c r="Q280" s="105">
        <f t="shared" ca="1" si="60"/>
        <v>0</v>
      </c>
      <c r="R280" s="105">
        <f t="shared" ca="1" si="61"/>
        <v>0</v>
      </c>
      <c r="S280" s="105">
        <f t="shared" ca="1" si="62"/>
        <v>0</v>
      </c>
      <c r="T280" s="105">
        <f t="shared" ca="1" si="63"/>
        <v>0</v>
      </c>
      <c r="U280" s="105">
        <f t="shared" ca="1" si="64"/>
        <v>0</v>
      </c>
      <c r="V280" s="105">
        <f t="shared" ca="1" si="65"/>
        <v>0</v>
      </c>
      <c r="W280" s="105">
        <f t="shared" ca="1" si="66"/>
        <v>0</v>
      </c>
      <c r="X280" s="105">
        <f t="shared" ca="1" si="67"/>
        <v>0</v>
      </c>
      <c r="Y280" s="105">
        <f t="shared" ca="1" si="68"/>
        <v>0</v>
      </c>
      <c r="Z280" s="105">
        <f t="shared" ca="1" si="69"/>
        <v>0</v>
      </c>
      <c r="AA280" s="105">
        <f t="shared" ca="1" si="70"/>
        <v>0</v>
      </c>
      <c r="AB280" s="105">
        <f t="shared" ca="1" si="71"/>
        <v>0</v>
      </c>
      <c r="AC280" s="105"/>
      <c r="AD280" s="103"/>
      <c r="AE280" s="103"/>
      <c r="AF280" s="103"/>
      <c r="AG280" s="103"/>
      <c r="AH280" s="103"/>
      <c r="AI280" s="103"/>
      <c r="AJ280" s="103"/>
      <c r="AK280" s="103"/>
      <c r="AL280" s="103"/>
      <c r="AM280" s="103"/>
      <c r="AN280" s="103"/>
      <c r="AO280" s="103"/>
      <c r="AP280" s="103"/>
      <c r="AQ280" s="103"/>
      <c r="AR280" s="103"/>
      <c r="AS280" s="103"/>
      <c r="AT280" s="103"/>
      <c r="AU280" s="103"/>
      <c r="AV280" s="103"/>
    </row>
    <row r="281" spans="5:48">
      <c r="E281" s="105">
        <f t="shared" ca="1" si="48"/>
        <v>0</v>
      </c>
      <c r="F281" s="105">
        <f t="shared" ca="1" si="49"/>
        <v>0</v>
      </c>
      <c r="G281" s="105">
        <f t="shared" ca="1" si="50"/>
        <v>0</v>
      </c>
      <c r="H281" s="105">
        <f t="shared" ca="1" si="51"/>
        <v>0</v>
      </c>
      <c r="I281" s="105">
        <f t="shared" ca="1" si="52"/>
        <v>0</v>
      </c>
      <c r="J281" s="105">
        <f t="shared" ca="1" si="53"/>
        <v>0</v>
      </c>
      <c r="K281" s="105">
        <f t="shared" ca="1" si="54"/>
        <v>0</v>
      </c>
      <c r="L281" s="105">
        <f t="shared" ca="1" si="55"/>
        <v>0</v>
      </c>
      <c r="M281" s="105">
        <f t="shared" ca="1" si="56"/>
        <v>0</v>
      </c>
      <c r="N281" s="105">
        <f t="shared" ca="1" si="57"/>
        <v>0</v>
      </c>
      <c r="O281" s="105">
        <f t="shared" ca="1" si="58"/>
        <v>0</v>
      </c>
      <c r="P281" s="105">
        <f t="shared" ca="1" si="59"/>
        <v>0</v>
      </c>
      <c r="Q281" s="105">
        <f t="shared" ca="1" si="60"/>
        <v>0</v>
      </c>
      <c r="R281" s="105">
        <f t="shared" ca="1" si="61"/>
        <v>0</v>
      </c>
      <c r="S281" s="105">
        <f t="shared" ca="1" si="62"/>
        <v>0</v>
      </c>
      <c r="T281" s="105">
        <f t="shared" ca="1" si="63"/>
        <v>0</v>
      </c>
      <c r="U281" s="105">
        <f t="shared" ca="1" si="64"/>
        <v>0</v>
      </c>
      <c r="V281" s="105">
        <f t="shared" ca="1" si="65"/>
        <v>0</v>
      </c>
      <c r="W281" s="105">
        <f t="shared" ca="1" si="66"/>
        <v>0</v>
      </c>
      <c r="X281" s="105">
        <f t="shared" ca="1" si="67"/>
        <v>0</v>
      </c>
      <c r="Y281" s="105">
        <f t="shared" ca="1" si="68"/>
        <v>0</v>
      </c>
      <c r="Z281" s="105">
        <f t="shared" ca="1" si="69"/>
        <v>0</v>
      </c>
      <c r="AA281" s="105">
        <f t="shared" ca="1" si="70"/>
        <v>0</v>
      </c>
      <c r="AB281" s="105">
        <f t="shared" ca="1" si="71"/>
        <v>0</v>
      </c>
      <c r="AC281" s="105"/>
      <c r="AD281" s="103"/>
      <c r="AE281" s="103"/>
      <c r="AF281" s="103"/>
      <c r="AG281" s="103"/>
      <c r="AH281" s="103"/>
      <c r="AI281" s="103"/>
      <c r="AJ281" s="103"/>
      <c r="AK281" s="103"/>
      <c r="AL281" s="103"/>
      <c r="AM281" s="103"/>
      <c r="AN281" s="103"/>
      <c r="AO281" s="103"/>
      <c r="AP281" s="103"/>
      <c r="AQ281" s="103"/>
      <c r="AR281" s="103"/>
      <c r="AS281" s="103"/>
      <c r="AT281" s="103"/>
      <c r="AU281" s="103"/>
      <c r="AV281" s="103"/>
    </row>
    <row r="282" spans="5:48">
      <c r="E282" s="105">
        <f t="shared" ca="1" si="48"/>
        <v>0</v>
      </c>
      <c r="F282" s="105">
        <f t="shared" ca="1" si="49"/>
        <v>0</v>
      </c>
      <c r="G282" s="105">
        <f t="shared" ca="1" si="50"/>
        <v>0</v>
      </c>
      <c r="H282" s="105">
        <f t="shared" ca="1" si="51"/>
        <v>0</v>
      </c>
      <c r="I282" s="105">
        <f t="shared" ca="1" si="52"/>
        <v>0</v>
      </c>
      <c r="J282" s="105">
        <f t="shared" ca="1" si="53"/>
        <v>0</v>
      </c>
      <c r="K282" s="105">
        <f t="shared" ca="1" si="54"/>
        <v>0</v>
      </c>
      <c r="L282" s="105">
        <f t="shared" ca="1" si="55"/>
        <v>0</v>
      </c>
      <c r="M282" s="105">
        <f t="shared" ca="1" si="56"/>
        <v>0</v>
      </c>
      <c r="N282" s="105">
        <f t="shared" ca="1" si="57"/>
        <v>0</v>
      </c>
      <c r="O282" s="105">
        <f t="shared" ca="1" si="58"/>
        <v>0</v>
      </c>
      <c r="P282" s="105">
        <f t="shared" ca="1" si="59"/>
        <v>0</v>
      </c>
      <c r="Q282" s="105">
        <f t="shared" ca="1" si="60"/>
        <v>0</v>
      </c>
      <c r="R282" s="105">
        <f t="shared" ca="1" si="61"/>
        <v>0</v>
      </c>
      <c r="S282" s="105">
        <f t="shared" ca="1" si="62"/>
        <v>0</v>
      </c>
      <c r="T282" s="105">
        <f t="shared" ca="1" si="63"/>
        <v>0</v>
      </c>
      <c r="U282" s="105">
        <f t="shared" ca="1" si="64"/>
        <v>0</v>
      </c>
      <c r="V282" s="105">
        <f t="shared" ca="1" si="65"/>
        <v>0</v>
      </c>
      <c r="W282" s="105">
        <f t="shared" ca="1" si="66"/>
        <v>0</v>
      </c>
      <c r="X282" s="105">
        <f t="shared" ca="1" si="67"/>
        <v>0</v>
      </c>
      <c r="Y282" s="105">
        <f t="shared" ca="1" si="68"/>
        <v>0</v>
      </c>
      <c r="Z282" s="105">
        <f t="shared" ca="1" si="69"/>
        <v>0</v>
      </c>
      <c r="AA282" s="105">
        <f t="shared" ca="1" si="70"/>
        <v>0</v>
      </c>
      <c r="AB282" s="105">
        <f t="shared" ca="1" si="71"/>
        <v>0</v>
      </c>
      <c r="AC282" s="105"/>
      <c r="AD282" s="103"/>
      <c r="AE282" s="103"/>
      <c r="AF282" s="103"/>
      <c r="AG282" s="103"/>
      <c r="AH282" s="103"/>
      <c r="AI282" s="103"/>
      <c r="AJ282" s="103"/>
      <c r="AK282" s="103"/>
      <c r="AL282" s="103"/>
      <c r="AM282" s="103"/>
      <c r="AN282" s="103"/>
      <c r="AO282" s="103"/>
      <c r="AP282" s="103"/>
      <c r="AQ282" s="103"/>
      <c r="AR282" s="103"/>
      <c r="AS282" s="103"/>
      <c r="AT282" s="103"/>
      <c r="AU282" s="103"/>
      <c r="AV282" s="103"/>
    </row>
    <row r="283" spans="5:48">
      <c r="E283" s="105">
        <f t="shared" si="48"/>
        <v>0</v>
      </c>
      <c r="F283" s="105">
        <f t="shared" si="49"/>
        <v>0</v>
      </c>
      <c r="G283" s="105">
        <f t="shared" si="50"/>
        <v>0</v>
      </c>
      <c r="H283" s="105">
        <f t="shared" si="51"/>
        <v>0</v>
      </c>
      <c r="I283" s="105">
        <f t="shared" si="52"/>
        <v>0</v>
      </c>
      <c r="J283" s="105">
        <f t="shared" si="53"/>
        <v>0</v>
      </c>
      <c r="K283" s="105">
        <f t="shared" si="54"/>
        <v>0</v>
      </c>
      <c r="L283" s="105">
        <f t="shared" si="55"/>
        <v>0</v>
      </c>
      <c r="M283" s="105">
        <f t="shared" si="56"/>
        <v>0</v>
      </c>
      <c r="N283" s="105">
        <f t="shared" si="57"/>
        <v>0</v>
      </c>
      <c r="O283" s="105">
        <f t="shared" si="58"/>
        <v>0</v>
      </c>
      <c r="P283" s="105">
        <f t="shared" si="59"/>
        <v>0</v>
      </c>
      <c r="Q283" s="105">
        <f t="shared" si="60"/>
        <v>0</v>
      </c>
      <c r="R283" s="105">
        <f t="shared" si="61"/>
        <v>0</v>
      </c>
      <c r="S283" s="105">
        <f t="shared" si="62"/>
        <v>0</v>
      </c>
      <c r="T283" s="105">
        <f t="shared" si="63"/>
        <v>0</v>
      </c>
      <c r="U283" s="105">
        <f t="shared" si="64"/>
        <v>0</v>
      </c>
      <c r="V283" s="105">
        <f t="shared" si="65"/>
        <v>0</v>
      </c>
      <c r="W283" s="105">
        <f t="shared" si="66"/>
        <v>0</v>
      </c>
      <c r="X283" s="105">
        <f t="shared" si="67"/>
        <v>0</v>
      </c>
      <c r="Y283" s="105">
        <f t="shared" si="68"/>
        <v>0</v>
      </c>
      <c r="Z283" s="105">
        <f t="shared" si="69"/>
        <v>0</v>
      </c>
      <c r="AA283" s="105">
        <f t="shared" si="70"/>
        <v>0</v>
      </c>
      <c r="AB283" s="105">
        <f t="shared" si="71"/>
        <v>0</v>
      </c>
      <c r="AC283" s="105"/>
      <c r="AD283" s="103"/>
      <c r="AE283" s="103"/>
      <c r="AF283" s="103"/>
      <c r="AG283" s="103"/>
      <c r="AH283" s="103"/>
      <c r="AI283" s="103"/>
      <c r="AJ283" s="103"/>
      <c r="AK283" s="103"/>
      <c r="AL283" s="103"/>
      <c r="AM283" s="103"/>
      <c r="AN283" s="103"/>
      <c r="AO283" s="103"/>
      <c r="AP283" s="103"/>
      <c r="AQ283" s="103"/>
      <c r="AR283" s="103"/>
      <c r="AS283" s="103"/>
      <c r="AT283" s="103"/>
      <c r="AU283" s="103"/>
      <c r="AV283" s="103"/>
    </row>
    <row r="284" spans="5:48">
      <c r="E284" s="105">
        <f t="shared" si="48"/>
        <v>0</v>
      </c>
      <c r="F284" s="105">
        <f t="shared" si="49"/>
        <v>0</v>
      </c>
      <c r="G284" s="105">
        <f t="shared" si="50"/>
        <v>0</v>
      </c>
      <c r="H284" s="105">
        <f t="shared" si="51"/>
        <v>0</v>
      </c>
      <c r="I284" s="105">
        <f t="shared" si="52"/>
        <v>0</v>
      </c>
      <c r="J284" s="105">
        <f t="shared" si="53"/>
        <v>0</v>
      </c>
      <c r="K284" s="105">
        <f t="shared" si="54"/>
        <v>0</v>
      </c>
      <c r="L284" s="105">
        <f t="shared" si="55"/>
        <v>0</v>
      </c>
      <c r="M284" s="105">
        <f t="shared" si="56"/>
        <v>0</v>
      </c>
      <c r="N284" s="105">
        <f t="shared" si="57"/>
        <v>0</v>
      </c>
      <c r="O284" s="105">
        <f t="shared" si="58"/>
        <v>0</v>
      </c>
      <c r="P284" s="105">
        <f t="shared" si="59"/>
        <v>0</v>
      </c>
      <c r="Q284" s="105">
        <f t="shared" si="60"/>
        <v>0</v>
      </c>
      <c r="R284" s="105">
        <f t="shared" si="61"/>
        <v>0</v>
      </c>
      <c r="S284" s="105">
        <f t="shared" si="62"/>
        <v>0</v>
      </c>
      <c r="T284" s="105">
        <f t="shared" si="63"/>
        <v>0</v>
      </c>
      <c r="U284" s="105">
        <f t="shared" si="64"/>
        <v>0</v>
      </c>
      <c r="V284" s="105">
        <f t="shared" si="65"/>
        <v>0</v>
      </c>
      <c r="W284" s="105">
        <f t="shared" si="66"/>
        <v>0</v>
      </c>
      <c r="X284" s="105">
        <f t="shared" si="67"/>
        <v>0</v>
      </c>
      <c r="Y284" s="105">
        <f t="shared" si="68"/>
        <v>0</v>
      </c>
      <c r="Z284" s="105">
        <f t="shared" si="69"/>
        <v>0</v>
      </c>
      <c r="AA284" s="105">
        <f t="shared" si="70"/>
        <v>0</v>
      </c>
      <c r="AB284" s="105">
        <f t="shared" si="71"/>
        <v>0</v>
      </c>
      <c r="AC284" s="105"/>
      <c r="AD284" s="103"/>
      <c r="AE284" s="103"/>
      <c r="AF284" s="103"/>
      <c r="AG284" s="103"/>
      <c r="AH284" s="103"/>
      <c r="AI284" s="103"/>
      <c r="AJ284" s="103"/>
      <c r="AK284" s="103"/>
      <c r="AL284" s="103"/>
      <c r="AM284" s="103"/>
      <c r="AN284" s="103"/>
      <c r="AO284" s="103"/>
      <c r="AP284" s="103"/>
      <c r="AQ284" s="103"/>
      <c r="AR284" s="103"/>
      <c r="AS284" s="103"/>
      <c r="AT284" s="103"/>
      <c r="AU284" s="103"/>
      <c r="AV284" s="103"/>
    </row>
    <row r="285" spans="5:48">
      <c r="E285" s="105" t="e">
        <f>IF(#REF!&lt;=$E$150,IF($E$150&lt;#REF!,1,0),0)</f>
        <v>#REF!</v>
      </c>
      <c r="F285" s="105" t="e">
        <f>IF(#REF!&lt;=$F$150,IF($F$150&lt;#REF!,1,0),0)</f>
        <v>#REF!</v>
      </c>
      <c r="G285" s="105" t="e">
        <f>IF(#REF!&lt;=$G$150,IF($G$150&lt;#REF!,1,0),0)</f>
        <v>#REF!</v>
      </c>
      <c r="H285" s="105" t="e">
        <f>IF(#REF!&lt;=$H$150,IF($H$150&lt;#REF!,1,0),0)</f>
        <v>#REF!</v>
      </c>
      <c r="I285" s="105" t="e">
        <f>IF(#REF!&lt;=$I$150,IF($I$150&lt;#REF!,1,0),0)</f>
        <v>#REF!</v>
      </c>
      <c r="J285" s="105" t="e">
        <f>IF(#REF!&lt;=$J$150,IF($J$150&lt;#REF!,1,0),0)</f>
        <v>#REF!</v>
      </c>
      <c r="K285" s="105" t="e">
        <f>IF(#REF!&lt;=$K$150,IF($K$150&lt;#REF!,1,0),0)</f>
        <v>#REF!</v>
      </c>
      <c r="L285" s="105" t="e">
        <f>IF(#REF!&lt;=$L$150,IF($L$150&lt;#REF!,1,0),0)</f>
        <v>#REF!</v>
      </c>
      <c r="M285" s="105" t="e">
        <f>IF(#REF!&lt;=$M$150,IF($M$150&lt;#REF!,1,0),0)</f>
        <v>#REF!</v>
      </c>
      <c r="N285" s="105" t="e">
        <f>IF(#REF!&lt;=$N$150,IF($N$150&lt;#REF!,1,0),0)</f>
        <v>#REF!</v>
      </c>
      <c r="O285" s="105" t="e">
        <f>IF(#REF!&lt;=$O$150,IF($O$150&lt;#REF!,1,0),0)</f>
        <v>#REF!</v>
      </c>
      <c r="P285" s="105" t="e">
        <f>IF(#REF!&lt;=$P$150,IF($P$150&lt;#REF!,1,0),0)</f>
        <v>#REF!</v>
      </c>
      <c r="Q285" s="105" t="e">
        <f>IF(#REF!&lt;=$Q$150,IF($Q$150&lt;#REF!,1,0),0)</f>
        <v>#REF!</v>
      </c>
      <c r="R285" s="105" t="e">
        <f>IF(#REF!&lt;=$R$150,IF($R$150&lt;#REF!,1,0),0)</f>
        <v>#REF!</v>
      </c>
      <c r="S285" s="105" t="e">
        <f>IF(#REF!&lt;=$S$150,IF($S$150&lt;#REF!,1,0),0)</f>
        <v>#REF!</v>
      </c>
      <c r="T285" s="105" t="e">
        <f>IF(#REF!&lt;=$T$150,IF($T$150&lt;#REF!,1,0),0)</f>
        <v>#REF!</v>
      </c>
      <c r="U285" s="105" t="e">
        <f>IF(#REF!&lt;=$U$150,IF($U$150&lt;#REF!,1,0),0)</f>
        <v>#REF!</v>
      </c>
      <c r="V285" s="105" t="e">
        <f>IF(#REF!&lt;=$V$150,IF($V$150&lt;#REF!,1,0),0)</f>
        <v>#REF!</v>
      </c>
      <c r="W285" s="105" t="e">
        <f>IF(#REF!&lt;=$W$150,IF($W$150&lt;#REF!,1,0),0)</f>
        <v>#REF!</v>
      </c>
      <c r="X285" s="105" t="e">
        <f>IF(#REF!&lt;=$X$150,IF($X$150&lt;#REF!,1,0),0)</f>
        <v>#REF!</v>
      </c>
      <c r="Y285" s="105" t="e">
        <f>IF(#REF!&lt;=$Y$150,IF($Y$150&lt;#REF!,1,0),0)</f>
        <v>#REF!</v>
      </c>
      <c r="Z285" s="105" t="e">
        <f>IF(#REF!&lt;=$Z$150,IF($Z$150&lt;#REF!,1,0),0)</f>
        <v>#REF!</v>
      </c>
      <c r="AA285" s="105" t="e">
        <f>IF(#REF!&lt;=$AA$150,IF($AA$150&lt;#REF!,1,0),0)</f>
        <v>#REF!</v>
      </c>
      <c r="AB285" s="105" t="e">
        <f>IF(#REF!&lt;=$AB$150,IF($AB$150&lt;#REF!,1,0),0)</f>
        <v>#REF!</v>
      </c>
      <c r="AC285" s="105"/>
      <c r="AD285" s="103"/>
      <c r="AE285" s="103"/>
      <c r="AF285" s="103"/>
      <c r="AG285" s="103"/>
      <c r="AH285" s="103"/>
      <c r="AI285" s="103"/>
      <c r="AJ285" s="103"/>
      <c r="AK285" s="103"/>
      <c r="AL285" s="103"/>
      <c r="AM285" s="103"/>
      <c r="AN285" s="103"/>
      <c r="AO285" s="103"/>
      <c r="AP285" s="103"/>
      <c r="AQ285" s="103"/>
      <c r="AR285" s="103"/>
      <c r="AS285" s="103"/>
      <c r="AT285" s="103"/>
      <c r="AU285" s="103"/>
      <c r="AV285" s="103"/>
    </row>
    <row r="286" spans="5:48">
      <c r="E286" s="105">
        <f t="shared" ref="E286:E316" ca="1" si="72">IF($B16&lt;=$E$150,IF($E$150&lt;$C16,1,0),0)</f>
        <v>0</v>
      </c>
      <c r="F286" s="105">
        <f t="shared" ref="F286:F316" ca="1" si="73">IF($B16&lt;=$F$150,IF($F$150&lt;$C16,1,0),0)</f>
        <v>0</v>
      </c>
      <c r="G286" s="105">
        <f t="shared" ref="G286:G316" ca="1" si="74">IF($B16&lt;=$G$150,IF($G$150&lt;$C16,1,0),0)</f>
        <v>0</v>
      </c>
      <c r="H286" s="105">
        <f t="shared" ref="H286:H316" ca="1" si="75">IF($B16&lt;=$H$150,IF($H$150&lt;$C16,1,0),0)</f>
        <v>1</v>
      </c>
      <c r="I286" s="105">
        <f t="shared" ref="I286:I316" ca="1" si="76">IF($B16&lt;=$I$150,IF($I$150&lt;$C16,1,0),0)</f>
        <v>1</v>
      </c>
      <c r="J286" s="105">
        <f t="shared" ref="J286:J316" ca="1" si="77">IF($B16&lt;=$J$150,IF($J$150&lt;$C16,1,0),0)</f>
        <v>1</v>
      </c>
      <c r="K286" s="105">
        <f t="shared" ref="K286:K316" ca="1" si="78">IF($B16&lt;=$K$150,IF($K$150&lt;$C16,1,0),0)</f>
        <v>1</v>
      </c>
      <c r="L286" s="105">
        <f t="shared" ref="L286:L316" ca="1" si="79">IF($B16&lt;=$L$150,IF($L$150&lt;$C16,1,0),0)</f>
        <v>1</v>
      </c>
      <c r="M286" s="105">
        <f t="shared" ref="M286:M316" ca="1" si="80">IF($B16&lt;=$M$150,IF($M$150&lt;$C16,1,0),0)</f>
        <v>1</v>
      </c>
      <c r="N286" s="105">
        <f t="shared" ref="N286:N316" ca="1" si="81">IF($B16&lt;=$N$150,IF($N$150&lt;$C16,1,0),0)</f>
        <v>1</v>
      </c>
      <c r="O286" s="105">
        <f t="shared" ref="O286:O316" ca="1" si="82">IF($B16&lt;=$O$150,IF($O$150&lt;$C16,1,0),0)</f>
        <v>1</v>
      </c>
      <c r="P286" s="105">
        <f t="shared" ref="P286:P316" ca="1" si="83">IF($B16&lt;=$P$150,IF($P$150&lt;$C16,1,0),0)</f>
        <v>1</v>
      </c>
      <c r="Q286" s="105">
        <f t="shared" ref="Q286:Q316" ca="1" si="84">IF($B16&lt;=$Q$150,IF($Q$150&lt;$C16,1,0),0)</f>
        <v>1</v>
      </c>
      <c r="R286" s="105">
        <f t="shared" ref="R286:R316" ca="1" si="85">IF($B16&lt;=$R$150,IF($R$150&lt;$C16,1,0),0)</f>
        <v>1</v>
      </c>
      <c r="S286" s="105">
        <f t="shared" ref="S286:S316" ca="1" si="86">IF($B16&lt;=$S$150,IF($S$150&lt;$C16,1,0),0)</f>
        <v>1</v>
      </c>
      <c r="T286" s="105">
        <f t="shared" ref="T286:T316" ca="1" si="87">IF($B16&lt;=$T$150,IF($T$150&lt;$C16,1,0),0)</f>
        <v>0</v>
      </c>
      <c r="U286" s="105">
        <f t="shared" ref="U286:U316" ca="1" si="88">IF($B16&lt;=$U$150,IF($U$150&lt;$C16,1,0),0)</f>
        <v>0</v>
      </c>
      <c r="V286" s="105">
        <f t="shared" ref="V286:V316" ca="1" si="89">IF($B16&lt;=$V$150,IF($V$150&lt;$C16,1,0),0)</f>
        <v>0</v>
      </c>
      <c r="W286" s="105">
        <f t="shared" ref="W286:W316" ca="1" si="90">IF($B16&lt;=$W$150,IF($W$150&lt;$C16,1,0),0)</f>
        <v>0</v>
      </c>
      <c r="X286" s="105">
        <f t="shared" ref="X286:X316" ca="1" si="91">IF($B16&lt;=$X$150,IF($X$150&lt;$C16,1,0),0)</f>
        <v>0</v>
      </c>
      <c r="Y286" s="105">
        <f t="shared" ref="Y286:Y316" ca="1" si="92">IF($B16&lt;=$Y$150,IF($Y$150&lt;$C16,1,0),0)</f>
        <v>0</v>
      </c>
      <c r="Z286" s="105">
        <f t="shared" ref="Z286:Z316" ca="1" si="93">IF($B16&lt;=$Z$150,IF($Z$150&lt;$C16,1,0),0)</f>
        <v>0</v>
      </c>
      <c r="AA286" s="105">
        <f t="shared" ref="AA286:AA316" ca="1" si="94">IF($B16&lt;=$AA$150,IF($AA$150&lt;$C16,1,0),0)</f>
        <v>0</v>
      </c>
      <c r="AB286" s="105">
        <f t="shared" ref="AB286:AB316" ca="1" si="95">IF($B16&lt;=$AB$150,IF($AB$150&lt;$C16,1,0),0)</f>
        <v>0</v>
      </c>
      <c r="AC286" s="105"/>
      <c r="AD286" s="103"/>
      <c r="AE286" s="103"/>
      <c r="AF286" s="103"/>
      <c r="AG286" s="103"/>
      <c r="AH286" s="103"/>
      <c r="AI286" s="103"/>
      <c r="AJ286" s="103"/>
      <c r="AK286" s="103"/>
      <c r="AL286" s="103"/>
      <c r="AM286" s="103"/>
      <c r="AN286" s="103"/>
      <c r="AO286" s="103"/>
      <c r="AP286" s="103"/>
      <c r="AQ286" s="103"/>
      <c r="AR286" s="103"/>
      <c r="AS286" s="103"/>
      <c r="AT286" s="103"/>
      <c r="AU286" s="103"/>
      <c r="AV286" s="103"/>
    </row>
    <row r="287" spans="5:48">
      <c r="E287" s="105">
        <f t="shared" ca="1" si="72"/>
        <v>0</v>
      </c>
      <c r="F287" s="105">
        <f t="shared" ca="1" si="73"/>
        <v>0</v>
      </c>
      <c r="G287" s="105">
        <f t="shared" ca="1" si="74"/>
        <v>0</v>
      </c>
      <c r="H287" s="105">
        <f t="shared" ca="1" si="75"/>
        <v>1</v>
      </c>
      <c r="I287" s="105">
        <f t="shared" ca="1" si="76"/>
        <v>1</v>
      </c>
      <c r="J287" s="105">
        <f t="shared" ca="1" si="77"/>
        <v>1</v>
      </c>
      <c r="K287" s="105">
        <f t="shared" ca="1" si="78"/>
        <v>1</v>
      </c>
      <c r="L287" s="105">
        <f t="shared" ca="1" si="79"/>
        <v>1</v>
      </c>
      <c r="M287" s="105">
        <f t="shared" ca="1" si="80"/>
        <v>1</v>
      </c>
      <c r="N287" s="105">
        <f t="shared" ca="1" si="81"/>
        <v>1</v>
      </c>
      <c r="O287" s="105">
        <f t="shared" ca="1" si="82"/>
        <v>1</v>
      </c>
      <c r="P287" s="105">
        <f t="shared" ca="1" si="83"/>
        <v>1</v>
      </c>
      <c r="Q287" s="105">
        <f t="shared" ca="1" si="84"/>
        <v>1</v>
      </c>
      <c r="R287" s="105">
        <f t="shared" ca="1" si="85"/>
        <v>1</v>
      </c>
      <c r="S287" s="105">
        <f t="shared" ca="1" si="86"/>
        <v>1</v>
      </c>
      <c r="T287" s="105">
        <f t="shared" ca="1" si="87"/>
        <v>0</v>
      </c>
      <c r="U287" s="105">
        <f t="shared" ca="1" si="88"/>
        <v>0</v>
      </c>
      <c r="V287" s="105">
        <f t="shared" ca="1" si="89"/>
        <v>0</v>
      </c>
      <c r="W287" s="105">
        <f t="shared" ca="1" si="90"/>
        <v>0</v>
      </c>
      <c r="X287" s="105">
        <f t="shared" ca="1" si="91"/>
        <v>0</v>
      </c>
      <c r="Y287" s="105">
        <f t="shared" ca="1" si="92"/>
        <v>0</v>
      </c>
      <c r="Z287" s="105">
        <f t="shared" ca="1" si="93"/>
        <v>0</v>
      </c>
      <c r="AA287" s="105">
        <f t="shared" ca="1" si="94"/>
        <v>0</v>
      </c>
      <c r="AB287" s="105">
        <f t="shared" ca="1" si="95"/>
        <v>0</v>
      </c>
      <c r="AC287" s="105"/>
      <c r="AD287" s="103"/>
      <c r="AE287" s="103"/>
      <c r="AF287" s="103"/>
      <c r="AG287" s="103"/>
      <c r="AH287" s="103"/>
      <c r="AI287" s="103"/>
      <c r="AJ287" s="103"/>
      <c r="AK287" s="103"/>
      <c r="AL287" s="103"/>
      <c r="AM287" s="103"/>
      <c r="AN287" s="103"/>
      <c r="AO287" s="103"/>
      <c r="AP287" s="103"/>
      <c r="AQ287" s="103"/>
      <c r="AR287" s="103"/>
      <c r="AS287" s="103"/>
      <c r="AT287" s="103"/>
      <c r="AU287" s="103"/>
      <c r="AV287" s="103"/>
    </row>
    <row r="288" spans="5:48">
      <c r="E288" s="105">
        <f t="shared" ca="1" si="72"/>
        <v>0</v>
      </c>
      <c r="F288" s="105">
        <f t="shared" ca="1" si="73"/>
        <v>0</v>
      </c>
      <c r="G288" s="105">
        <f t="shared" ca="1" si="74"/>
        <v>0</v>
      </c>
      <c r="H288" s="105">
        <f t="shared" ca="1" si="75"/>
        <v>1</v>
      </c>
      <c r="I288" s="105">
        <f t="shared" ca="1" si="76"/>
        <v>1</v>
      </c>
      <c r="J288" s="105">
        <f t="shared" ca="1" si="77"/>
        <v>1</v>
      </c>
      <c r="K288" s="105">
        <f t="shared" ca="1" si="78"/>
        <v>1</v>
      </c>
      <c r="L288" s="105">
        <f t="shared" ca="1" si="79"/>
        <v>1</v>
      </c>
      <c r="M288" s="105">
        <f t="shared" ca="1" si="80"/>
        <v>1</v>
      </c>
      <c r="N288" s="105">
        <f t="shared" ca="1" si="81"/>
        <v>1</v>
      </c>
      <c r="O288" s="105">
        <f t="shared" ca="1" si="82"/>
        <v>1</v>
      </c>
      <c r="P288" s="105">
        <f t="shared" ca="1" si="83"/>
        <v>1</v>
      </c>
      <c r="Q288" s="105">
        <f t="shared" ca="1" si="84"/>
        <v>1</v>
      </c>
      <c r="R288" s="105">
        <f t="shared" ca="1" si="85"/>
        <v>1</v>
      </c>
      <c r="S288" s="105">
        <f t="shared" ca="1" si="86"/>
        <v>1</v>
      </c>
      <c r="T288" s="105">
        <f t="shared" ca="1" si="87"/>
        <v>0</v>
      </c>
      <c r="U288" s="105">
        <f t="shared" ca="1" si="88"/>
        <v>0</v>
      </c>
      <c r="V288" s="105">
        <f t="shared" ca="1" si="89"/>
        <v>0</v>
      </c>
      <c r="W288" s="105">
        <f t="shared" ca="1" si="90"/>
        <v>0</v>
      </c>
      <c r="X288" s="105">
        <f t="shared" ca="1" si="91"/>
        <v>0</v>
      </c>
      <c r="Y288" s="105">
        <f t="shared" ca="1" si="92"/>
        <v>0</v>
      </c>
      <c r="Z288" s="105">
        <f t="shared" ca="1" si="93"/>
        <v>0</v>
      </c>
      <c r="AA288" s="105">
        <f t="shared" ca="1" si="94"/>
        <v>0</v>
      </c>
      <c r="AB288" s="105">
        <f t="shared" ca="1" si="95"/>
        <v>0</v>
      </c>
      <c r="AC288" s="105"/>
      <c r="AD288" s="103"/>
      <c r="AE288" s="103"/>
      <c r="AF288" s="103"/>
      <c r="AG288" s="103"/>
      <c r="AH288" s="103"/>
      <c r="AI288" s="103"/>
      <c r="AJ288" s="103"/>
      <c r="AK288" s="103"/>
      <c r="AL288" s="103"/>
      <c r="AM288" s="103"/>
      <c r="AN288" s="103"/>
      <c r="AO288" s="103"/>
      <c r="AP288" s="103"/>
      <c r="AQ288" s="103"/>
      <c r="AR288" s="103"/>
      <c r="AS288" s="103"/>
      <c r="AT288" s="103"/>
      <c r="AU288" s="103"/>
      <c r="AV288" s="103"/>
    </row>
    <row r="289" spans="5:48">
      <c r="E289" s="105">
        <f t="shared" ca="1" si="72"/>
        <v>0</v>
      </c>
      <c r="F289" s="105">
        <f t="shared" ca="1" si="73"/>
        <v>0</v>
      </c>
      <c r="G289" s="105">
        <f t="shared" ca="1" si="74"/>
        <v>0</v>
      </c>
      <c r="H289" s="105">
        <f t="shared" ca="1" si="75"/>
        <v>1</v>
      </c>
      <c r="I289" s="105">
        <f t="shared" ca="1" si="76"/>
        <v>1</v>
      </c>
      <c r="J289" s="105">
        <f t="shared" ca="1" si="77"/>
        <v>1</v>
      </c>
      <c r="K289" s="105">
        <f t="shared" ca="1" si="78"/>
        <v>1</v>
      </c>
      <c r="L289" s="105">
        <f t="shared" ca="1" si="79"/>
        <v>1</v>
      </c>
      <c r="M289" s="105">
        <f t="shared" ca="1" si="80"/>
        <v>1</v>
      </c>
      <c r="N289" s="105">
        <f t="shared" ca="1" si="81"/>
        <v>1</v>
      </c>
      <c r="O289" s="105">
        <f t="shared" ca="1" si="82"/>
        <v>1</v>
      </c>
      <c r="P289" s="105">
        <f t="shared" ca="1" si="83"/>
        <v>1</v>
      </c>
      <c r="Q289" s="105">
        <f t="shared" ca="1" si="84"/>
        <v>1</v>
      </c>
      <c r="R289" s="105">
        <f t="shared" ca="1" si="85"/>
        <v>1</v>
      </c>
      <c r="S289" s="105">
        <f t="shared" ca="1" si="86"/>
        <v>1</v>
      </c>
      <c r="T289" s="105">
        <f t="shared" ca="1" si="87"/>
        <v>0</v>
      </c>
      <c r="U289" s="105">
        <f t="shared" ca="1" si="88"/>
        <v>0</v>
      </c>
      <c r="V289" s="105">
        <f t="shared" ca="1" si="89"/>
        <v>0</v>
      </c>
      <c r="W289" s="105">
        <f t="shared" ca="1" si="90"/>
        <v>0</v>
      </c>
      <c r="X289" s="105">
        <f t="shared" ca="1" si="91"/>
        <v>0</v>
      </c>
      <c r="Y289" s="105">
        <f t="shared" ca="1" si="92"/>
        <v>0</v>
      </c>
      <c r="Z289" s="105">
        <f t="shared" ca="1" si="93"/>
        <v>0</v>
      </c>
      <c r="AA289" s="105">
        <f t="shared" ca="1" si="94"/>
        <v>0</v>
      </c>
      <c r="AB289" s="105">
        <f t="shared" ca="1" si="95"/>
        <v>0</v>
      </c>
      <c r="AC289" s="105"/>
      <c r="AD289" s="103"/>
      <c r="AE289" s="103"/>
      <c r="AF289" s="103"/>
      <c r="AG289" s="103"/>
      <c r="AH289" s="103"/>
      <c r="AI289" s="103"/>
      <c r="AJ289" s="103"/>
      <c r="AK289" s="103"/>
      <c r="AL289" s="103"/>
      <c r="AM289" s="103"/>
      <c r="AN289" s="103"/>
      <c r="AO289" s="103"/>
      <c r="AP289" s="103"/>
      <c r="AQ289" s="103"/>
      <c r="AR289" s="103"/>
      <c r="AS289" s="103"/>
      <c r="AT289" s="103"/>
      <c r="AU289" s="103"/>
      <c r="AV289" s="103"/>
    </row>
    <row r="290" spans="5:48">
      <c r="E290" s="105">
        <f t="shared" ca="1" si="72"/>
        <v>0</v>
      </c>
      <c r="F290" s="105">
        <f t="shared" ca="1" si="73"/>
        <v>0</v>
      </c>
      <c r="G290" s="105">
        <f t="shared" ca="1" si="74"/>
        <v>0</v>
      </c>
      <c r="H290" s="105">
        <f t="shared" ca="1" si="75"/>
        <v>1</v>
      </c>
      <c r="I290" s="105">
        <f t="shared" ca="1" si="76"/>
        <v>1</v>
      </c>
      <c r="J290" s="105">
        <f t="shared" ca="1" si="77"/>
        <v>1</v>
      </c>
      <c r="K290" s="105">
        <f t="shared" ca="1" si="78"/>
        <v>1</v>
      </c>
      <c r="L290" s="105">
        <f t="shared" ca="1" si="79"/>
        <v>1</v>
      </c>
      <c r="M290" s="105">
        <f t="shared" ca="1" si="80"/>
        <v>1</v>
      </c>
      <c r="N290" s="105">
        <f t="shared" ca="1" si="81"/>
        <v>1</v>
      </c>
      <c r="O290" s="105">
        <f t="shared" ca="1" si="82"/>
        <v>1</v>
      </c>
      <c r="P290" s="105">
        <f t="shared" ca="1" si="83"/>
        <v>1</v>
      </c>
      <c r="Q290" s="105">
        <f t="shared" ca="1" si="84"/>
        <v>1</v>
      </c>
      <c r="R290" s="105">
        <f t="shared" ca="1" si="85"/>
        <v>1</v>
      </c>
      <c r="S290" s="105">
        <f t="shared" ca="1" si="86"/>
        <v>1</v>
      </c>
      <c r="T290" s="105">
        <f t="shared" ca="1" si="87"/>
        <v>0</v>
      </c>
      <c r="U290" s="105">
        <f t="shared" ca="1" si="88"/>
        <v>0</v>
      </c>
      <c r="V290" s="105">
        <f t="shared" ca="1" si="89"/>
        <v>0</v>
      </c>
      <c r="W290" s="105">
        <f t="shared" ca="1" si="90"/>
        <v>0</v>
      </c>
      <c r="X290" s="105">
        <f t="shared" ca="1" si="91"/>
        <v>0</v>
      </c>
      <c r="Y290" s="105">
        <f t="shared" ca="1" si="92"/>
        <v>0</v>
      </c>
      <c r="Z290" s="105">
        <f t="shared" ca="1" si="93"/>
        <v>0</v>
      </c>
      <c r="AA290" s="105">
        <f t="shared" ca="1" si="94"/>
        <v>0</v>
      </c>
      <c r="AB290" s="105">
        <f t="shared" ca="1" si="95"/>
        <v>0</v>
      </c>
      <c r="AC290" s="105"/>
      <c r="AD290" s="103"/>
      <c r="AE290" s="103"/>
      <c r="AF290" s="103"/>
      <c r="AG290" s="103"/>
      <c r="AH290" s="103"/>
      <c r="AI290" s="103"/>
      <c r="AJ290" s="103"/>
      <c r="AK290" s="103"/>
      <c r="AL290" s="103"/>
      <c r="AM290" s="103"/>
      <c r="AN290" s="103"/>
      <c r="AO290" s="103"/>
      <c r="AP290" s="103"/>
      <c r="AQ290" s="103"/>
      <c r="AR290" s="103"/>
      <c r="AS290" s="103"/>
      <c r="AT290" s="103"/>
      <c r="AU290" s="103"/>
      <c r="AV290" s="103"/>
    </row>
    <row r="291" spans="5:48">
      <c r="E291" s="105">
        <f t="shared" ca="1" si="72"/>
        <v>0</v>
      </c>
      <c r="F291" s="105">
        <f t="shared" ca="1" si="73"/>
        <v>0</v>
      </c>
      <c r="G291" s="105">
        <f t="shared" ca="1" si="74"/>
        <v>0</v>
      </c>
      <c r="H291" s="105">
        <f t="shared" ca="1" si="75"/>
        <v>1</v>
      </c>
      <c r="I291" s="105">
        <f t="shared" ca="1" si="76"/>
        <v>1</v>
      </c>
      <c r="J291" s="105">
        <f t="shared" ca="1" si="77"/>
        <v>1</v>
      </c>
      <c r="K291" s="105">
        <f t="shared" ca="1" si="78"/>
        <v>1</v>
      </c>
      <c r="L291" s="105">
        <f t="shared" ca="1" si="79"/>
        <v>1</v>
      </c>
      <c r="M291" s="105">
        <f t="shared" ca="1" si="80"/>
        <v>1</v>
      </c>
      <c r="N291" s="105">
        <f t="shared" ca="1" si="81"/>
        <v>1</v>
      </c>
      <c r="O291" s="105">
        <f t="shared" ca="1" si="82"/>
        <v>1</v>
      </c>
      <c r="P291" s="105">
        <f t="shared" ca="1" si="83"/>
        <v>1</v>
      </c>
      <c r="Q291" s="105">
        <f t="shared" ca="1" si="84"/>
        <v>1</v>
      </c>
      <c r="R291" s="105">
        <f t="shared" ca="1" si="85"/>
        <v>1</v>
      </c>
      <c r="S291" s="105">
        <f t="shared" ca="1" si="86"/>
        <v>1</v>
      </c>
      <c r="T291" s="105">
        <f t="shared" ca="1" si="87"/>
        <v>0</v>
      </c>
      <c r="U291" s="105">
        <f t="shared" ca="1" si="88"/>
        <v>0</v>
      </c>
      <c r="V291" s="105">
        <f t="shared" ca="1" si="89"/>
        <v>0</v>
      </c>
      <c r="W291" s="105">
        <f t="shared" ca="1" si="90"/>
        <v>0</v>
      </c>
      <c r="X291" s="105">
        <f t="shared" ca="1" si="91"/>
        <v>0</v>
      </c>
      <c r="Y291" s="105">
        <f t="shared" ca="1" si="92"/>
        <v>0</v>
      </c>
      <c r="Z291" s="105">
        <f t="shared" ca="1" si="93"/>
        <v>0</v>
      </c>
      <c r="AA291" s="105">
        <f t="shared" ca="1" si="94"/>
        <v>0</v>
      </c>
      <c r="AB291" s="105">
        <f t="shared" ca="1" si="95"/>
        <v>0</v>
      </c>
      <c r="AC291" s="105"/>
      <c r="AD291" s="103"/>
      <c r="AE291" s="103"/>
      <c r="AF291" s="103"/>
      <c r="AG291" s="103"/>
      <c r="AH291" s="103"/>
      <c r="AI291" s="103"/>
      <c r="AJ291" s="103"/>
      <c r="AK291" s="103"/>
      <c r="AL291" s="103"/>
      <c r="AM291" s="103"/>
      <c r="AN291" s="103"/>
      <c r="AO291" s="103"/>
      <c r="AP291" s="103"/>
      <c r="AQ291" s="103"/>
      <c r="AR291" s="103"/>
      <c r="AS291" s="103"/>
      <c r="AT291" s="103"/>
      <c r="AU291" s="103"/>
      <c r="AV291" s="103"/>
    </row>
    <row r="292" spans="5:48">
      <c r="E292" s="105">
        <f t="shared" ca="1" si="72"/>
        <v>0</v>
      </c>
      <c r="F292" s="105">
        <f t="shared" ca="1" si="73"/>
        <v>0</v>
      </c>
      <c r="G292" s="105">
        <f t="shared" ca="1" si="74"/>
        <v>0</v>
      </c>
      <c r="H292" s="105">
        <f t="shared" ca="1" si="75"/>
        <v>1</v>
      </c>
      <c r="I292" s="105">
        <f t="shared" ca="1" si="76"/>
        <v>1</v>
      </c>
      <c r="J292" s="105">
        <f t="shared" ca="1" si="77"/>
        <v>1</v>
      </c>
      <c r="K292" s="105">
        <f t="shared" ca="1" si="78"/>
        <v>1</v>
      </c>
      <c r="L292" s="105">
        <f t="shared" ca="1" si="79"/>
        <v>1</v>
      </c>
      <c r="M292" s="105">
        <f t="shared" ca="1" si="80"/>
        <v>1</v>
      </c>
      <c r="N292" s="105">
        <f t="shared" ca="1" si="81"/>
        <v>1</v>
      </c>
      <c r="O292" s="105">
        <f t="shared" ca="1" si="82"/>
        <v>1</v>
      </c>
      <c r="P292" s="105">
        <f t="shared" ca="1" si="83"/>
        <v>1</v>
      </c>
      <c r="Q292" s="105">
        <f t="shared" ca="1" si="84"/>
        <v>1</v>
      </c>
      <c r="R292" s="105">
        <f t="shared" ca="1" si="85"/>
        <v>1</v>
      </c>
      <c r="S292" s="105">
        <f t="shared" ca="1" si="86"/>
        <v>1</v>
      </c>
      <c r="T292" s="105">
        <f t="shared" ca="1" si="87"/>
        <v>0</v>
      </c>
      <c r="U292" s="105">
        <f t="shared" ca="1" si="88"/>
        <v>0</v>
      </c>
      <c r="V292" s="105">
        <f t="shared" ca="1" si="89"/>
        <v>0</v>
      </c>
      <c r="W292" s="105">
        <f t="shared" ca="1" si="90"/>
        <v>0</v>
      </c>
      <c r="X292" s="105">
        <f t="shared" ca="1" si="91"/>
        <v>0</v>
      </c>
      <c r="Y292" s="105">
        <f t="shared" ca="1" si="92"/>
        <v>0</v>
      </c>
      <c r="Z292" s="105">
        <f t="shared" ca="1" si="93"/>
        <v>0</v>
      </c>
      <c r="AA292" s="105">
        <f t="shared" ca="1" si="94"/>
        <v>0</v>
      </c>
      <c r="AB292" s="105">
        <f t="shared" ca="1" si="95"/>
        <v>0</v>
      </c>
      <c r="AC292" s="105"/>
      <c r="AD292" s="103"/>
      <c r="AE292" s="103"/>
      <c r="AF292" s="103"/>
      <c r="AG292" s="103"/>
      <c r="AH292" s="103"/>
      <c r="AI292" s="103"/>
      <c r="AJ292" s="103"/>
      <c r="AK292" s="103"/>
      <c r="AL292" s="103"/>
      <c r="AM292" s="103"/>
      <c r="AN292" s="103"/>
      <c r="AO292" s="103"/>
      <c r="AP292" s="103"/>
      <c r="AQ292" s="103"/>
      <c r="AR292" s="103"/>
      <c r="AS292" s="103"/>
      <c r="AT292" s="103"/>
      <c r="AU292" s="103"/>
      <c r="AV292" s="103"/>
    </row>
    <row r="293" spans="5:48">
      <c r="E293" s="105">
        <f t="shared" ca="1" si="72"/>
        <v>0</v>
      </c>
      <c r="F293" s="105">
        <f t="shared" ca="1" si="73"/>
        <v>0</v>
      </c>
      <c r="G293" s="105">
        <f t="shared" ca="1" si="74"/>
        <v>0</v>
      </c>
      <c r="H293" s="105">
        <f t="shared" ca="1" si="75"/>
        <v>1</v>
      </c>
      <c r="I293" s="105">
        <f t="shared" ca="1" si="76"/>
        <v>1</v>
      </c>
      <c r="J293" s="105">
        <f t="shared" ca="1" si="77"/>
        <v>1</v>
      </c>
      <c r="K293" s="105">
        <f t="shared" ca="1" si="78"/>
        <v>1</v>
      </c>
      <c r="L293" s="105">
        <f t="shared" ca="1" si="79"/>
        <v>1</v>
      </c>
      <c r="M293" s="105">
        <f t="shared" ca="1" si="80"/>
        <v>1</v>
      </c>
      <c r="N293" s="105">
        <f t="shared" ca="1" si="81"/>
        <v>1</v>
      </c>
      <c r="O293" s="105">
        <f t="shared" ca="1" si="82"/>
        <v>1</v>
      </c>
      <c r="P293" s="105">
        <f t="shared" ca="1" si="83"/>
        <v>1</v>
      </c>
      <c r="Q293" s="105">
        <f t="shared" ca="1" si="84"/>
        <v>1</v>
      </c>
      <c r="R293" s="105">
        <f t="shared" ca="1" si="85"/>
        <v>1</v>
      </c>
      <c r="S293" s="105">
        <f t="shared" ca="1" si="86"/>
        <v>1</v>
      </c>
      <c r="T293" s="105">
        <f t="shared" ca="1" si="87"/>
        <v>0</v>
      </c>
      <c r="U293" s="105">
        <f t="shared" ca="1" si="88"/>
        <v>0</v>
      </c>
      <c r="V293" s="105">
        <f t="shared" ca="1" si="89"/>
        <v>0</v>
      </c>
      <c r="W293" s="105">
        <f t="shared" ca="1" si="90"/>
        <v>0</v>
      </c>
      <c r="X293" s="105">
        <f t="shared" ca="1" si="91"/>
        <v>0</v>
      </c>
      <c r="Y293" s="105">
        <f t="shared" ca="1" si="92"/>
        <v>0</v>
      </c>
      <c r="Z293" s="105">
        <f t="shared" ca="1" si="93"/>
        <v>0</v>
      </c>
      <c r="AA293" s="105">
        <f t="shared" ca="1" si="94"/>
        <v>0</v>
      </c>
      <c r="AB293" s="105">
        <f t="shared" ca="1" si="95"/>
        <v>0</v>
      </c>
      <c r="AC293" s="105"/>
      <c r="AD293" s="103"/>
      <c r="AE293" s="103"/>
      <c r="AF293" s="103"/>
      <c r="AG293" s="103"/>
      <c r="AH293" s="103"/>
      <c r="AI293" s="103"/>
      <c r="AJ293" s="103"/>
      <c r="AK293" s="103"/>
      <c r="AL293" s="103"/>
      <c r="AM293" s="103"/>
      <c r="AN293" s="103"/>
      <c r="AO293" s="103"/>
      <c r="AP293" s="103"/>
      <c r="AQ293" s="103"/>
      <c r="AR293" s="103"/>
      <c r="AS293" s="103"/>
      <c r="AT293" s="103"/>
      <c r="AU293" s="103"/>
      <c r="AV293" s="103"/>
    </row>
    <row r="294" spans="5:48">
      <c r="E294" s="105">
        <f t="shared" ca="1" si="72"/>
        <v>0</v>
      </c>
      <c r="F294" s="105">
        <f t="shared" ca="1" si="73"/>
        <v>0</v>
      </c>
      <c r="G294" s="105">
        <f t="shared" ca="1" si="74"/>
        <v>0</v>
      </c>
      <c r="H294" s="105">
        <f t="shared" ca="1" si="75"/>
        <v>0</v>
      </c>
      <c r="I294" s="105">
        <f t="shared" ca="1" si="76"/>
        <v>0</v>
      </c>
      <c r="J294" s="105">
        <f t="shared" ca="1" si="77"/>
        <v>0</v>
      </c>
      <c r="K294" s="105">
        <f t="shared" ca="1" si="78"/>
        <v>0</v>
      </c>
      <c r="L294" s="105">
        <f t="shared" ca="1" si="79"/>
        <v>1</v>
      </c>
      <c r="M294" s="105">
        <f t="shared" ca="1" si="80"/>
        <v>1</v>
      </c>
      <c r="N294" s="105">
        <f t="shared" ca="1" si="81"/>
        <v>1</v>
      </c>
      <c r="O294" s="105">
        <f t="shared" ca="1" si="82"/>
        <v>1</v>
      </c>
      <c r="P294" s="105">
        <f t="shared" ca="1" si="83"/>
        <v>1</v>
      </c>
      <c r="Q294" s="105">
        <f t="shared" ca="1" si="84"/>
        <v>1</v>
      </c>
      <c r="R294" s="105">
        <f t="shared" ca="1" si="85"/>
        <v>1</v>
      </c>
      <c r="S294" s="105">
        <f t="shared" ca="1" si="86"/>
        <v>1</v>
      </c>
      <c r="T294" s="105">
        <f t="shared" ca="1" si="87"/>
        <v>0</v>
      </c>
      <c r="U294" s="105">
        <f t="shared" ca="1" si="88"/>
        <v>0</v>
      </c>
      <c r="V294" s="105">
        <f t="shared" ca="1" si="89"/>
        <v>0</v>
      </c>
      <c r="W294" s="105">
        <f t="shared" ca="1" si="90"/>
        <v>0</v>
      </c>
      <c r="X294" s="105">
        <f t="shared" ca="1" si="91"/>
        <v>0</v>
      </c>
      <c r="Y294" s="105">
        <f t="shared" ca="1" si="92"/>
        <v>0</v>
      </c>
      <c r="Z294" s="105">
        <f t="shared" ca="1" si="93"/>
        <v>0</v>
      </c>
      <c r="AA294" s="105">
        <f t="shared" ca="1" si="94"/>
        <v>0</v>
      </c>
      <c r="AB294" s="105">
        <f t="shared" ca="1" si="95"/>
        <v>0</v>
      </c>
      <c r="AC294" s="105"/>
      <c r="AD294" s="103"/>
      <c r="AE294" s="103"/>
      <c r="AF294" s="103"/>
      <c r="AG294" s="103"/>
      <c r="AH294" s="103"/>
      <c r="AI294" s="103"/>
      <c r="AJ294" s="103"/>
      <c r="AK294" s="103"/>
      <c r="AL294" s="103"/>
      <c r="AM294" s="103"/>
      <c r="AN294" s="103"/>
      <c r="AO294" s="103"/>
      <c r="AP294" s="103"/>
      <c r="AQ294" s="103"/>
      <c r="AR294" s="103"/>
      <c r="AS294" s="103"/>
      <c r="AT294" s="103"/>
      <c r="AU294" s="103"/>
      <c r="AV294" s="103"/>
    </row>
    <row r="295" spans="5:48">
      <c r="E295" s="105">
        <f t="shared" ca="1" si="72"/>
        <v>0</v>
      </c>
      <c r="F295" s="105">
        <f t="shared" ca="1" si="73"/>
        <v>0</v>
      </c>
      <c r="G295" s="105">
        <f t="shared" ca="1" si="74"/>
        <v>0</v>
      </c>
      <c r="H295" s="105">
        <f t="shared" ca="1" si="75"/>
        <v>0</v>
      </c>
      <c r="I295" s="105">
        <f t="shared" ca="1" si="76"/>
        <v>0</v>
      </c>
      <c r="J295" s="105">
        <f t="shared" ca="1" si="77"/>
        <v>0</v>
      </c>
      <c r="K295" s="105">
        <f t="shared" ca="1" si="78"/>
        <v>0</v>
      </c>
      <c r="L295" s="105">
        <f t="shared" ca="1" si="79"/>
        <v>0</v>
      </c>
      <c r="M295" s="105">
        <f t="shared" ca="1" si="80"/>
        <v>1</v>
      </c>
      <c r="N295" s="105">
        <f t="shared" ca="1" si="81"/>
        <v>1</v>
      </c>
      <c r="O295" s="105">
        <f t="shared" ca="1" si="82"/>
        <v>1</v>
      </c>
      <c r="P295" s="105">
        <f t="shared" ca="1" si="83"/>
        <v>1</v>
      </c>
      <c r="Q295" s="105">
        <f t="shared" ca="1" si="84"/>
        <v>1</v>
      </c>
      <c r="R295" s="105">
        <f t="shared" ca="1" si="85"/>
        <v>1</v>
      </c>
      <c r="S295" s="105">
        <f t="shared" ca="1" si="86"/>
        <v>1</v>
      </c>
      <c r="T295" s="105">
        <f t="shared" ca="1" si="87"/>
        <v>0</v>
      </c>
      <c r="U295" s="105">
        <f t="shared" ca="1" si="88"/>
        <v>0</v>
      </c>
      <c r="V295" s="105">
        <f t="shared" ca="1" si="89"/>
        <v>0</v>
      </c>
      <c r="W295" s="105">
        <f t="shared" ca="1" si="90"/>
        <v>0</v>
      </c>
      <c r="X295" s="105">
        <f t="shared" ca="1" si="91"/>
        <v>0</v>
      </c>
      <c r="Y295" s="105">
        <f t="shared" ca="1" si="92"/>
        <v>0</v>
      </c>
      <c r="Z295" s="105">
        <f t="shared" ca="1" si="93"/>
        <v>0</v>
      </c>
      <c r="AA295" s="105">
        <f t="shared" ca="1" si="94"/>
        <v>0</v>
      </c>
      <c r="AB295" s="105">
        <f t="shared" ca="1" si="95"/>
        <v>0</v>
      </c>
      <c r="AC295" s="105"/>
      <c r="AD295" s="103"/>
      <c r="AE295" s="103"/>
      <c r="AF295" s="103"/>
      <c r="AG295" s="103"/>
      <c r="AH295" s="103"/>
      <c r="AI295" s="103"/>
      <c r="AJ295" s="103"/>
      <c r="AK295" s="103"/>
      <c r="AL295" s="103"/>
      <c r="AM295" s="103"/>
      <c r="AN295" s="103"/>
      <c r="AO295" s="103"/>
      <c r="AP295" s="103"/>
      <c r="AQ295" s="103"/>
      <c r="AR295" s="103"/>
      <c r="AS295" s="103"/>
      <c r="AT295" s="103"/>
      <c r="AU295" s="103"/>
      <c r="AV295" s="103"/>
    </row>
    <row r="296" spans="5:48">
      <c r="E296" s="105">
        <f t="shared" ca="1" si="72"/>
        <v>0</v>
      </c>
      <c r="F296" s="105">
        <f t="shared" ca="1" si="73"/>
        <v>0</v>
      </c>
      <c r="G296" s="105">
        <f t="shared" ca="1" si="74"/>
        <v>0</v>
      </c>
      <c r="H296" s="105">
        <f t="shared" ca="1" si="75"/>
        <v>0</v>
      </c>
      <c r="I296" s="105">
        <f t="shared" ca="1" si="76"/>
        <v>0</v>
      </c>
      <c r="J296" s="105">
        <f t="shared" ca="1" si="77"/>
        <v>0</v>
      </c>
      <c r="K296" s="105">
        <f t="shared" ca="1" si="78"/>
        <v>0</v>
      </c>
      <c r="L296" s="105">
        <f t="shared" ca="1" si="79"/>
        <v>0</v>
      </c>
      <c r="M296" s="105">
        <f t="shared" ca="1" si="80"/>
        <v>0</v>
      </c>
      <c r="N296" s="105">
        <f t="shared" ca="1" si="81"/>
        <v>0</v>
      </c>
      <c r="O296" s="105">
        <f t="shared" ca="1" si="82"/>
        <v>1</v>
      </c>
      <c r="P296" s="105">
        <f t="shared" ca="1" si="83"/>
        <v>1</v>
      </c>
      <c r="Q296" s="105">
        <f t="shared" ca="1" si="84"/>
        <v>1</v>
      </c>
      <c r="R296" s="105">
        <f t="shared" ca="1" si="85"/>
        <v>1</v>
      </c>
      <c r="S296" s="105">
        <f t="shared" ca="1" si="86"/>
        <v>1</v>
      </c>
      <c r="T296" s="105">
        <f t="shared" ca="1" si="87"/>
        <v>1</v>
      </c>
      <c r="U296" s="105">
        <f t="shared" ca="1" si="88"/>
        <v>1</v>
      </c>
      <c r="V296" s="105">
        <f t="shared" ca="1" si="89"/>
        <v>1</v>
      </c>
      <c r="W296" s="105">
        <f t="shared" ca="1" si="90"/>
        <v>1</v>
      </c>
      <c r="X296" s="105">
        <f t="shared" ca="1" si="91"/>
        <v>1</v>
      </c>
      <c r="Y296" s="105">
        <f t="shared" ca="1" si="92"/>
        <v>1</v>
      </c>
      <c r="Z296" s="105">
        <f t="shared" ca="1" si="93"/>
        <v>1</v>
      </c>
      <c r="AA296" s="105">
        <f t="shared" ca="1" si="94"/>
        <v>0</v>
      </c>
      <c r="AB296" s="105">
        <f t="shared" ca="1" si="95"/>
        <v>0</v>
      </c>
      <c r="AC296" s="105"/>
      <c r="AD296" s="103"/>
      <c r="AE296" s="103"/>
      <c r="AF296" s="103"/>
      <c r="AG296" s="103"/>
      <c r="AH296" s="103"/>
      <c r="AI296" s="103"/>
      <c r="AJ296" s="103"/>
      <c r="AK296" s="103"/>
      <c r="AL296" s="103"/>
      <c r="AM296" s="103"/>
      <c r="AN296" s="103"/>
      <c r="AO296" s="103"/>
      <c r="AP296" s="103"/>
      <c r="AQ296" s="103"/>
      <c r="AR296" s="103"/>
      <c r="AS296" s="103"/>
      <c r="AT296" s="103"/>
      <c r="AU296" s="103"/>
      <c r="AV296" s="103"/>
    </row>
    <row r="297" spans="5:48">
      <c r="E297" s="105">
        <f t="shared" ca="1" si="72"/>
        <v>0</v>
      </c>
      <c r="F297" s="105">
        <f t="shared" ca="1" si="73"/>
        <v>0</v>
      </c>
      <c r="G297" s="105">
        <f t="shared" ca="1" si="74"/>
        <v>0</v>
      </c>
      <c r="H297" s="105">
        <f t="shared" ca="1" si="75"/>
        <v>0</v>
      </c>
      <c r="I297" s="105">
        <f t="shared" ca="1" si="76"/>
        <v>0</v>
      </c>
      <c r="J297" s="105">
        <f t="shared" ca="1" si="77"/>
        <v>0</v>
      </c>
      <c r="K297" s="105">
        <f t="shared" ca="1" si="78"/>
        <v>0</v>
      </c>
      <c r="L297" s="105">
        <f t="shared" ca="1" si="79"/>
        <v>0</v>
      </c>
      <c r="M297" s="105">
        <f t="shared" ca="1" si="80"/>
        <v>0</v>
      </c>
      <c r="N297" s="105">
        <f t="shared" ca="1" si="81"/>
        <v>0</v>
      </c>
      <c r="O297" s="105">
        <f t="shared" ca="1" si="82"/>
        <v>1</v>
      </c>
      <c r="P297" s="105">
        <f t="shared" ca="1" si="83"/>
        <v>1</v>
      </c>
      <c r="Q297" s="105">
        <f t="shared" ca="1" si="84"/>
        <v>1</v>
      </c>
      <c r="R297" s="105">
        <f t="shared" ca="1" si="85"/>
        <v>1</v>
      </c>
      <c r="S297" s="105">
        <f t="shared" ca="1" si="86"/>
        <v>1</v>
      </c>
      <c r="T297" s="105">
        <f t="shared" ca="1" si="87"/>
        <v>1</v>
      </c>
      <c r="U297" s="105">
        <f t="shared" ca="1" si="88"/>
        <v>1</v>
      </c>
      <c r="V297" s="105">
        <f t="shared" ca="1" si="89"/>
        <v>1</v>
      </c>
      <c r="W297" s="105">
        <f t="shared" ca="1" si="90"/>
        <v>1</v>
      </c>
      <c r="X297" s="105">
        <f t="shared" ca="1" si="91"/>
        <v>1</v>
      </c>
      <c r="Y297" s="105">
        <f t="shared" ca="1" si="92"/>
        <v>1</v>
      </c>
      <c r="Z297" s="105">
        <f t="shared" ca="1" si="93"/>
        <v>1</v>
      </c>
      <c r="AA297" s="105">
        <f t="shared" ca="1" si="94"/>
        <v>0</v>
      </c>
      <c r="AB297" s="105">
        <f t="shared" ca="1" si="95"/>
        <v>0</v>
      </c>
      <c r="AC297" s="105"/>
      <c r="AD297" s="103"/>
      <c r="AE297" s="103"/>
      <c r="AF297" s="103"/>
      <c r="AG297" s="103"/>
      <c r="AH297" s="103"/>
      <c r="AI297" s="103"/>
      <c r="AJ297" s="103"/>
      <c r="AK297" s="103"/>
      <c r="AL297" s="103"/>
      <c r="AM297" s="103"/>
      <c r="AN297" s="103"/>
      <c r="AO297" s="103"/>
      <c r="AP297" s="103"/>
      <c r="AQ297" s="103"/>
      <c r="AR297" s="103"/>
      <c r="AS297" s="103"/>
      <c r="AT297" s="103"/>
      <c r="AU297" s="103"/>
      <c r="AV297" s="103"/>
    </row>
    <row r="298" spans="5:48">
      <c r="E298" s="105">
        <f t="shared" ca="1" si="72"/>
        <v>0</v>
      </c>
      <c r="F298" s="105">
        <f t="shared" ca="1" si="73"/>
        <v>0</v>
      </c>
      <c r="G298" s="105">
        <f t="shared" ca="1" si="74"/>
        <v>0</v>
      </c>
      <c r="H298" s="105">
        <f t="shared" ca="1" si="75"/>
        <v>0</v>
      </c>
      <c r="I298" s="105">
        <f t="shared" ca="1" si="76"/>
        <v>0</v>
      </c>
      <c r="J298" s="105">
        <f t="shared" ca="1" si="77"/>
        <v>0</v>
      </c>
      <c r="K298" s="105">
        <f t="shared" ca="1" si="78"/>
        <v>0</v>
      </c>
      <c r="L298" s="105">
        <f t="shared" ca="1" si="79"/>
        <v>0</v>
      </c>
      <c r="M298" s="105">
        <f t="shared" ca="1" si="80"/>
        <v>0</v>
      </c>
      <c r="N298" s="105">
        <f t="shared" ca="1" si="81"/>
        <v>0</v>
      </c>
      <c r="O298" s="105">
        <f t="shared" ca="1" si="82"/>
        <v>1</v>
      </c>
      <c r="P298" s="105">
        <f t="shared" ca="1" si="83"/>
        <v>1</v>
      </c>
      <c r="Q298" s="105">
        <f t="shared" ca="1" si="84"/>
        <v>1</v>
      </c>
      <c r="R298" s="105">
        <f t="shared" ca="1" si="85"/>
        <v>1</v>
      </c>
      <c r="S298" s="105">
        <f t="shared" ca="1" si="86"/>
        <v>1</v>
      </c>
      <c r="T298" s="105">
        <f t="shared" ca="1" si="87"/>
        <v>1</v>
      </c>
      <c r="U298" s="105">
        <f t="shared" ca="1" si="88"/>
        <v>1</v>
      </c>
      <c r="V298" s="105">
        <f t="shared" ca="1" si="89"/>
        <v>1</v>
      </c>
      <c r="W298" s="105">
        <f t="shared" ca="1" si="90"/>
        <v>1</v>
      </c>
      <c r="X298" s="105">
        <f t="shared" ca="1" si="91"/>
        <v>1</v>
      </c>
      <c r="Y298" s="105">
        <f t="shared" ca="1" si="92"/>
        <v>1</v>
      </c>
      <c r="Z298" s="105">
        <f t="shared" ca="1" si="93"/>
        <v>1</v>
      </c>
      <c r="AA298" s="105">
        <f t="shared" ca="1" si="94"/>
        <v>0</v>
      </c>
      <c r="AB298" s="105">
        <f t="shared" ca="1" si="95"/>
        <v>0</v>
      </c>
      <c r="AC298" s="105"/>
      <c r="AD298" s="103"/>
      <c r="AE298" s="103"/>
      <c r="AF298" s="103"/>
      <c r="AG298" s="103"/>
      <c r="AH298" s="103"/>
      <c r="AI298" s="103"/>
      <c r="AJ298" s="103"/>
      <c r="AK298" s="103"/>
      <c r="AL298" s="103"/>
      <c r="AM298" s="103"/>
      <c r="AN298" s="103"/>
      <c r="AO298" s="103"/>
      <c r="AP298" s="103"/>
      <c r="AQ298" s="103"/>
      <c r="AR298" s="103"/>
      <c r="AS298" s="103"/>
      <c r="AT298" s="103"/>
      <c r="AU298" s="103"/>
      <c r="AV298" s="103"/>
    </row>
    <row r="299" spans="5:48">
      <c r="E299" s="105">
        <f t="shared" ca="1" si="72"/>
        <v>0</v>
      </c>
      <c r="F299" s="105">
        <f t="shared" ca="1" si="73"/>
        <v>0</v>
      </c>
      <c r="G299" s="105">
        <f t="shared" ca="1" si="74"/>
        <v>0</v>
      </c>
      <c r="H299" s="105">
        <f t="shared" ca="1" si="75"/>
        <v>0</v>
      </c>
      <c r="I299" s="105">
        <f t="shared" ca="1" si="76"/>
        <v>0</v>
      </c>
      <c r="J299" s="105">
        <f t="shared" ca="1" si="77"/>
        <v>0</v>
      </c>
      <c r="K299" s="105">
        <f t="shared" ca="1" si="78"/>
        <v>0</v>
      </c>
      <c r="L299" s="105">
        <f t="shared" ca="1" si="79"/>
        <v>0</v>
      </c>
      <c r="M299" s="105">
        <f t="shared" ca="1" si="80"/>
        <v>0</v>
      </c>
      <c r="N299" s="105">
        <f t="shared" ca="1" si="81"/>
        <v>0</v>
      </c>
      <c r="O299" s="105">
        <f t="shared" ca="1" si="82"/>
        <v>1</v>
      </c>
      <c r="P299" s="105">
        <f t="shared" ca="1" si="83"/>
        <v>1</v>
      </c>
      <c r="Q299" s="105">
        <f t="shared" ca="1" si="84"/>
        <v>1</v>
      </c>
      <c r="R299" s="105">
        <f t="shared" ca="1" si="85"/>
        <v>1</v>
      </c>
      <c r="S299" s="105">
        <f t="shared" ca="1" si="86"/>
        <v>1</v>
      </c>
      <c r="T299" s="105">
        <f t="shared" ca="1" si="87"/>
        <v>1</v>
      </c>
      <c r="U299" s="105">
        <f t="shared" ca="1" si="88"/>
        <v>1</v>
      </c>
      <c r="V299" s="105">
        <f t="shared" ca="1" si="89"/>
        <v>1</v>
      </c>
      <c r="W299" s="105">
        <f t="shared" ca="1" si="90"/>
        <v>1</v>
      </c>
      <c r="X299" s="105">
        <f t="shared" ca="1" si="91"/>
        <v>1</v>
      </c>
      <c r="Y299" s="105">
        <f t="shared" ca="1" si="92"/>
        <v>1</v>
      </c>
      <c r="Z299" s="105">
        <f t="shared" ca="1" si="93"/>
        <v>1</v>
      </c>
      <c r="AA299" s="105">
        <f t="shared" ca="1" si="94"/>
        <v>0</v>
      </c>
      <c r="AB299" s="105">
        <f t="shared" ca="1" si="95"/>
        <v>0</v>
      </c>
      <c r="AC299" s="105"/>
      <c r="AD299" s="103"/>
      <c r="AE299" s="103"/>
      <c r="AF299" s="103"/>
      <c r="AG299" s="103"/>
      <c r="AH299" s="103"/>
      <c r="AI299" s="103"/>
      <c r="AJ299" s="103"/>
      <c r="AK299" s="103"/>
      <c r="AL299" s="103"/>
      <c r="AM299" s="103"/>
      <c r="AN299" s="103"/>
      <c r="AO299" s="103"/>
      <c r="AP299" s="103"/>
      <c r="AQ299" s="103"/>
      <c r="AR299" s="103"/>
      <c r="AS299" s="103"/>
      <c r="AT299" s="103"/>
      <c r="AU299" s="103"/>
      <c r="AV299" s="103"/>
    </row>
    <row r="300" spans="5:48">
      <c r="E300" s="105">
        <f t="shared" ca="1" si="72"/>
        <v>0</v>
      </c>
      <c r="F300" s="105">
        <f t="shared" ca="1" si="73"/>
        <v>0</v>
      </c>
      <c r="G300" s="105">
        <f t="shared" ca="1" si="74"/>
        <v>0</v>
      </c>
      <c r="H300" s="105">
        <f t="shared" ca="1" si="75"/>
        <v>0</v>
      </c>
      <c r="I300" s="105">
        <f t="shared" ca="1" si="76"/>
        <v>0</v>
      </c>
      <c r="J300" s="105">
        <f t="shared" ca="1" si="77"/>
        <v>0</v>
      </c>
      <c r="K300" s="105">
        <f t="shared" ca="1" si="78"/>
        <v>0</v>
      </c>
      <c r="L300" s="105">
        <f t="shared" ca="1" si="79"/>
        <v>0</v>
      </c>
      <c r="M300" s="105">
        <f t="shared" ca="1" si="80"/>
        <v>0</v>
      </c>
      <c r="N300" s="105">
        <f t="shared" ca="1" si="81"/>
        <v>0</v>
      </c>
      <c r="O300" s="105">
        <f t="shared" ca="1" si="82"/>
        <v>1</v>
      </c>
      <c r="P300" s="105">
        <f t="shared" ca="1" si="83"/>
        <v>1</v>
      </c>
      <c r="Q300" s="105">
        <f t="shared" ca="1" si="84"/>
        <v>1</v>
      </c>
      <c r="R300" s="105">
        <f t="shared" ca="1" si="85"/>
        <v>1</v>
      </c>
      <c r="S300" s="105">
        <f t="shared" ca="1" si="86"/>
        <v>1</v>
      </c>
      <c r="T300" s="105">
        <f t="shared" ca="1" si="87"/>
        <v>1</v>
      </c>
      <c r="U300" s="105">
        <f t="shared" ca="1" si="88"/>
        <v>1</v>
      </c>
      <c r="V300" s="105">
        <f t="shared" ca="1" si="89"/>
        <v>1</v>
      </c>
      <c r="W300" s="105">
        <f t="shared" ca="1" si="90"/>
        <v>1</v>
      </c>
      <c r="X300" s="105">
        <f t="shared" ca="1" si="91"/>
        <v>1</v>
      </c>
      <c r="Y300" s="105">
        <f t="shared" ca="1" si="92"/>
        <v>1</v>
      </c>
      <c r="Z300" s="105">
        <f t="shared" ca="1" si="93"/>
        <v>1</v>
      </c>
      <c r="AA300" s="105">
        <f t="shared" ca="1" si="94"/>
        <v>0</v>
      </c>
      <c r="AB300" s="105">
        <f t="shared" ca="1" si="95"/>
        <v>0</v>
      </c>
      <c r="AC300" s="105"/>
      <c r="AD300" s="103"/>
      <c r="AE300" s="103"/>
      <c r="AF300" s="103"/>
      <c r="AG300" s="103"/>
      <c r="AH300" s="103"/>
      <c r="AI300" s="103"/>
      <c r="AJ300" s="103"/>
      <c r="AK300" s="103"/>
      <c r="AL300" s="103"/>
      <c r="AM300" s="103"/>
      <c r="AN300" s="103"/>
      <c r="AO300" s="103"/>
      <c r="AP300" s="103"/>
      <c r="AQ300" s="103"/>
      <c r="AR300" s="103"/>
      <c r="AS300" s="103"/>
      <c r="AT300" s="103"/>
      <c r="AU300" s="103"/>
      <c r="AV300" s="103"/>
    </row>
    <row r="301" spans="5:48">
      <c r="E301" s="105">
        <f t="shared" ca="1" si="72"/>
        <v>0</v>
      </c>
      <c r="F301" s="105">
        <f t="shared" ca="1" si="73"/>
        <v>0</v>
      </c>
      <c r="G301" s="105">
        <f t="shared" ca="1" si="74"/>
        <v>0</v>
      </c>
      <c r="H301" s="105">
        <f t="shared" ca="1" si="75"/>
        <v>0</v>
      </c>
      <c r="I301" s="105">
        <f t="shared" ca="1" si="76"/>
        <v>0</v>
      </c>
      <c r="J301" s="105">
        <f t="shared" ca="1" si="77"/>
        <v>0</v>
      </c>
      <c r="K301" s="105">
        <f t="shared" ca="1" si="78"/>
        <v>0</v>
      </c>
      <c r="L301" s="105">
        <f t="shared" ca="1" si="79"/>
        <v>0</v>
      </c>
      <c r="M301" s="105">
        <f t="shared" ca="1" si="80"/>
        <v>0</v>
      </c>
      <c r="N301" s="105">
        <f t="shared" ca="1" si="81"/>
        <v>0</v>
      </c>
      <c r="O301" s="105">
        <f t="shared" ca="1" si="82"/>
        <v>0</v>
      </c>
      <c r="P301" s="105">
        <f t="shared" ca="1" si="83"/>
        <v>0</v>
      </c>
      <c r="Q301" s="105">
        <f t="shared" ca="1" si="84"/>
        <v>0</v>
      </c>
      <c r="R301" s="105">
        <f t="shared" ca="1" si="85"/>
        <v>0</v>
      </c>
      <c r="S301" s="105">
        <f t="shared" ca="1" si="86"/>
        <v>0</v>
      </c>
      <c r="T301" s="105">
        <f t="shared" ca="1" si="87"/>
        <v>0</v>
      </c>
      <c r="U301" s="105">
        <f t="shared" ca="1" si="88"/>
        <v>0</v>
      </c>
      <c r="V301" s="105">
        <f t="shared" ca="1" si="89"/>
        <v>0</v>
      </c>
      <c r="W301" s="105">
        <f t="shared" ca="1" si="90"/>
        <v>0</v>
      </c>
      <c r="X301" s="105">
        <f t="shared" ca="1" si="91"/>
        <v>0</v>
      </c>
      <c r="Y301" s="105">
        <f t="shared" ca="1" si="92"/>
        <v>0</v>
      </c>
      <c r="Z301" s="105">
        <f t="shared" ca="1" si="93"/>
        <v>0</v>
      </c>
      <c r="AA301" s="105">
        <f t="shared" ca="1" si="94"/>
        <v>0</v>
      </c>
      <c r="AB301" s="105">
        <f t="shared" ca="1" si="95"/>
        <v>0</v>
      </c>
      <c r="AC301" s="105"/>
      <c r="AD301" s="103"/>
      <c r="AE301" s="103"/>
      <c r="AF301" s="103"/>
      <c r="AG301" s="103"/>
      <c r="AH301" s="103"/>
      <c r="AI301" s="103"/>
      <c r="AJ301" s="103"/>
      <c r="AK301" s="103"/>
      <c r="AL301" s="103"/>
      <c r="AM301" s="103"/>
      <c r="AN301" s="103"/>
      <c r="AO301" s="103"/>
      <c r="AP301" s="103"/>
      <c r="AQ301" s="103"/>
      <c r="AR301" s="103"/>
      <c r="AS301" s="103"/>
      <c r="AT301" s="103"/>
      <c r="AU301" s="103"/>
      <c r="AV301" s="103"/>
    </row>
    <row r="302" spans="5:48">
      <c r="E302" s="105">
        <f t="shared" ca="1" si="72"/>
        <v>0</v>
      </c>
      <c r="F302" s="105">
        <f t="shared" ca="1" si="73"/>
        <v>0</v>
      </c>
      <c r="G302" s="105">
        <f t="shared" ca="1" si="74"/>
        <v>0</v>
      </c>
      <c r="H302" s="105">
        <f t="shared" ca="1" si="75"/>
        <v>0</v>
      </c>
      <c r="I302" s="105">
        <f t="shared" ca="1" si="76"/>
        <v>0</v>
      </c>
      <c r="J302" s="105">
        <f t="shared" ca="1" si="77"/>
        <v>0</v>
      </c>
      <c r="K302" s="105">
        <f t="shared" ca="1" si="78"/>
        <v>0</v>
      </c>
      <c r="L302" s="105">
        <f t="shared" ca="1" si="79"/>
        <v>0</v>
      </c>
      <c r="M302" s="105">
        <f t="shared" ca="1" si="80"/>
        <v>0</v>
      </c>
      <c r="N302" s="105">
        <f t="shared" ca="1" si="81"/>
        <v>0</v>
      </c>
      <c r="O302" s="105">
        <f t="shared" ca="1" si="82"/>
        <v>1</v>
      </c>
      <c r="P302" s="105">
        <f t="shared" ca="1" si="83"/>
        <v>1</v>
      </c>
      <c r="Q302" s="105">
        <f t="shared" ca="1" si="84"/>
        <v>1</v>
      </c>
      <c r="R302" s="105">
        <f t="shared" ca="1" si="85"/>
        <v>1</v>
      </c>
      <c r="S302" s="105">
        <f t="shared" ca="1" si="86"/>
        <v>1</v>
      </c>
      <c r="T302" s="105">
        <f t="shared" ca="1" si="87"/>
        <v>1</v>
      </c>
      <c r="U302" s="105">
        <f t="shared" ca="1" si="88"/>
        <v>1</v>
      </c>
      <c r="V302" s="105">
        <f t="shared" ca="1" si="89"/>
        <v>1</v>
      </c>
      <c r="W302" s="105">
        <f t="shared" ca="1" si="90"/>
        <v>1</v>
      </c>
      <c r="X302" s="105">
        <f t="shared" ca="1" si="91"/>
        <v>1</v>
      </c>
      <c r="Y302" s="105">
        <f t="shared" ca="1" si="92"/>
        <v>1</v>
      </c>
      <c r="Z302" s="105">
        <f t="shared" ca="1" si="93"/>
        <v>1</v>
      </c>
      <c r="AA302" s="105">
        <f t="shared" ca="1" si="94"/>
        <v>0</v>
      </c>
      <c r="AB302" s="105">
        <f t="shared" ca="1" si="95"/>
        <v>0</v>
      </c>
      <c r="AC302" s="105"/>
      <c r="AD302" s="103"/>
      <c r="AE302" s="103"/>
      <c r="AF302" s="103"/>
      <c r="AG302" s="103"/>
      <c r="AH302" s="103"/>
      <c r="AI302" s="103"/>
      <c r="AJ302" s="103"/>
      <c r="AK302" s="103"/>
      <c r="AL302" s="103"/>
      <c r="AM302" s="103"/>
      <c r="AN302" s="103"/>
      <c r="AO302" s="103"/>
      <c r="AP302" s="103"/>
      <c r="AQ302" s="103"/>
      <c r="AR302" s="103"/>
      <c r="AS302" s="103"/>
      <c r="AT302" s="103"/>
      <c r="AU302" s="103"/>
      <c r="AV302" s="103"/>
    </row>
    <row r="303" spans="5:48">
      <c r="E303" s="105">
        <f t="shared" ca="1" si="72"/>
        <v>0</v>
      </c>
      <c r="F303" s="105">
        <f t="shared" ca="1" si="73"/>
        <v>0</v>
      </c>
      <c r="G303" s="105">
        <f t="shared" ca="1" si="74"/>
        <v>0</v>
      </c>
      <c r="H303" s="105">
        <f t="shared" ca="1" si="75"/>
        <v>0</v>
      </c>
      <c r="I303" s="105">
        <f t="shared" ca="1" si="76"/>
        <v>0</v>
      </c>
      <c r="J303" s="105">
        <f t="shared" ca="1" si="77"/>
        <v>0</v>
      </c>
      <c r="K303" s="105">
        <f t="shared" ca="1" si="78"/>
        <v>0</v>
      </c>
      <c r="L303" s="105">
        <f t="shared" ca="1" si="79"/>
        <v>0</v>
      </c>
      <c r="M303" s="105">
        <f t="shared" ca="1" si="80"/>
        <v>0</v>
      </c>
      <c r="N303" s="105">
        <f t="shared" ca="1" si="81"/>
        <v>0</v>
      </c>
      <c r="O303" s="105">
        <f t="shared" ca="1" si="82"/>
        <v>1</v>
      </c>
      <c r="P303" s="105">
        <f t="shared" ca="1" si="83"/>
        <v>1</v>
      </c>
      <c r="Q303" s="105">
        <f t="shared" ca="1" si="84"/>
        <v>1</v>
      </c>
      <c r="R303" s="105">
        <f t="shared" ca="1" si="85"/>
        <v>1</v>
      </c>
      <c r="S303" s="105">
        <f t="shared" ca="1" si="86"/>
        <v>1</v>
      </c>
      <c r="T303" s="105">
        <f t="shared" ca="1" si="87"/>
        <v>1</v>
      </c>
      <c r="U303" s="105">
        <f t="shared" ca="1" si="88"/>
        <v>1</v>
      </c>
      <c r="V303" s="105">
        <f t="shared" ca="1" si="89"/>
        <v>1</v>
      </c>
      <c r="W303" s="105">
        <f t="shared" ca="1" si="90"/>
        <v>1</v>
      </c>
      <c r="X303" s="105">
        <f t="shared" ca="1" si="91"/>
        <v>1</v>
      </c>
      <c r="Y303" s="105">
        <f t="shared" ca="1" si="92"/>
        <v>1</v>
      </c>
      <c r="Z303" s="105">
        <f t="shared" ca="1" si="93"/>
        <v>1</v>
      </c>
      <c r="AA303" s="105">
        <f t="shared" ca="1" si="94"/>
        <v>0</v>
      </c>
      <c r="AB303" s="105">
        <f t="shared" ca="1" si="95"/>
        <v>0</v>
      </c>
      <c r="AC303" s="105"/>
      <c r="AD303" s="103"/>
      <c r="AE303" s="103"/>
      <c r="AF303" s="103"/>
      <c r="AG303" s="103"/>
      <c r="AH303" s="103"/>
      <c r="AI303" s="103"/>
      <c r="AJ303" s="103"/>
      <c r="AK303" s="103"/>
      <c r="AL303" s="103"/>
      <c r="AM303" s="103"/>
      <c r="AN303" s="103"/>
      <c r="AO303" s="103"/>
      <c r="AP303" s="103"/>
      <c r="AQ303" s="103"/>
      <c r="AR303" s="103"/>
      <c r="AS303" s="103"/>
      <c r="AT303" s="103"/>
      <c r="AU303" s="103"/>
      <c r="AV303" s="103"/>
    </row>
    <row r="304" spans="5:48">
      <c r="E304" s="105">
        <f t="shared" ca="1" si="72"/>
        <v>0</v>
      </c>
      <c r="F304" s="105">
        <f t="shared" ca="1" si="73"/>
        <v>0</v>
      </c>
      <c r="G304" s="105">
        <f t="shared" ca="1" si="74"/>
        <v>0</v>
      </c>
      <c r="H304" s="105">
        <f t="shared" ca="1" si="75"/>
        <v>0</v>
      </c>
      <c r="I304" s="105">
        <f t="shared" ca="1" si="76"/>
        <v>0</v>
      </c>
      <c r="J304" s="105">
        <f t="shared" ca="1" si="77"/>
        <v>0</v>
      </c>
      <c r="K304" s="105">
        <f t="shared" ca="1" si="78"/>
        <v>0</v>
      </c>
      <c r="L304" s="105">
        <f t="shared" ca="1" si="79"/>
        <v>0</v>
      </c>
      <c r="M304" s="105">
        <f t="shared" ca="1" si="80"/>
        <v>0</v>
      </c>
      <c r="N304" s="105">
        <f t="shared" ca="1" si="81"/>
        <v>0</v>
      </c>
      <c r="O304" s="105">
        <f t="shared" ca="1" si="82"/>
        <v>1</v>
      </c>
      <c r="P304" s="105">
        <f t="shared" ca="1" si="83"/>
        <v>1</v>
      </c>
      <c r="Q304" s="105">
        <f t="shared" ca="1" si="84"/>
        <v>1</v>
      </c>
      <c r="R304" s="105">
        <f t="shared" ca="1" si="85"/>
        <v>1</v>
      </c>
      <c r="S304" s="105">
        <f t="shared" ca="1" si="86"/>
        <v>1</v>
      </c>
      <c r="T304" s="105">
        <f t="shared" ca="1" si="87"/>
        <v>1</v>
      </c>
      <c r="U304" s="105">
        <f t="shared" ca="1" si="88"/>
        <v>1</v>
      </c>
      <c r="V304" s="105">
        <f t="shared" ca="1" si="89"/>
        <v>1</v>
      </c>
      <c r="W304" s="105">
        <f t="shared" ca="1" si="90"/>
        <v>1</v>
      </c>
      <c r="X304" s="105">
        <f t="shared" ca="1" si="91"/>
        <v>1</v>
      </c>
      <c r="Y304" s="105">
        <f t="shared" ca="1" si="92"/>
        <v>1</v>
      </c>
      <c r="Z304" s="105">
        <f t="shared" ca="1" si="93"/>
        <v>1</v>
      </c>
      <c r="AA304" s="105">
        <f t="shared" ca="1" si="94"/>
        <v>0</v>
      </c>
      <c r="AB304" s="105">
        <f t="shared" ca="1" si="95"/>
        <v>0</v>
      </c>
      <c r="AC304" s="105"/>
      <c r="AD304" s="103"/>
      <c r="AE304" s="103"/>
      <c r="AF304" s="103"/>
      <c r="AG304" s="103"/>
      <c r="AH304" s="103"/>
      <c r="AI304" s="103"/>
      <c r="AJ304" s="103"/>
      <c r="AK304" s="103"/>
      <c r="AL304" s="103"/>
      <c r="AM304" s="103"/>
      <c r="AN304" s="103"/>
      <c r="AO304" s="103"/>
      <c r="AP304" s="103"/>
      <c r="AQ304" s="103"/>
      <c r="AR304" s="103"/>
      <c r="AS304" s="103"/>
      <c r="AT304" s="103"/>
      <c r="AU304" s="103"/>
      <c r="AV304" s="103"/>
    </row>
    <row r="305" spans="5:48">
      <c r="E305" s="105">
        <f t="shared" ca="1" si="72"/>
        <v>0</v>
      </c>
      <c r="F305" s="105">
        <f t="shared" ca="1" si="73"/>
        <v>0</v>
      </c>
      <c r="G305" s="105">
        <f t="shared" ca="1" si="74"/>
        <v>0</v>
      </c>
      <c r="H305" s="105">
        <f t="shared" ca="1" si="75"/>
        <v>0</v>
      </c>
      <c r="I305" s="105">
        <f t="shared" ca="1" si="76"/>
        <v>0</v>
      </c>
      <c r="J305" s="105">
        <f t="shared" ca="1" si="77"/>
        <v>0</v>
      </c>
      <c r="K305" s="105">
        <f t="shared" ca="1" si="78"/>
        <v>0</v>
      </c>
      <c r="L305" s="105">
        <f t="shared" ca="1" si="79"/>
        <v>0</v>
      </c>
      <c r="M305" s="105">
        <f t="shared" ca="1" si="80"/>
        <v>0</v>
      </c>
      <c r="N305" s="105">
        <f t="shared" ca="1" si="81"/>
        <v>0</v>
      </c>
      <c r="O305" s="105">
        <f t="shared" ca="1" si="82"/>
        <v>0</v>
      </c>
      <c r="P305" s="105">
        <f t="shared" ca="1" si="83"/>
        <v>0</v>
      </c>
      <c r="Q305" s="105">
        <f t="shared" ca="1" si="84"/>
        <v>1</v>
      </c>
      <c r="R305" s="105">
        <f t="shared" ca="1" si="85"/>
        <v>1</v>
      </c>
      <c r="S305" s="105">
        <f t="shared" ca="1" si="86"/>
        <v>1</v>
      </c>
      <c r="T305" s="105">
        <f t="shared" ca="1" si="87"/>
        <v>1</v>
      </c>
      <c r="U305" s="105">
        <f t="shared" ca="1" si="88"/>
        <v>1</v>
      </c>
      <c r="V305" s="105">
        <f t="shared" ca="1" si="89"/>
        <v>1</v>
      </c>
      <c r="W305" s="105">
        <f t="shared" ca="1" si="90"/>
        <v>1</v>
      </c>
      <c r="X305" s="105">
        <f t="shared" ca="1" si="91"/>
        <v>1</v>
      </c>
      <c r="Y305" s="105">
        <f t="shared" ca="1" si="92"/>
        <v>1</v>
      </c>
      <c r="Z305" s="105">
        <f t="shared" ca="1" si="93"/>
        <v>1</v>
      </c>
      <c r="AA305" s="105">
        <f t="shared" ca="1" si="94"/>
        <v>1</v>
      </c>
      <c r="AB305" s="105">
        <f t="shared" ca="1" si="95"/>
        <v>1</v>
      </c>
      <c r="AC305" s="105"/>
      <c r="AD305" s="103"/>
      <c r="AE305" s="103"/>
      <c r="AF305" s="103"/>
      <c r="AG305" s="103"/>
      <c r="AH305" s="103"/>
      <c r="AI305" s="103"/>
      <c r="AJ305" s="103"/>
      <c r="AK305" s="103"/>
      <c r="AL305" s="103"/>
      <c r="AM305" s="103"/>
      <c r="AN305" s="103"/>
      <c r="AO305" s="103"/>
      <c r="AP305" s="103"/>
      <c r="AQ305" s="103"/>
      <c r="AR305" s="103"/>
      <c r="AS305" s="103"/>
      <c r="AT305" s="103"/>
      <c r="AU305" s="103"/>
      <c r="AV305" s="103"/>
    </row>
    <row r="306" spans="5:48">
      <c r="E306" s="105">
        <f t="shared" ca="1" si="72"/>
        <v>0</v>
      </c>
      <c r="F306" s="105">
        <f t="shared" ca="1" si="73"/>
        <v>0</v>
      </c>
      <c r="G306" s="105">
        <f t="shared" ca="1" si="74"/>
        <v>0</v>
      </c>
      <c r="H306" s="105">
        <f t="shared" ca="1" si="75"/>
        <v>0</v>
      </c>
      <c r="I306" s="105">
        <f t="shared" ca="1" si="76"/>
        <v>0</v>
      </c>
      <c r="J306" s="105">
        <f t="shared" ca="1" si="77"/>
        <v>0</v>
      </c>
      <c r="K306" s="105">
        <f t="shared" ca="1" si="78"/>
        <v>0</v>
      </c>
      <c r="L306" s="105">
        <f t="shared" ca="1" si="79"/>
        <v>0</v>
      </c>
      <c r="M306" s="105">
        <f t="shared" ca="1" si="80"/>
        <v>0</v>
      </c>
      <c r="N306" s="105">
        <f t="shared" ca="1" si="81"/>
        <v>0</v>
      </c>
      <c r="O306" s="105">
        <f t="shared" ca="1" si="82"/>
        <v>0</v>
      </c>
      <c r="P306" s="105">
        <f t="shared" ca="1" si="83"/>
        <v>0</v>
      </c>
      <c r="Q306" s="105">
        <f t="shared" ca="1" si="84"/>
        <v>0</v>
      </c>
      <c r="R306" s="105">
        <f t="shared" ca="1" si="85"/>
        <v>1</v>
      </c>
      <c r="S306" s="105">
        <f t="shared" ca="1" si="86"/>
        <v>1</v>
      </c>
      <c r="T306" s="105">
        <f t="shared" ca="1" si="87"/>
        <v>1</v>
      </c>
      <c r="U306" s="105">
        <f t="shared" ca="1" si="88"/>
        <v>1</v>
      </c>
      <c r="V306" s="105">
        <f t="shared" ca="1" si="89"/>
        <v>1</v>
      </c>
      <c r="W306" s="105">
        <f t="shared" ca="1" si="90"/>
        <v>1</v>
      </c>
      <c r="X306" s="105">
        <f t="shared" ca="1" si="91"/>
        <v>1</v>
      </c>
      <c r="Y306" s="105">
        <f t="shared" ca="1" si="92"/>
        <v>1</v>
      </c>
      <c r="Z306" s="105">
        <f t="shared" ca="1" si="93"/>
        <v>1</v>
      </c>
      <c r="AA306" s="105">
        <f t="shared" ca="1" si="94"/>
        <v>1</v>
      </c>
      <c r="AB306" s="105">
        <f t="shared" ca="1" si="95"/>
        <v>1</v>
      </c>
      <c r="AC306" s="105"/>
      <c r="AD306" s="103"/>
      <c r="AE306" s="103"/>
      <c r="AF306" s="103"/>
      <c r="AG306" s="103"/>
      <c r="AH306" s="103"/>
      <c r="AI306" s="103"/>
      <c r="AJ306" s="103"/>
      <c r="AK306" s="103"/>
      <c r="AL306" s="103"/>
      <c r="AM306" s="103"/>
      <c r="AN306" s="103"/>
      <c r="AO306" s="103"/>
      <c r="AP306" s="103"/>
      <c r="AQ306" s="103"/>
      <c r="AR306" s="103"/>
      <c r="AS306" s="103"/>
      <c r="AT306" s="103"/>
      <c r="AU306" s="103"/>
      <c r="AV306" s="103"/>
    </row>
    <row r="307" spans="5:48">
      <c r="E307" s="105">
        <f t="shared" ca="1" si="72"/>
        <v>0</v>
      </c>
      <c r="F307" s="105">
        <f t="shared" ca="1" si="73"/>
        <v>0</v>
      </c>
      <c r="G307" s="105">
        <f t="shared" ca="1" si="74"/>
        <v>0</v>
      </c>
      <c r="H307" s="105">
        <f t="shared" ca="1" si="75"/>
        <v>0</v>
      </c>
      <c r="I307" s="105">
        <f t="shared" ca="1" si="76"/>
        <v>0</v>
      </c>
      <c r="J307" s="105">
        <f t="shared" ca="1" si="77"/>
        <v>0</v>
      </c>
      <c r="K307" s="105">
        <f t="shared" ca="1" si="78"/>
        <v>0</v>
      </c>
      <c r="L307" s="105">
        <f t="shared" ca="1" si="79"/>
        <v>0</v>
      </c>
      <c r="M307" s="105">
        <f t="shared" ca="1" si="80"/>
        <v>0</v>
      </c>
      <c r="N307" s="105">
        <f t="shared" ca="1" si="81"/>
        <v>0</v>
      </c>
      <c r="O307" s="105">
        <f t="shared" ca="1" si="82"/>
        <v>0</v>
      </c>
      <c r="P307" s="105">
        <f t="shared" ca="1" si="83"/>
        <v>0</v>
      </c>
      <c r="Q307" s="105">
        <f t="shared" ca="1" si="84"/>
        <v>0</v>
      </c>
      <c r="R307" s="105">
        <f t="shared" ca="1" si="85"/>
        <v>1</v>
      </c>
      <c r="S307" s="105">
        <f t="shared" ca="1" si="86"/>
        <v>1</v>
      </c>
      <c r="T307" s="105">
        <f t="shared" ca="1" si="87"/>
        <v>1</v>
      </c>
      <c r="U307" s="105">
        <f t="shared" ca="1" si="88"/>
        <v>1</v>
      </c>
      <c r="V307" s="105">
        <f t="shared" ca="1" si="89"/>
        <v>1</v>
      </c>
      <c r="W307" s="105">
        <f t="shared" ca="1" si="90"/>
        <v>1</v>
      </c>
      <c r="X307" s="105">
        <f t="shared" ca="1" si="91"/>
        <v>1</v>
      </c>
      <c r="Y307" s="105">
        <f t="shared" ca="1" si="92"/>
        <v>1</v>
      </c>
      <c r="Z307" s="105">
        <f t="shared" ca="1" si="93"/>
        <v>1</v>
      </c>
      <c r="AA307" s="105">
        <f t="shared" ca="1" si="94"/>
        <v>1</v>
      </c>
      <c r="AB307" s="105">
        <f t="shared" ca="1" si="95"/>
        <v>1</v>
      </c>
      <c r="AC307" s="105"/>
      <c r="AD307" s="103"/>
      <c r="AE307" s="103"/>
      <c r="AF307" s="103"/>
      <c r="AG307" s="103"/>
      <c r="AH307" s="103"/>
      <c r="AI307" s="103"/>
      <c r="AJ307" s="103"/>
      <c r="AK307" s="103"/>
      <c r="AL307" s="103"/>
      <c r="AM307" s="103"/>
      <c r="AN307" s="103"/>
      <c r="AO307" s="103"/>
      <c r="AP307" s="103"/>
      <c r="AQ307" s="103"/>
      <c r="AR307" s="103"/>
      <c r="AS307" s="103"/>
      <c r="AT307" s="103"/>
      <c r="AU307" s="103"/>
      <c r="AV307" s="103"/>
    </row>
    <row r="308" spans="5:48">
      <c r="E308" s="105">
        <f t="shared" ca="1" si="72"/>
        <v>0</v>
      </c>
      <c r="F308" s="105">
        <f t="shared" ca="1" si="73"/>
        <v>0</v>
      </c>
      <c r="G308" s="105">
        <f t="shared" ca="1" si="74"/>
        <v>0</v>
      </c>
      <c r="H308" s="105">
        <f t="shared" ca="1" si="75"/>
        <v>0</v>
      </c>
      <c r="I308" s="105">
        <f t="shared" ca="1" si="76"/>
        <v>0</v>
      </c>
      <c r="J308" s="105">
        <f t="shared" ca="1" si="77"/>
        <v>0</v>
      </c>
      <c r="K308" s="105">
        <f t="shared" ca="1" si="78"/>
        <v>0</v>
      </c>
      <c r="L308" s="105">
        <f t="shared" ca="1" si="79"/>
        <v>0</v>
      </c>
      <c r="M308" s="105">
        <f t="shared" ca="1" si="80"/>
        <v>0</v>
      </c>
      <c r="N308" s="105">
        <f t="shared" ca="1" si="81"/>
        <v>0</v>
      </c>
      <c r="O308" s="105">
        <f t="shared" ca="1" si="82"/>
        <v>0</v>
      </c>
      <c r="P308" s="105">
        <f t="shared" ca="1" si="83"/>
        <v>0</v>
      </c>
      <c r="Q308" s="105">
        <f t="shared" ca="1" si="84"/>
        <v>0</v>
      </c>
      <c r="R308" s="105">
        <f t="shared" ca="1" si="85"/>
        <v>1</v>
      </c>
      <c r="S308" s="105">
        <f t="shared" ca="1" si="86"/>
        <v>1</v>
      </c>
      <c r="T308" s="105">
        <f t="shared" ca="1" si="87"/>
        <v>1</v>
      </c>
      <c r="U308" s="105">
        <f t="shared" ca="1" si="88"/>
        <v>1</v>
      </c>
      <c r="V308" s="105">
        <f t="shared" ca="1" si="89"/>
        <v>1</v>
      </c>
      <c r="W308" s="105">
        <f t="shared" ca="1" si="90"/>
        <v>1</v>
      </c>
      <c r="X308" s="105">
        <f t="shared" ca="1" si="91"/>
        <v>1</v>
      </c>
      <c r="Y308" s="105">
        <f t="shared" ca="1" si="92"/>
        <v>1</v>
      </c>
      <c r="Z308" s="105">
        <f t="shared" ca="1" si="93"/>
        <v>1</v>
      </c>
      <c r="AA308" s="105">
        <f t="shared" ca="1" si="94"/>
        <v>1</v>
      </c>
      <c r="AB308" s="105">
        <f t="shared" ca="1" si="95"/>
        <v>1</v>
      </c>
      <c r="AC308" s="105"/>
      <c r="AD308" s="103"/>
      <c r="AE308" s="103"/>
      <c r="AF308" s="103"/>
      <c r="AG308" s="103"/>
      <c r="AH308" s="103"/>
      <c r="AI308" s="103"/>
      <c r="AJ308" s="103"/>
      <c r="AK308" s="103"/>
      <c r="AL308" s="103"/>
      <c r="AM308" s="103"/>
      <c r="AN308" s="103"/>
      <c r="AO308" s="103"/>
      <c r="AP308" s="103"/>
      <c r="AQ308" s="103"/>
      <c r="AR308" s="103"/>
      <c r="AS308" s="103"/>
      <c r="AT308" s="103"/>
      <c r="AU308" s="103"/>
      <c r="AV308" s="103"/>
    </row>
    <row r="309" spans="5:48">
      <c r="E309" s="105">
        <f t="shared" ca="1" si="72"/>
        <v>0</v>
      </c>
      <c r="F309" s="105">
        <f t="shared" ca="1" si="73"/>
        <v>0</v>
      </c>
      <c r="G309" s="105">
        <f t="shared" ca="1" si="74"/>
        <v>0</v>
      </c>
      <c r="H309" s="105">
        <f t="shared" ca="1" si="75"/>
        <v>0</v>
      </c>
      <c r="I309" s="105">
        <f t="shared" ca="1" si="76"/>
        <v>0</v>
      </c>
      <c r="J309" s="105">
        <f t="shared" ca="1" si="77"/>
        <v>0</v>
      </c>
      <c r="K309" s="105">
        <f t="shared" ca="1" si="78"/>
        <v>0</v>
      </c>
      <c r="L309" s="105">
        <f t="shared" ca="1" si="79"/>
        <v>0</v>
      </c>
      <c r="M309" s="105">
        <f t="shared" ca="1" si="80"/>
        <v>0</v>
      </c>
      <c r="N309" s="105">
        <f t="shared" ca="1" si="81"/>
        <v>0</v>
      </c>
      <c r="O309" s="105">
        <f t="shared" ca="1" si="82"/>
        <v>0</v>
      </c>
      <c r="P309" s="105">
        <f t="shared" ca="1" si="83"/>
        <v>0</v>
      </c>
      <c r="Q309" s="105">
        <f t="shared" ca="1" si="84"/>
        <v>0</v>
      </c>
      <c r="R309" s="105">
        <f t="shared" ca="1" si="85"/>
        <v>1</v>
      </c>
      <c r="S309" s="105">
        <f t="shared" ca="1" si="86"/>
        <v>1</v>
      </c>
      <c r="T309" s="105">
        <f t="shared" ca="1" si="87"/>
        <v>1</v>
      </c>
      <c r="U309" s="105">
        <f t="shared" ca="1" si="88"/>
        <v>1</v>
      </c>
      <c r="V309" s="105">
        <f t="shared" ca="1" si="89"/>
        <v>1</v>
      </c>
      <c r="W309" s="105">
        <f t="shared" ca="1" si="90"/>
        <v>1</v>
      </c>
      <c r="X309" s="105">
        <f t="shared" ca="1" si="91"/>
        <v>1</v>
      </c>
      <c r="Y309" s="105">
        <f t="shared" ca="1" si="92"/>
        <v>1</v>
      </c>
      <c r="Z309" s="105">
        <f t="shared" ca="1" si="93"/>
        <v>1</v>
      </c>
      <c r="AA309" s="105">
        <f t="shared" ca="1" si="94"/>
        <v>1</v>
      </c>
      <c r="AB309" s="105">
        <f t="shared" ca="1" si="95"/>
        <v>1</v>
      </c>
      <c r="AC309" s="105"/>
      <c r="AD309" s="103"/>
      <c r="AE309" s="103"/>
      <c r="AF309" s="103"/>
      <c r="AG309" s="103"/>
      <c r="AH309" s="103"/>
      <c r="AI309" s="103"/>
      <c r="AJ309" s="103"/>
      <c r="AK309" s="103"/>
      <c r="AL309" s="103"/>
      <c r="AM309" s="103"/>
      <c r="AN309" s="103"/>
      <c r="AO309" s="103"/>
      <c r="AP309" s="103"/>
      <c r="AQ309" s="103"/>
      <c r="AR309" s="103"/>
      <c r="AS309" s="103"/>
      <c r="AT309" s="103"/>
      <c r="AU309" s="103"/>
      <c r="AV309" s="103"/>
    </row>
    <row r="310" spans="5:48">
      <c r="E310" s="105">
        <f t="shared" ca="1" si="72"/>
        <v>0</v>
      </c>
      <c r="F310" s="105">
        <f t="shared" ca="1" si="73"/>
        <v>0</v>
      </c>
      <c r="G310" s="105">
        <f t="shared" ca="1" si="74"/>
        <v>0</v>
      </c>
      <c r="H310" s="105">
        <f t="shared" ca="1" si="75"/>
        <v>0</v>
      </c>
      <c r="I310" s="105">
        <f t="shared" ca="1" si="76"/>
        <v>0</v>
      </c>
      <c r="J310" s="105">
        <f t="shared" ca="1" si="77"/>
        <v>0</v>
      </c>
      <c r="K310" s="105">
        <f t="shared" ca="1" si="78"/>
        <v>0</v>
      </c>
      <c r="L310" s="105">
        <f t="shared" ca="1" si="79"/>
        <v>0</v>
      </c>
      <c r="M310" s="105">
        <f t="shared" ca="1" si="80"/>
        <v>0</v>
      </c>
      <c r="N310" s="105">
        <f t="shared" ca="1" si="81"/>
        <v>0</v>
      </c>
      <c r="O310" s="105">
        <f t="shared" ca="1" si="82"/>
        <v>1</v>
      </c>
      <c r="P310" s="105">
        <f t="shared" ca="1" si="83"/>
        <v>1</v>
      </c>
      <c r="Q310" s="105">
        <f t="shared" ca="1" si="84"/>
        <v>1</v>
      </c>
      <c r="R310" s="105">
        <f t="shared" ca="1" si="85"/>
        <v>1</v>
      </c>
      <c r="S310" s="105">
        <f t="shared" ca="1" si="86"/>
        <v>1</v>
      </c>
      <c r="T310" s="105">
        <f t="shared" ca="1" si="87"/>
        <v>1</v>
      </c>
      <c r="U310" s="105">
        <f t="shared" ca="1" si="88"/>
        <v>1</v>
      </c>
      <c r="V310" s="105">
        <f t="shared" ca="1" si="89"/>
        <v>1</v>
      </c>
      <c r="W310" s="105">
        <f t="shared" ca="1" si="90"/>
        <v>1</v>
      </c>
      <c r="X310" s="105">
        <f t="shared" ca="1" si="91"/>
        <v>1</v>
      </c>
      <c r="Y310" s="105">
        <f t="shared" ca="1" si="92"/>
        <v>1</v>
      </c>
      <c r="Z310" s="105">
        <f t="shared" ca="1" si="93"/>
        <v>1</v>
      </c>
      <c r="AA310" s="105">
        <f t="shared" ca="1" si="94"/>
        <v>0</v>
      </c>
      <c r="AB310" s="105">
        <f t="shared" ca="1" si="95"/>
        <v>0</v>
      </c>
      <c r="AC310" s="105"/>
      <c r="AD310" s="103"/>
      <c r="AE310" s="103"/>
      <c r="AF310" s="103"/>
      <c r="AG310" s="103"/>
      <c r="AH310" s="103"/>
      <c r="AI310" s="103"/>
      <c r="AJ310" s="103"/>
      <c r="AK310" s="103"/>
      <c r="AL310" s="103"/>
      <c r="AM310" s="103"/>
      <c r="AN310" s="103"/>
      <c r="AO310" s="103"/>
      <c r="AP310" s="103"/>
      <c r="AQ310" s="103"/>
      <c r="AR310" s="103"/>
      <c r="AS310" s="103"/>
      <c r="AT310" s="103"/>
      <c r="AU310" s="103"/>
      <c r="AV310" s="103"/>
    </row>
    <row r="311" spans="5:48">
      <c r="E311" s="105">
        <f t="shared" ca="1" si="72"/>
        <v>0</v>
      </c>
      <c r="F311" s="105">
        <f t="shared" ca="1" si="73"/>
        <v>0</v>
      </c>
      <c r="G311" s="105">
        <f t="shared" ca="1" si="74"/>
        <v>0</v>
      </c>
      <c r="H311" s="105">
        <f t="shared" ca="1" si="75"/>
        <v>0</v>
      </c>
      <c r="I311" s="105">
        <f t="shared" ca="1" si="76"/>
        <v>0</v>
      </c>
      <c r="J311" s="105">
        <f t="shared" ca="1" si="77"/>
        <v>0</v>
      </c>
      <c r="K311" s="105">
        <f t="shared" ca="1" si="78"/>
        <v>0</v>
      </c>
      <c r="L311" s="105">
        <f t="shared" ca="1" si="79"/>
        <v>0</v>
      </c>
      <c r="M311" s="105">
        <f t="shared" ca="1" si="80"/>
        <v>0</v>
      </c>
      <c r="N311" s="105">
        <f t="shared" ca="1" si="81"/>
        <v>0</v>
      </c>
      <c r="O311" s="105">
        <f t="shared" ca="1" si="82"/>
        <v>0</v>
      </c>
      <c r="P311" s="105">
        <f t="shared" ca="1" si="83"/>
        <v>0</v>
      </c>
      <c r="Q311" s="105">
        <f t="shared" ca="1" si="84"/>
        <v>0</v>
      </c>
      <c r="R311" s="105">
        <f t="shared" ca="1" si="85"/>
        <v>0</v>
      </c>
      <c r="S311" s="105">
        <f t="shared" ca="1" si="86"/>
        <v>0</v>
      </c>
      <c r="T311" s="105">
        <f t="shared" ca="1" si="87"/>
        <v>0</v>
      </c>
      <c r="U311" s="105">
        <f t="shared" ca="1" si="88"/>
        <v>0</v>
      </c>
      <c r="V311" s="105">
        <f t="shared" ca="1" si="89"/>
        <v>1</v>
      </c>
      <c r="W311" s="105">
        <f t="shared" ca="1" si="90"/>
        <v>1</v>
      </c>
      <c r="X311" s="105">
        <f t="shared" ca="1" si="91"/>
        <v>1</v>
      </c>
      <c r="Y311" s="105">
        <f t="shared" ca="1" si="92"/>
        <v>1</v>
      </c>
      <c r="Z311" s="105">
        <f t="shared" ca="1" si="93"/>
        <v>1</v>
      </c>
      <c r="AA311" s="105">
        <f t="shared" ca="1" si="94"/>
        <v>1</v>
      </c>
      <c r="AB311" s="105">
        <f t="shared" ca="1" si="95"/>
        <v>1</v>
      </c>
      <c r="AC311" s="105"/>
      <c r="AD311" s="103"/>
      <c r="AE311" s="103"/>
      <c r="AF311" s="103"/>
      <c r="AG311" s="103"/>
      <c r="AH311" s="103"/>
      <c r="AI311" s="103"/>
      <c r="AJ311" s="103"/>
      <c r="AK311" s="103"/>
      <c r="AL311" s="103"/>
      <c r="AM311" s="103"/>
      <c r="AN311" s="103"/>
      <c r="AO311" s="103"/>
      <c r="AP311" s="103"/>
      <c r="AQ311" s="103"/>
      <c r="AR311" s="103"/>
      <c r="AS311" s="103"/>
      <c r="AT311" s="103"/>
      <c r="AU311" s="103"/>
      <c r="AV311" s="103"/>
    </row>
    <row r="312" spans="5:48">
      <c r="E312" s="105">
        <f t="shared" ca="1" si="72"/>
        <v>0</v>
      </c>
      <c r="F312" s="105">
        <f t="shared" ca="1" si="73"/>
        <v>0</v>
      </c>
      <c r="G312" s="105">
        <f t="shared" ca="1" si="74"/>
        <v>0</v>
      </c>
      <c r="H312" s="105">
        <f t="shared" ca="1" si="75"/>
        <v>0</v>
      </c>
      <c r="I312" s="105">
        <f t="shared" ca="1" si="76"/>
        <v>0</v>
      </c>
      <c r="J312" s="105">
        <f t="shared" ca="1" si="77"/>
        <v>0</v>
      </c>
      <c r="K312" s="105">
        <f t="shared" ca="1" si="78"/>
        <v>0</v>
      </c>
      <c r="L312" s="105">
        <f t="shared" ca="1" si="79"/>
        <v>0</v>
      </c>
      <c r="M312" s="105">
        <f t="shared" ca="1" si="80"/>
        <v>0</v>
      </c>
      <c r="N312" s="105">
        <f t="shared" ca="1" si="81"/>
        <v>0</v>
      </c>
      <c r="O312" s="105">
        <f t="shared" ca="1" si="82"/>
        <v>0</v>
      </c>
      <c r="P312" s="105">
        <f t="shared" ca="1" si="83"/>
        <v>0</v>
      </c>
      <c r="Q312" s="105">
        <f t="shared" ca="1" si="84"/>
        <v>0</v>
      </c>
      <c r="R312" s="105">
        <f t="shared" ca="1" si="85"/>
        <v>0</v>
      </c>
      <c r="S312" s="105">
        <f t="shared" ca="1" si="86"/>
        <v>0</v>
      </c>
      <c r="T312" s="105">
        <f t="shared" ca="1" si="87"/>
        <v>0</v>
      </c>
      <c r="U312" s="105">
        <f t="shared" ca="1" si="88"/>
        <v>0</v>
      </c>
      <c r="V312" s="105">
        <f t="shared" ca="1" si="89"/>
        <v>0</v>
      </c>
      <c r="W312" s="105">
        <f t="shared" ca="1" si="90"/>
        <v>0</v>
      </c>
      <c r="X312" s="105">
        <f t="shared" ca="1" si="91"/>
        <v>0</v>
      </c>
      <c r="Y312" s="105">
        <f t="shared" ca="1" si="92"/>
        <v>0</v>
      </c>
      <c r="Z312" s="105">
        <f t="shared" ca="1" si="93"/>
        <v>0</v>
      </c>
      <c r="AA312" s="105">
        <f t="shared" ca="1" si="94"/>
        <v>0</v>
      </c>
      <c r="AB312" s="105">
        <f t="shared" ca="1" si="95"/>
        <v>0</v>
      </c>
      <c r="AC312" s="105"/>
      <c r="AD312" s="103"/>
      <c r="AE312" s="103"/>
      <c r="AF312" s="103"/>
      <c r="AG312" s="103"/>
      <c r="AH312" s="103"/>
      <c r="AI312" s="103"/>
      <c r="AJ312" s="103"/>
      <c r="AK312" s="103"/>
      <c r="AL312" s="103"/>
      <c r="AM312" s="103"/>
      <c r="AN312" s="103"/>
      <c r="AO312" s="103"/>
      <c r="AP312" s="103"/>
      <c r="AQ312" s="103"/>
      <c r="AR312" s="103"/>
      <c r="AS312" s="103"/>
      <c r="AT312" s="103"/>
      <c r="AU312" s="103"/>
      <c r="AV312" s="103"/>
    </row>
    <row r="313" spans="5:48">
      <c r="E313" s="105">
        <f t="shared" ca="1" si="72"/>
        <v>0</v>
      </c>
      <c r="F313" s="105">
        <f t="shared" ca="1" si="73"/>
        <v>0</v>
      </c>
      <c r="G313" s="105">
        <f t="shared" ca="1" si="74"/>
        <v>0</v>
      </c>
      <c r="H313" s="105">
        <f t="shared" ca="1" si="75"/>
        <v>0</v>
      </c>
      <c r="I313" s="105">
        <f t="shared" ca="1" si="76"/>
        <v>0</v>
      </c>
      <c r="J313" s="105">
        <f t="shared" ca="1" si="77"/>
        <v>0</v>
      </c>
      <c r="K313" s="105">
        <f t="shared" ca="1" si="78"/>
        <v>0</v>
      </c>
      <c r="L313" s="105">
        <f t="shared" ca="1" si="79"/>
        <v>0</v>
      </c>
      <c r="M313" s="105">
        <f t="shared" ca="1" si="80"/>
        <v>0</v>
      </c>
      <c r="N313" s="105">
        <f t="shared" ca="1" si="81"/>
        <v>0</v>
      </c>
      <c r="O313" s="105">
        <f t="shared" ca="1" si="82"/>
        <v>0</v>
      </c>
      <c r="P313" s="105">
        <f t="shared" ca="1" si="83"/>
        <v>0</v>
      </c>
      <c r="Q313" s="105">
        <f t="shared" ca="1" si="84"/>
        <v>0</v>
      </c>
      <c r="R313" s="105">
        <f t="shared" ca="1" si="85"/>
        <v>0</v>
      </c>
      <c r="S313" s="105">
        <f t="shared" ca="1" si="86"/>
        <v>0</v>
      </c>
      <c r="T313" s="105">
        <f t="shared" ca="1" si="87"/>
        <v>0</v>
      </c>
      <c r="U313" s="105">
        <f t="shared" ca="1" si="88"/>
        <v>0</v>
      </c>
      <c r="V313" s="105">
        <f t="shared" ca="1" si="89"/>
        <v>0</v>
      </c>
      <c r="W313" s="105">
        <f t="shared" ca="1" si="90"/>
        <v>0</v>
      </c>
      <c r="X313" s="105">
        <f t="shared" ca="1" si="91"/>
        <v>0</v>
      </c>
      <c r="Y313" s="105">
        <f t="shared" ca="1" si="92"/>
        <v>0</v>
      </c>
      <c r="Z313" s="105">
        <f t="shared" ca="1" si="93"/>
        <v>0</v>
      </c>
      <c r="AA313" s="105">
        <f t="shared" ca="1" si="94"/>
        <v>0</v>
      </c>
      <c r="AB313" s="105">
        <f t="shared" ca="1" si="95"/>
        <v>0</v>
      </c>
      <c r="AC313" s="105"/>
      <c r="AD313" s="103"/>
      <c r="AE313" s="103"/>
      <c r="AF313" s="103"/>
      <c r="AG313" s="103"/>
      <c r="AH313" s="103"/>
      <c r="AI313" s="103"/>
      <c r="AJ313" s="103"/>
      <c r="AK313" s="103"/>
      <c r="AL313" s="103"/>
      <c r="AM313" s="103"/>
      <c r="AN313" s="103"/>
      <c r="AO313" s="103"/>
      <c r="AP313" s="103"/>
      <c r="AQ313" s="103"/>
      <c r="AR313" s="103"/>
      <c r="AS313" s="103"/>
      <c r="AT313" s="103"/>
      <c r="AU313" s="103"/>
      <c r="AV313" s="103"/>
    </row>
    <row r="314" spans="5:48">
      <c r="E314" s="105">
        <f t="shared" ca="1" si="72"/>
        <v>0</v>
      </c>
      <c r="F314" s="105">
        <f t="shared" ca="1" si="73"/>
        <v>0</v>
      </c>
      <c r="G314" s="105">
        <f t="shared" ca="1" si="74"/>
        <v>0</v>
      </c>
      <c r="H314" s="105">
        <f t="shared" ca="1" si="75"/>
        <v>0</v>
      </c>
      <c r="I314" s="105">
        <f t="shared" ca="1" si="76"/>
        <v>0</v>
      </c>
      <c r="J314" s="105">
        <f t="shared" ca="1" si="77"/>
        <v>0</v>
      </c>
      <c r="K314" s="105">
        <f t="shared" ca="1" si="78"/>
        <v>0</v>
      </c>
      <c r="L314" s="105">
        <f t="shared" ca="1" si="79"/>
        <v>0</v>
      </c>
      <c r="M314" s="105">
        <f t="shared" ca="1" si="80"/>
        <v>0</v>
      </c>
      <c r="N314" s="105">
        <f t="shared" ca="1" si="81"/>
        <v>0</v>
      </c>
      <c r="O314" s="105">
        <f t="shared" ca="1" si="82"/>
        <v>0</v>
      </c>
      <c r="P314" s="105">
        <f t="shared" ca="1" si="83"/>
        <v>0</v>
      </c>
      <c r="Q314" s="105">
        <f t="shared" ca="1" si="84"/>
        <v>0</v>
      </c>
      <c r="R314" s="105">
        <f t="shared" ca="1" si="85"/>
        <v>0</v>
      </c>
      <c r="S314" s="105">
        <f t="shared" ca="1" si="86"/>
        <v>0</v>
      </c>
      <c r="T314" s="105">
        <f t="shared" ca="1" si="87"/>
        <v>0</v>
      </c>
      <c r="U314" s="105">
        <f t="shared" ca="1" si="88"/>
        <v>0</v>
      </c>
      <c r="V314" s="105">
        <f t="shared" ca="1" si="89"/>
        <v>0</v>
      </c>
      <c r="W314" s="105">
        <f t="shared" ca="1" si="90"/>
        <v>0</v>
      </c>
      <c r="X314" s="105">
        <f t="shared" ca="1" si="91"/>
        <v>0</v>
      </c>
      <c r="Y314" s="105">
        <f t="shared" ca="1" si="92"/>
        <v>0</v>
      </c>
      <c r="Z314" s="105">
        <f t="shared" ca="1" si="93"/>
        <v>0</v>
      </c>
      <c r="AA314" s="105">
        <f t="shared" ca="1" si="94"/>
        <v>0</v>
      </c>
      <c r="AB314" s="105">
        <f t="shared" ca="1" si="95"/>
        <v>0</v>
      </c>
      <c r="AC314" s="105"/>
      <c r="AD314" s="103"/>
      <c r="AE314" s="103"/>
      <c r="AF314" s="103"/>
      <c r="AG314" s="103"/>
      <c r="AH314" s="103"/>
      <c r="AI314" s="103"/>
      <c r="AJ314" s="103"/>
      <c r="AK314" s="103"/>
      <c r="AL314" s="103"/>
      <c r="AM314" s="103"/>
      <c r="AN314" s="103"/>
      <c r="AO314" s="103"/>
      <c r="AP314" s="103"/>
      <c r="AQ314" s="103"/>
      <c r="AR314" s="103"/>
      <c r="AS314" s="103"/>
      <c r="AT314" s="103"/>
      <c r="AU314" s="103"/>
      <c r="AV314" s="103"/>
    </row>
    <row r="315" spans="5:48">
      <c r="E315" s="105">
        <f t="shared" ca="1" si="72"/>
        <v>0</v>
      </c>
      <c r="F315" s="105">
        <f t="shared" ca="1" si="73"/>
        <v>0</v>
      </c>
      <c r="G315" s="105">
        <f t="shared" ca="1" si="74"/>
        <v>0</v>
      </c>
      <c r="H315" s="105">
        <f t="shared" ca="1" si="75"/>
        <v>0</v>
      </c>
      <c r="I315" s="105">
        <f t="shared" ca="1" si="76"/>
        <v>0</v>
      </c>
      <c r="J315" s="105">
        <f t="shared" ca="1" si="77"/>
        <v>0</v>
      </c>
      <c r="K315" s="105">
        <f t="shared" ca="1" si="78"/>
        <v>0</v>
      </c>
      <c r="L315" s="105">
        <f t="shared" ca="1" si="79"/>
        <v>0</v>
      </c>
      <c r="M315" s="105">
        <f t="shared" ca="1" si="80"/>
        <v>0</v>
      </c>
      <c r="N315" s="105">
        <f t="shared" ca="1" si="81"/>
        <v>0</v>
      </c>
      <c r="O315" s="105">
        <f t="shared" ca="1" si="82"/>
        <v>0</v>
      </c>
      <c r="P315" s="105">
        <f t="shared" ca="1" si="83"/>
        <v>0</v>
      </c>
      <c r="Q315" s="105">
        <f t="shared" ca="1" si="84"/>
        <v>0</v>
      </c>
      <c r="R315" s="105">
        <f t="shared" ca="1" si="85"/>
        <v>0</v>
      </c>
      <c r="S315" s="105">
        <f t="shared" ca="1" si="86"/>
        <v>0</v>
      </c>
      <c r="T315" s="105">
        <f t="shared" ca="1" si="87"/>
        <v>0</v>
      </c>
      <c r="U315" s="105">
        <f t="shared" ca="1" si="88"/>
        <v>0</v>
      </c>
      <c r="V315" s="105">
        <f t="shared" ca="1" si="89"/>
        <v>0</v>
      </c>
      <c r="W315" s="105">
        <f t="shared" ca="1" si="90"/>
        <v>0</v>
      </c>
      <c r="X315" s="105">
        <f t="shared" ca="1" si="91"/>
        <v>0</v>
      </c>
      <c r="Y315" s="105">
        <f t="shared" ca="1" si="92"/>
        <v>0</v>
      </c>
      <c r="Z315" s="105">
        <f t="shared" ca="1" si="93"/>
        <v>0</v>
      </c>
      <c r="AA315" s="105">
        <f t="shared" ca="1" si="94"/>
        <v>0</v>
      </c>
      <c r="AB315" s="105">
        <f t="shared" ca="1" si="95"/>
        <v>0</v>
      </c>
      <c r="AC315" s="105"/>
      <c r="AD315" s="103"/>
      <c r="AE315" s="103"/>
      <c r="AF315" s="103"/>
      <c r="AG315" s="103"/>
      <c r="AH315" s="103"/>
      <c r="AI315" s="103"/>
      <c r="AJ315" s="103"/>
      <c r="AK315" s="103"/>
      <c r="AL315" s="103"/>
      <c r="AM315" s="103"/>
      <c r="AN315" s="103"/>
      <c r="AO315" s="103"/>
      <c r="AP315" s="103"/>
      <c r="AQ315" s="103"/>
      <c r="AR315" s="103"/>
      <c r="AS315" s="103"/>
      <c r="AT315" s="103"/>
      <c r="AU315" s="103"/>
      <c r="AV315" s="103"/>
    </row>
    <row r="316" spans="5:48">
      <c r="E316" s="105">
        <f t="shared" ca="1" si="72"/>
        <v>0</v>
      </c>
      <c r="F316" s="105">
        <f t="shared" ca="1" si="73"/>
        <v>0</v>
      </c>
      <c r="G316" s="105">
        <f t="shared" ca="1" si="74"/>
        <v>0</v>
      </c>
      <c r="H316" s="105">
        <f t="shared" ca="1" si="75"/>
        <v>0</v>
      </c>
      <c r="I316" s="105">
        <f t="shared" ca="1" si="76"/>
        <v>0</v>
      </c>
      <c r="J316" s="105">
        <f t="shared" ca="1" si="77"/>
        <v>0</v>
      </c>
      <c r="K316" s="105">
        <f t="shared" ca="1" si="78"/>
        <v>0</v>
      </c>
      <c r="L316" s="105">
        <f t="shared" ca="1" si="79"/>
        <v>0</v>
      </c>
      <c r="M316" s="105">
        <f t="shared" ca="1" si="80"/>
        <v>0</v>
      </c>
      <c r="N316" s="105">
        <f t="shared" ca="1" si="81"/>
        <v>0</v>
      </c>
      <c r="O316" s="105">
        <f t="shared" ca="1" si="82"/>
        <v>0</v>
      </c>
      <c r="P316" s="105">
        <f t="shared" ca="1" si="83"/>
        <v>0</v>
      </c>
      <c r="Q316" s="105">
        <f t="shared" ca="1" si="84"/>
        <v>0</v>
      </c>
      <c r="R316" s="105">
        <f t="shared" ca="1" si="85"/>
        <v>0</v>
      </c>
      <c r="S316" s="105">
        <f t="shared" ca="1" si="86"/>
        <v>0</v>
      </c>
      <c r="T316" s="105">
        <f t="shared" ca="1" si="87"/>
        <v>0</v>
      </c>
      <c r="U316" s="105">
        <f t="shared" ca="1" si="88"/>
        <v>0</v>
      </c>
      <c r="V316" s="105">
        <f t="shared" ca="1" si="89"/>
        <v>0</v>
      </c>
      <c r="W316" s="105">
        <f t="shared" ca="1" si="90"/>
        <v>0</v>
      </c>
      <c r="X316" s="105">
        <f t="shared" ca="1" si="91"/>
        <v>0</v>
      </c>
      <c r="Y316" s="105">
        <f t="shared" ca="1" si="92"/>
        <v>0</v>
      </c>
      <c r="Z316" s="105">
        <f t="shared" ca="1" si="93"/>
        <v>0</v>
      </c>
      <c r="AA316" s="105">
        <f t="shared" ca="1" si="94"/>
        <v>0</v>
      </c>
      <c r="AB316" s="105">
        <f t="shared" ca="1" si="95"/>
        <v>0</v>
      </c>
      <c r="AC316" s="105"/>
      <c r="AD316" s="103"/>
      <c r="AE316" s="103"/>
      <c r="AF316" s="103"/>
      <c r="AG316" s="103"/>
      <c r="AH316" s="103"/>
      <c r="AI316" s="103"/>
      <c r="AJ316" s="103"/>
      <c r="AK316" s="103"/>
      <c r="AL316" s="103"/>
      <c r="AM316" s="103"/>
      <c r="AN316" s="103"/>
      <c r="AO316" s="103"/>
      <c r="AP316" s="103"/>
      <c r="AQ316" s="103"/>
      <c r="AR316" s="103"/>
      <c r="AS316" s="103"/>
      <c r="AT316" s="103"/>
      <c r="AU316" s="103"/>
      <c r="AV316" s="103"/>
    </row>
    <row r="317" spans="5:48">
      <c r="E317" s="105">
        <f ca="1">IF($B23&lt;=$E$150,IF($E$150&lt;#REF!,1,0),0)</f>
        <v>0</v>
      </c>
      <c r="F317" s="105">
        <f ca="1">IF($B23&lt;=$F$150,IF($F$150&lt;#REF!,1,0),0)</f>
        <v>0</v>
      </c>
      <c r="G317" s="105">
        <f ca="1">IF($B23&lt;=$G$150,IF($G$150&lt;#REF!,1,0),0)</f>
        <v>0</v>
      </c>
      <c r="H317" s="105" t="e">
        <f ca="1">IF($B23&lt;=$H$150,IF($H$150&lt;#REF!,1,0),0)</f>
        <v>#REF!</v>
      </c>
      <c r="I317" s="105" t="e">
        <f ca="1">IF($B23&lt;=$I$150,IF($I$150&lt;#REF!,1,0),0)</f>
        <v>#REF!</v>
      </c>
      <c r="J317" s="105" t="e">
        <f ca="1">IF($B23&lt;=$J$150,IF($J$150&lt;#REF!,1,0),0)</f>
        <v>#REF!</v>
      </c>
      <c r="K317" s="105" t="e">
        <f ca="1">IF($B23&lt;=$K$150,IF($K$150&lt;#REF!,1,0),0)</f>
        <v>#REF!</v>
      </c>
      <c r="L317" s="105" t="e">
        <f ca="1">IF($B23&lt;=$L$150,IF($L$150&lt;#REF!,1,0),0)</f>
        <v>#REF!</v>
      </c>
      <c r="M317" s="105" t="e">
        <f ca="1">IF($B23&lt;=$M$150,IF($M$150&lt;#REF!,1,0),0)</f>
        <v>#REF!</v>
      </c>
      <c r="N317" s="105" t="e">
        <f ca="1">IF($B23&lt;=$N$150,IF($N$150&lt;#REF!,1,0),0)</f>
        <v>#REF!</v>
      </c>
      <c r="O317" s="105" t="e">
        <f ca="1">IF($B23&lt;=$O$150,IF($O$150&lt;#REF!,1,0),0)</f>
        <v>#REF!</v>
      </c>
      <c r="P317" s="105" t="e">
        <f ca="1">IF($B23&lt;=$P$150,IF($P$150&lt;#REF!,1,0),0)</f>
        <v>#REF!</v>
      </c>
      <c r="Q317" s="105" t="e">
        <f ca="1">IF($B23&lt;=$Q$150,IF($Q$150&lt;#REF!,1,0),0)</f>
        <v>#REF!</v>
      </c>
      <c r="R317" s="105" t="e">
        <f ca="1">IF($B23&lt;=$R$150,IF($R$150&lt;#REF!,1,0),0)</f>
        <v>#REF!</v>
      </c>
      <c r="S317" s="105" t="e">
        <f ca="1">IF($B23&lt;=$S$150,IF($S$150&lt;#REF!,1,0),0)</f>
        <v>#REF!</v>
      </c>
      <c r="T317" s="105" t="e">
        <f ca="1">IF($B23&lt;=$T$150,IF($T$150&lt;#REF!,1,0),0)</f>
        <v>#REF!</v>
      </c>
      <c r="U317" s="105" t="e">
        <f ca="1">IF($B23&lt;=$U$150,IF($U$150&lt;#REF!,1,0),0)</f>
        <v>#REF!</v>
      </c>
      <c r="V317" s="105" t="e">
        <f ca="1">IF($B23&lt;=$V$150,IF($V$150&lt;#REF!,1,0),0)</f>
        <v>#REF!</v>
      </c>
      <c r="W317" s="105" t="e">
        <f ca="1">IF($B23&lt;=$W$150,IF($W$150&lt;#REF!,1,0),0)</f>
        <v>#REF!</v>
      </c>
      <c r="X317" s="105" t="e">
        <f ca="1">IF($B23&lt;=$X$150,IF($X$150&lt;#REF!,1,0),0)</f>
        <v>#REF!</v>
      </c>
      <c r="Y317" s="105" t="e">
        <f ca="1">IF($B23&lt;=$Y$150,IF($Y$150&lt;#REF!,1,0),0)</f>
        <v>#REF!</v>
      </c>
      <c r="Z317" s="105" t="e">
        <f ca="1">IF($B23&lt;=$Z$150,IF($Z$150&lt;#REF!,1,0),0)</f>
        <v>#REF!</v>
      </c>
      <c r="AA317" s="105" t="e">
        <f ca="1">IF($B23&lt;=$AA$150,IF($AA$150&lt;#REF!,1,0),0)</f>
        <v>#REF!</v>
      </c>
      <c r="AB317" s="105" t="e">
        <f ca="1">IF($B23&lt;=$AB$150,IF($AB$150&lt;#REF!,1,0),0)</f>
        <v>#REF!</v>
      </c>
      <c r="AC317" s="105"/>
      <c r="AD317" s="103"/>
      <c r="AE317" s="103"/>
      <c r="AF317" s="103"/>
      <c r="AG317" s="103"/>
      <c r="AH317" s="103"/>
      <c r="AI317" s="103"/>
      <c r="AJ317" s="103"/>
      <c r="AK317" s="103"/>
      <c r="AL317" s="103"/>
      <c r="AM317" s="103"/>
      <c r="AN317" s="103"/>
      <c r="AO317" s="103"/>
      <c r="AP317" s="103"/>
      <c r="AQ317" s="103"/>
      <c r="AR317" s="103"/>
      <c r="AS317" s="103"/>
      <c r="AT317" s="103"/>
      <c r="AU317" s="103"/>
      <c r="AV317" s="103"/>
    </row>
    <row r="318" spans="5:48">
      <c r="E318" s="105">
        <f ca="1">IF($B24&lt;=$E$150,IF($E$150&lt;$C23,1,0),0)</f>
        <v>0</v>
      </c>
      <c r="F318" s="105">
        <f ca="1">IF($B24&lt;=$F$150,IF($F$150&lt;$C23,1,0),0)</f>
        <v>0</v>
      </c>
      <c r="G318" s="105">
        <f ca="1">IF($B24&lt;=$G$150,IF($G$150&lt;$C23,1,0),0)</f>
        <v>0</v>
      </c>
      <c r="H318" s="105">
        <f ca="1">IF($B24&lt;=$H$150,IF($H$150&lt;$C23,1,0),0)</f>
        <v>0</v>
      </c>
      <c r="I318" s="105">
        <f ca="1">IF($B24&lt;=$I$150,IF($I$150&lt;$C23,1,0),0)</f>
        <v>0</v>
      </c>
      <c r="J318" s="105">
        <f ca="1">IF($B24&lt;=$J$150,IF($J$150&lt;$C23,1,0),0)</f>
        <v>0</v>
      </c>
      <c r="K318" s="105">
        <f ca="1">IF($B24&lt;=$K$150,IF($K$150&lt;$C23,1,0),0)</f>
        <v>0</v>
      </c>
      <c r="L318" s="105">
        <f ca="1">IF($B24&lt;=$L$150,IF($L$150&lt;$C23,1,0),0)</f>
        <v>1</v>
      </c>
      <c r="M318" s="105">
        <f ca="1">IF($B24&lt;=$M$150,IF($M$150&lt;$C23,1,0),0)</f>
        <v>1</v>
      </c>
      <c r="N318" s="105">
        <f ca="1">IF($B24&lt;=$N$150,IF($N$150&lt;$C23,1,0),0)</f>
        <v>1</v>
      </c>
      <c r="O318" s="105">
        <f ca="1">IF($B24&lt;=$O$150,IF($O$150&lt;$C23,1,0),0)</f>
        <v>1</v>
      </c>
      <c r="P318" s="105">
        <f ca="1">IF($B24&lt;=$P$150,IF($P$150&lt;$C23,1,0),0)</f>
        <v>1</v>
      </c>
      <c r="Q318" s="105">
        <f ca="1">IF($B24&lt;=$Q$150,IF($Q$150&lt;$C23,1,0),0)</f>
        <v>1</v>
      </c>
      <c r="R318" s="105">
        <f ca="1">IF($B24&lt;=$R$150,IF($R$150&lt;$C23,1,0),0)</f>
        <v>1</v>
      </c>
      <c r="S318" s="105">
        <f ca="1">IF($B24&lt;=$S$150,IF($S$150&lt;$C23,1,0),0)</f>
        <v>1</v>
      </c>
      <c r="T318" s="105">
        <f ca="1">IF($B24&lt;=$T$150,IF($T$150&lt;$C23,1,0),0)</f>
        <v>0</v>
      </c>
      <c r="U318" s="105">
        <f ca="1">IF($B24&lt;=$U$150,IF($U$150&lt;$C23,1,0),0)</f>
        <v>0</v>
      </c>
      <c r="V318" s="105">
        <f ca="1">IF($B24&lt;=$V$150,IF($V$150&lt;$C23,1,0),0)</f>
        <v>0</v>
      </c>
      <c r="W318" s="105">
        <f ca="1">IF($B24&lt;=$W$150,IF($W$150&lt;$C23,1,0),0)</f>
        <v>0</v>
      </c>
      <c r="X318" s="105">
        <f ca="1">IF($B24&lt;=$X$150,IF($X$150&lt;$C23,1,0),0)</f>
        <v>0</v>
      </c>
      <c r="Y318" s="105">
        <f ca="1">IF($B24&lt;=$Y$150,IF($Y$150&lt;$C23,1,0),0)</f>
        <v>0</v>
      </c>
      <c r="Z318" s="105">
        <f ca="1">IF($B24&lt;=$Z$150,IF($Z$150&lt;$C23,1,0),0)</f>
        <v>0</v>
      </c>
      <c r="AA318" s="105">
        <f ca="1">IF($B24&lt;=$AA$150,IF($AA$150&lt;$C23,1,0),0)</f>
        <v>0</v>
      </c>
      <c r="AB318" s="105">
        <f ca="1">IF($B24&lt;=$AB$150,IF($AB$150&lt;$C23,1,0),0)</f>
        <v>0</v>
      </c>
      <c r="AC318" s="105"/>
      <c r="AD318" s="103"/>
      <c r="AE318" s="103"/>
      <c r="AF318" s="103"/>
      <c r="AG318" s="103"/>
      <c r="AH318" s="103"/>
      <c r="AI318" s="103"/>
      <c r="AJ318" s="103"/>
      <c r="AK318" s="103"/>
      <c r="AL318" s="103"/>
      <c r="AM318" s="103"/>
      <c r="AN318" s="103"/>
      <c r="AO318" s="103"/>
      <c r="AP318" s="103"/>
      <c r="AQ318" s="103"/>
      <c r="AR318" s="103"/>
      <c r="AS318" s="103"/>
      <c r="AT318" s="103"/>
      <c r="AU318" s="103"/>
      <c r="AV318" s="103"/>
    </row>
    <row r="319" spans="5:48">
      <c r="E319" s="105">
        <f t="shared" ref="E319:E357" ca="1" si="96">IF($B25&lt;=$E$150,IF($E$150&lt;$C25,1,0),0)</f>
        <v>0</v>
      </c>
      <c r="F319" s="105">
        <f t="shared" ref="F319:F357" ca="1" si="97">IF($B25&lt;=$F$150,IF($F$150&lt;$C25,1,0),0)</f>
        <v>0</v>
      </c>
      <c r="G319" s="105">
        <f t="shared" ref="G319:G357" ca="1" si="98">IF($B25&lt;=$G$150,IF($G$150&lt;$C25,1,0),0)</f>
        <v>0</v>
      </c>
      <c r="H319" s="105">
        <f t="shared" ref="H319:H357" ca="1" si="99">IF($B25&lt;=$H$150,IF($H$150&lt;$C25,1,0),0)</f>
        <v>0</v>
      </c>
      <c r="I319" s="105">
        <f t="shared" ref="I319:I357" ca="1" si="100">IF($B25&lt;=$I$150,IF($I$150&lt;$C25,1,0),0)</f>
        <v>0</v>
      </c>
      <c r="J319" s="105">
        <f t="shared" ref="J319:J357" ca="1" si="101">IF($B25&lt;=$J$150,IF($J$150&lt;$C25,1,0),0)</f>
        <v>0</v>
      </c>
      <c r="K319" s="105">
        <f t="shared" ref="K319:K357" ca="1" si="102">IF($B25&lt;=$K$150,IF($K$150&lt;$C25,1,0),0)</f>
        <v>0</v>
      </c>
      <c r="L319" s="105">
        <f t="shared" ref="L319:L357" ca="1" si="103">IF($B25&lt;=$L$150,IF($L$150&lt;$C25,1,0),0)</f>
        <v>0</v>
      </c>
      <c r="M319" s="105">
        <f t="shared" ref="M319:M357" ca="1" si="104">IF($B25&lt;=$M$150,IF($M$150&lt;$C25,1,0),0)</f>
        <v>1</v>
      </c>
      <c r="N319" s="105">
        <f t="shared" ref="N319:N357" ca="1" si="105">IF($B25&lt;=$N$150,IF($N$150&lt;$C25,1,0),0)</f>
        <v>1</v>
      </c>
      <c r="O319" s="105">
        <f t="shared" ref="O319:O357" ca="1" si="106">IF($B25&lt;=$O$150,IF($O$150&lt;$C25,1,0),0)</f>
        <v>1</v>
      </c>
      <c r="P319" s="105">
        <f t="shared" ref="P319:P357" ca="1" si="107">IF($B25&lt;=$P$150,IF($P$150&lt;$C25,1,0),0)</f>
        <v>1</v>
      </c>
      <c r="Q319" s="105">
        <f t="shared" ref="Q319:Q357" ca="1" si="108">IF($B25&lt;=$Q$150,IF($Q$150&lt;$C25,1,0),0)</f>
        <v>1</v>
      </c>
      <c r="R319" s="105">
        <f t="shared" ref="R319:R357" ca="1" si="109">IF($B25&lt;=$R$150,IF($R$150&lt;$C25,1,0),0)</f>
        <v>1</v>
      </c>
      <c r="S319" s="105">
        <f t="shared" ref="S319:S357" ca="1" si="110">IF($B25&lt;=$S$150,IF($S$150&lt;$C25,1,0),0)</f>
        <v>1</v>
      </c>
      <c r="T319" s="105">
        <f t="shared" ref="T319:T357" ca="1" si="111">IF($B25&lt;=$T$150,IF($T$150&lt;$C25,1,0),0)</f>
        <v>0</v>
      </c>
      <c r="U319" s="105">
        <f t="shared" ref="U319:U357" ca="1" si="112">IF($B25&lt;=$U$150,IF($U$150&lt;$C25,1,0),0)</f>
        <v>0</v>
      </c>
      <c r="V319" s="105">
        <f t="shared" ref="V319:V357" ca="1" si="113">IF($B25&lt;=$V$150,IF($V$150&lt;$C25,1,0),0)</f>
        <v>0</v>
      </c>
      <c r="W319" s="105">
        <f t="shared" ref="W319:W357" ca="1" si="114">IF($B25&lt;=$W$150,IF($W$150&lt;$C25,1,0),0)</f>
        <v>0</v>
      </c>
      <c r="X319" s="105">
        <f t="shared" ref="X319:X357" ca="1" si="115">IF($B25&lt;=$X$150,IF($X$150&lt;$C25,1,0),0)</f>
        <v>0</v>
      </c>
      <c r="Y319" s="105">
        <f t="shared" ref="Y319:Y357" ca="1" si="116">IF($B25&lt;=$Y$150,IF($Y$150&lt;$C25,1,0),0)</f>
        <v>0</v>
      </c>
      <c r="Z319" s="105">
        <f t="shared" ref="Z319:Z357" ca="1" si="117">IF($B25&lt;=$Z$150,IF($Z$150&lt;$C25,1,0),0)</f>
        <v>0</v>
      </c>
      <c r="AA319" s="105">
        <f t="shared" ref="AA319:AA357" ca="1" si="118">IF($B25&lt;=$AA$150,IF($AA$150&lt;$C25,1,0),0)</f>
        <v>0</v>
      </c>
      <c r="AB319" s="105">
        <f t="shared" ref="AB319:AB357" ca="1" si="119">IF($B25&lt;=$AB$150,IF($AB$150&lt;$C25,1,0),0)</f>
        <v>0</v>
      </c>
      <c r="AC319" s="105"/>
      <c r="AD319" s="103"/>
      <c r="AE319" s="103"/>
      <c r="AF319" s="103"/>
      <c r="AG319" s="103"/>
      <c r="AH319" s="103"/>
      <c r="AI319" s="103"/>
      <c r="AJ319" s="103"/>
      <c r="AK319" s="103"/>
      <c r="AL319" s="103"/>
      <c r="AM319" s="103"/>
      <c r="AN319" s="103"/>
      <c r="AO319" s="103"/>
      <c r="AP319" s="103"/>
      <c r="AQ319" s="103"/>
      <c r="AR319" s="103"/>
      <c r="AS319" s="103"/>
      <c r="AT319" s="103"/>
      <c r="AU319" s="103"/>
      <c r="AV319" s="103"/>
    </row>
    <row r="320" spans="5:48">
      <c r="E320" s="105">
        <f t="shared" ca="1" si="96"/>
        <v>0</v>
      </c>
      <c r="F320" s="105">
        <f t="shared" ca="1" si="97"/>
        <v>0</v>
      </c>
      <c r="G320" s="105">
        <f t="shared" ca="1" si="98"/>
        <v>0</v>
      </c>
      <c r="H320" s="105">
        <f t="shared" ca="1" si="99"/>
        <v>0</v>
      </c>
      <c r="I320" s="105">
        <f t="shared" ca="1" si="100"/>
        <v>0</v>
      </c>
      <c r="J320" s="105">
        <f t="shared" ca="1" si="101"/>
        <v>0</v>
      </c>
      <c r="K320" s="105">
        <f t="shared" ca="1" si="102"/>
        <v>0</v>
      </c>
      <c r="L320" s="105">
        <f t="shared" ca="1" si="103"/>
        <v>0</v>
      </c>
      <c r="M320" s="105">
        <f t="shared" ca="1" si="104"/>
        <v>0</v>
      </c>
      <c r="N320" s="105">
        <f t="shared" ca="1" si="105"/>
        <v>0</v>
      </c>
      <c r="O320" s="105">
        <f t="shared" ca="1" si="106"/>
        <v>1</v>
      </c>
      <c r="P320" s="105">
        <f t="shared" ca="1" si="107"/>
        <v>1</v>
      </c>
      <c r="Q320" s="105">
        <f t="shared" ca="1" si="108"/>
        <v>1</v>
      </c>
      <c r="R320" s="105">
        <f t="shared" ca="1" si="109"/>
        <v>1</v>
      </c>
      <c r="S320" s="105">
        <f t="shared" ca="1" si="110"/>
        <v>1</v>
      </c>
      <c r="T320" s="105">
        <f t="shared" ca="1" si="111"/>
        <v>1</v>
      </c>
      <c r="U320" s="105">
        <f t="shared" ca="1" si="112"/>
        <v>1</v>
      </c>
      <c r="V320" s="105">
        <f t="shared" ca="1" si="113"/>
        <v>1</v>
      </c>
      <c r="W320" s="105">
        <f t="shared" ca="1" si="114"/>
        <v>1</v>
      </c>
      <c r="X320" s="105">
        <f t="shared" ca="1" si="115"/>
        <v>1</v>
      </c>
      <c r="Y320" s="105">
        <f t="shared" ca="1" si="116"/>
        <v>1</v>
      </c>
      <c r="Z320" s="105">
        <f t="shared" ca="1" si="117"/>
        <v>1</v>
      </c>
      <c r="AA320" s="105">
        <f t="shared" ca="1" si="118"/>
        <v>0</v>
      </c>
      <c r="AB320" s="105">
        <f t="shared" ca="1" si="119"/>
        <v>0</v>
      </c>
      <c r="AC320" s="105"/>
      <c r="AD320" s="103"/>
      <c r="AE320" s="103"/>
      <c r="AF320" s="103"/>
      <c r="AG320" s="103"/>
      <c r="AH320" s="103"/>
      <c r="AI320" s="103"/>
      <c r="AJ320" s="103"/>
      <c r="AK320" s="103"/>
      <c r="AL320" s="103"/>
      <c r="AM320" s="103"/>
      <c r="AN320" s="103"/>
      <c r="AO320" s="103"/>
      <c r="AP320" s="103"/>
      <c r="AQ320" s="103"/>
      <c r="AR320" s="103"/>
      <c r="AS320" s="103"/>
      <c r="AT320" s="103"/>
      <c r="AU320" s="103"/>
      <c r="AV320" s="103"/>
    </row>
    <row r="321" spans="5:48">
      <c r="E321" s="105">
        <f t="shared" ca="1" si="96"/>
        <v>0</v>
      </c>
      <c r="F321" s="105">
        <f t="shared" ca="1" si="97"/>
        <v>0</v>
      </c>
      <c r="G321" s="105">
        <f t="shared" ca="1" si="98"/>
        <v>0</v>
      </c>
      <c r="H321" s="105">
        <f t="shared" ca="1" si="99"/>
        <v>0</v>
      </c>
      <c r="I321" s="105">
        <f t="shared" ca="1" si="100"/>
        <v>0</v>
      </c>
      <c r="J321" s="105">
        <f t="shared" ca="1" si="101"/>
        <v>0</v>
      </c>
      <c r="K321" s="105">
        <f t="shared" ca="1" si="102"/>
        <v>0</v>
      </c>
      <c r="L321" s="105">
        <f t="shared" ca="1" si="103"/>
        <v>0</v>
      </c>
      <c r="M321" s="105">
        <f t="shared" ca="1" si="104"/>
        <v>0</v>
      </c>
      <c r="N321" s="105">
        <f t="shared" ca="1" si="105"/>
        <v>0</v>
      </c>
      <c r="O321" s="105">
        <f t="shared" ca="1" si="106"/>
        <v>1</v>
      </c>
      <c r="P321" s="105">
        <f t="shared" ca="1" si="107"/>
        <v>1</v>
      </c>
      <c r="Q321" s="105">
        <f t="shared" ca="1" si="108"/>
        <v>1</v>
      </c>
      <c r="R321" s="105">
        <f t="shared" ca="1" si="109"/>
        <v>1</v>
      </c>
      <c r="S321" s="105">
        <f t="shared" ca="1" si="110"/>
        <v>1</v>
      </c>
      <c r="T321" s="105">
        <f t="shared" ca="1" si="111"/>
        <v>1</v>
      </c>
      <c r="U321" s="105">
        <f t="shared" ca="1" si="112"/>
        <v>1</v>
      </c>
      <c r="V321" s="105">
        <f t="shared" ca="1" si="113"/>
        <v>1</v>
      </c>
      <c r="W321" s="105">
        <f t="shared" ca="1" si="114"/>
        <v>1</v>
      </c>
      <c r="X321" s="105">
        <f t="shared" ca="1" si="115"/>
        <v>1</v>
      </c>
      <c r="Y321" s="105">
        <f t="shared" ca="1" si="116"/>
        <v>1</v>
      </c>
      <c r="Z321" s="105">
        <f t="shared" ca="1" si="117"/>
        <v>1</v>
      </c>
      <c r="AA321" s="105">
        <f t="shared" ca="1" si="118"/>
        <v>0</v>
      </c>
      <c r="AB321" s="105">
        <f t="shared" ca="1" si="119"/>
        <v>0</v>
      </c>
      <c r="AC321" s="105"/>
      <c r="AD321" s="103"/>
      <c r="AE321" s="103"/>
      <c r="AF321" s="103"/>
      <c r="AG321" s="103"/>
      <c r="AH321" s="103"/>
      <c r="AI321" s="103"/>
      <c r="AJ321" s="103"/>
      <c r="AK321" s="103"/>
      <c r="AL321" s="103"/>
      <c r="AM321" s="103"/>
      <c r="AN321" s="103"/>
      <c r="AO321" s="103"/>
      <c r="AP321" s="103"/>
      <c r="AQ321" s="103"/>
      <c r="AR321" s="103"/>
      <c r="AS321" s="103"/>
      <c r="AT321" s="103"/>
      <c r="AU321" s="103"/>
      <c r="AV321" s="103"/>
    </row>
    <row r="322" spans="5:48">
      <c r="E322" s="105">
        <f t="shared" ca="1" si="96"/>
        <v>0</v>
      </c>
      <c r="F322" s="105">
        <f t="shared" ca="1" si="97"/>
        <v>0</v>
      </c>
      <c r="G322" s="105">
        <f t="shared" ca="1" si="98"/>
        <v>0</v>
      </c>
      <c r="H322" s="105">
        <f t="shared" ca="1" si="99"/>
        <v>0</v>
      </c>
      <c r="I322" s="105">
        <f t="shared" ca="1" si="100"/>
        <v>0</v>
      </c>
      <c r="J322" s="105">
        <f t="shared" ca="1" si="101"/>
        <v>0</v>
      </c>
      <c r="K322" s="105">
        <f t="shared" ca="1" si="102"/>
        <v>0</v>
      </c>
      <c r="L322" s="105">
        <f t="shared" ca="1" si="103"/>
        <v>0</v>
      </c>
      <c r="M322" s="105">
        <f t="shared" ca="1" si="104"/>
        <v>0</v>
      </c>
      <c r="N322" s="105">
        <f t="shared" ca="1" si="105"/>
        <v>0</v>
      </c>
      <c r="O322" s="105">
        <f t="shared" ca="1" si="106"/>
        <v>1</v>
      </c>
      <c r="P322" s="105">
        <f t="shared" ca="1" si="107"/>
        <v>1</v>
      </c>
      <c r="Q322" s="105">
        <f t="shared" ca="1" si="108"/>
        <v>1</v>
      </c>
      <c r="R322" s="105">
        <f t="shared" ca="1" si="109"/>
        <v>1</v>
      </c>
      <c r="S322" s="105">
        <f t="shared" ca="1" si="110"/>
        <v>1</v>
      </c>
      <c r="T322" s="105">
        <f t="shared" ca="1" si="111"/>
        <v>1</v>
      </c>
      <c r="U322" s="105">
        <f t="shared" ca="1" si="112"/>
        <v>1</v>
      </c>
      <c r="V322" s="105">
        <f t="shared" ca="1" si="113"/>
        <v>1</v>
      </c>
      <c r="W322" s="105">
        <f t="shared" ca="1" si="114"/>
        <v>1</v>
      </c>
      <c r="X322" s="105">
        <f t="shared" ca="1" si="115"/>
        <v>1</v>
      </c>
      <c r="Y322" s="105">
        <f t="shared" ca="1" si="116"/>
        <v>1</v>
      </c>
      <c r="Z322" s="105">
        <f t="shared" ca="1" si="117"/>
        <v>1</v>
      </c>
      <c r="AA322" s="105">
        <f t="shared" ca="1" si="118"/>
        <v>0</v>
      </c>
      <c r="AB322" s="105">
        <f t="shared" ca="1" si="119"/>
        <v>0</v>
      </c>
      <c r="AC322" s="105"/>
      <c r="AD322" s="103"/>
      <c r="AE322" s="103"/>
      <c r="AF322" s="103"/>
      <c r="AG322" s="103"/>
      <c r="AH322" s="103"/>
      <c r="AI322" s="103"/>
      <c r="AJ322" s="103"/>
      <c r="AK322" s="103"/>
      <c r="AL322" s="103"/>
      <c r="AM322" s="103"/>
      <c r="AN322" s="103"/>
      <c r="AO322" s="103"/>
      <c r="AP322" s="103"/>
      <c r="AQ322" s="103"/>
      <c r="AR322" s="103"/>
      <c r="AS322" s="103"/>
      <c r="AT322" s="103"/>
      <c r="AU322" s="103"/>
      <c r="AV322" s="103"/>
    </row>
    <row r="323" spans="5:48">
      <c r="E323" s="105">
        <f t="shared" ca="1" si="96"/>
        <v>0</v>
      </c>
      <c r="F323" s="105">
        <f t="shared" ca="1" si="97"/>
        <v>0</v>
      </c>
      <c r="G323" s="105">
        <f t="shared" ca="1" si="98"/>
        <v>0</v>
      </c>
      <c r="H323" s="105">
        <f t="shared" ca="1" si="99"/>
        <v>0</v>
      </c>
      <c r="I323" s="105">
        <f t="shared" ca="1" si="100"/>
        <v>0</v>
      </c>
      <c r="J323" s="105">
        <f t="shared" ca="1" si="101"/>
        <v>0</v>
      </c>
      <c r="K323" s="105">
        <f t="shared" ca="1" si="102"/>
        <v>0</v>
      </c>
      <c r="L323" s="105">
        <f t="shared" ca="1" si="103"/>
        <v>0</v>
      </c>
      <c r="M323" s="105">
        <f t="shared" ca="1" si="104"/>
        <v>0</v>
      </c>
      <c r="N323" s="105">
        <f t="shared" ca="1" si="105"/>
        <v>0</v>
      </c>
      <c r="O323" s="105">
        <f t="shared" ca="1" si="106"/>
        <v>1</v>
      </c>
      <c r="P323" s="105">
        <f t="shared" ca="1" si="107"/>
        <v>1</v>
      </c>
      <c r="Q323" s="105">
        <f t="shared" ca="1" si="108"/>
        <v>1</v>
      </c>
      <c r="R323" s="105">
        <f t="shared" ca="1" si="109"/>
        <v>1</v>
      </c>
      <c r="S323" s="105">
        <f t="shared" ca="1" si="110"/>
        <v>1</v>
      </c>
      <c r="T323" s="105">
        <f t="shared" ca="1" si="111"/>
        <v>1</v>
      </c>
      <c r="U323" s="105">
        <f t="shared" ca="1" si="112"/>
        <v>1</v>
      </c>
      <c r="V323" s="105">
        <f t="shared" ca="1" si="113"/>
        <v>1</v>
      </c>
      <c r="W323" s="105">
        <f t="shared" ca="1" si="114"/>
        <v>1</v>
      </c>
      <c r="X323" s="105">
        <f t="shared" ca="1" si="115"/>
        <v>1</v>
      </c>
      <c r="Y323" s="105">
        <f t="shared" ca="1" si="116"/>
        <v>1</v>
      </c>
      <c r="Z323" s="105">
        <f t="shared" ca="1" si="117"/>
        <v>1</v>
      </c>
      <c r="AA323" s="105">
        <f t="shared" ca="1" si="118"/>
        <v>0</v>
      </c>
      <c r="AB323" s="105">
        <f t="shared" ca="1" si="119"/>
        <v>0</v>
      </c>
      <c r="AC323" s="105"/>
      <c r="AD323" s="103"/>
      <c r="AE323" s="103"/>
      <c r="AF323" s="103"/>
      <c r="AG323" s="103"/>
      <c r="AH323" s="103"/>
      <c r="AI323" s="103"/>
      <c r="AJ323" s="103"/>
      <c r="AK323" s="103"/>
      <c r="AL323" s="103"/>
      <c r="AM323" s="103"/>
      <c r="AN323" s="103"/>
      <c r="AO323" s="103"/>
      <c r="AP323" s="103"/>
      <c r="AQ323" s="103"/>
      <c r="AR323" s="103"/>
      <c r="AS323" s="103"/>
      <c r="AT323" s="103"/>
      <c r="AU323" s="103"/>
      <c r="AV323" s="103"/>
    </row>
    <row r="324" spans="5:48">
      <c r="E324" s="105">
        <f t="shared" ca="1" si="96"/>
        <v>0</v>
      </c>
      <c r="F324" s="105">
        <f t="shared" ca="1" si="97"/>
        <v>0</v>
      </c>
      <c r="G324" s="105">
        <f t="shared" ca="1" si="98"/>
        <v>0</v>
      </c>
      <c r="H324" s="105">
        <f t="shared" ca="1" si="99"/>
        <v>0</v>
      </c>
      <c r="I324" s="105">
        <f t="shared" ca="1" si="100"/>
        <v>0</v>
      </c>
      <c r="J324" s="105">
        <f t="shared" ca="1" si="101"/>
        <v>0</v>
      </c>
      <c r="K324" s="105">
        <f t="shared" ca="1" si="102"/>
        <v>0</v>
      </c>
      <c r="L324" s="105">
        <f t="shared" ca="1" si="103"/>
        <v>0</v>
      </c>
      <c r="M324" s="105">
        <f t="shared" ca="1" si="104"/>
        <v>0</v>
      </c>
      <c r="N324" s="105">
        <f t="shared" ca="1" si="105"/>
        <v>0</v>
      </c>
      <c r="O324" s="105">
        <f t="shared" ca="1" si="106"/>
        <v>1</v>
      </c>
      <c r="P324" s="105">
        <f t="shared" ca="1" si="107"/>
        <v>1</v>
      </c>
      <c r="Q324" s="105">
        <f t="shared" ca="1" si="108"/>
        <v>1</v>
      </c>
      <c r="R324" s="105">
        <f t="shared" ca="1" si="109"/>
        <v>1</v>
      </c>
      <c r="S324" s="105">
        <f t="shared" ca="1" si="110"/>
        <v>1</v>
      </c>
      <c r="T324" s="105">
        <f t="shared" ca="1" si="111"/>
        <v>1</v>
      </c>
      <c r="U324" s="105">
        <f t="shared" ca="1" si="112"/>
        <v>1</v>
      </c>
      <c r="V324" s="105">
        <f t="shared" ca="1" si="113"/>
        <v>1</v>
      </c>
      <c r="W324" s="105">
        <f t="shared" ca="1" si="114"/>
        <v>1</v>
      </c>
      <c r="X324" s="105">
        <f t="shared" ca="1" si="115"/>
        <v>1</v>
      </c>
      <c r="Y324" s="105">
        <f t="shared" ca="1" si="116"/>
        <v>1</v>
      </c>
      <c r="Z324" s="105">
        <f t="shared" ca="1" si="117"/>
        <v>1</v>
      </c>
      <c r="AA324" s="105">
        <f t="shared" ca="1" si="118"/>
        <v>0</v>
      </c>
      <c r="AB324" s="105">
        <f t="shared" ca="1" si="119"/>
        <v>0</v>
      </c>
      <c r="AC324" s="105"/>
      <c r="AD324" s="103"/>
      <c r="AE324" s="103"/>
      <c r="AF324" s="103"/>
      <c r="AG324" s="103"/>
      <c r="AH324" s="103"/>
      <c r="AI324" s="103"/>
      <c r="AJ324" s="103"/>
      <c r="AK324" s="103"/>
      <c r="AL324" s="103"/>
      <c r="AM324" s="103"/>
      <c r="AN324" s="103"/>
      <c r="AO324" s="103"/>
      <c r="AP324" s="103"/>
      <c r="AQ324" s="103"/>
      <c r="AR324" s="103"/>
      <c r="AS324" s="103"/>
      <c r="AT324" s="103"/>
      <c r="AU324" s="103"/>
      <c r="AV324" s="103"/>
    </row>
    <row r="325" spans="5:48">
      <c r="E325" s="105">
        <f t="shared" ca="1" si="96"/>
        <v>0</v>
      </c>
      <c r="F325" s="105">
        <f t="shared" ca="1" si="97"/>
        <v>0</v>
      </c>
      <c r="G325" s="105">
        <f t="shared" ca="1" si="98"/>
        <v>0</v>
      </c>
      <c r="H325" s="105">
        <f t="shared" ca="1" si="99"/>
        <v>0</v>
      </c>
      <c r="I325" s="105">
        <f t="shared" ca="1" si="100"/>
        <v>0</v>
      </c>
      <c r="J325" s="105">
        <f t="shared" ca="1" si="101"/>
        <v>0</v>
      </c>
      <c r="K325" s="105">
        <f t="shared" ca="1" si="102"/>
        <v>0</v>
      </c>
      <c r="L325" s="105">
        <f t="shared" ca="1" si="103"/>
        <v>0</v>
      </c>
      <c r="M325" s="105">
        <f t="shared" ca="1" si="104"/>
        <v>0</v>
      </c>
      <c r="N325" s="105">
        <f t="shared" ca="1" si="105"/>
        <v>0</v>
      </c>
      <c r="O325" s="105">
        <f t="shared" ca="1" si="106"/>
        <v>0</v>
      </c>
      <c r="P325" s="105">
        <f t="shared" ca="1" si="107"/>
        <v>0</v>
      </c>
      <c r="Q325" s="105">
        <f t="shared" ca="1" si="108"/>
        <v>0</v>
      </c>
      <c r="R325" s="105">
        <f t="shared" ca="1" si="109"/>
        <v>0</v>
      </c>
      <c r="S325" s="105">
        <f t="shared" ca="1" si="110"/>
        <v>0</v>
      </c>
      <c r="T325" s="105">
        <f t="shared" ca="1" si="111"/>
        <v>0</v>
      </c>
      <c r="U325" s="105">
        <f t="shared" ca="1" si="112"/>
        <v>0</v>
      </c>
      <c r="V325" s="105">
        <f t="shared" ca="1" si="113"/>
        <v>0</v>
      </c>
      <c r="W325" s="105">
        <f t="shared" ca="1" si="114"/>
        <v>0</v>
      </c>
      <c r="X325" s="105">
        <f t="shared" ca="1" si="115"/>
        <v>0</v>
      </c>
      <c r="Y325" s="105">
        <f t="shared" ca="1" si="116"/>
        <v>0</v>
      </c>
      <c r="Z325" s="105">
        <f t="shared" ca="1" si="117"/>
        <v>0</v>
      </c>
      <c r="AA325" s="105">
        <f t="shared" ca="1" si="118"/>
        <v>0</v>
      </c>
      <c r="AB325" s="105">
        <f t="shared" ca="1" si="119"/>
        <v>0</v>
      </c>
      <c r="AC325" s="105"/>
      <c r="AD325" s="103"/>
      <c r="AE325" s="103"/>
      <c r="AF325" s="103"/>
      <c r="AG325" s="103"/>
      <c r="AH325" s="103"/>
      <c r="AI325" s="103"/>
      <c r="AJ325" s="103"/>
      <c r="AK325" s="103"/>
      <c r="AL325" s="103"/>
      <c r="AM325" s="103"/>
      <c r="AN325" s="103"/>
      <c r="AO325" s="103"/>
      <c r="AP325" s="103"/>
      <c r="AQ325" s="103"/>
      <c r="AR325" s="103"/>
      <c r="AS325" s="103"/>
      <c r="AT325" s="103"/>
      <c r="AU325" s="103"/>
      <c r="AV325" s="103"/>
    </row>
    <row r="326" spans="5:48">
      <c r="E326" s="105">
        <f t="shared" ca="1" si="96"/>
        <v>0</v>
      </c>
      <c r="F326" s="105">
        <f t="shared" ca="1" si="97"/>
        <v>0</v>
      </c>
      <c r="G326" s="105">
        <f t="shared" ca="1" si="98"/>
        <v>0</v>
      </c>
      <c r="H326" s="105">
        <f t="shared" ca="1" si="99"/>
        <v>0</v>
      </c>
      <c r="I326" s="105">
        <f t="shared" ca="1" si="100"/>
        <v>0</v>
      </c>
      <c r="J326" s="105">
        <f t="shared" ca="1" si="101"/>
        <v>0</v>
      </c>
      <c r="K326" s="105">
        <f t="shared" ca="1" si="102"/>
        <v>0</v>
      </c>
      <c r="L326" s="105">
        <f t="shared" ca="1" si="103"/>
        <v>0</v>
      </c>
      <c r="M326" s="105">
        <f t="shared" ca="1" si="104"/>
        <v>0</v>
      </c>
      <c r="N326" s="105">
        <f t="shared" ca="1" si="105"/>
        <v>0</v>
      </c>
      <c r="O326" s="105">
        <f t="shared" ca="1" si="106"/>
        <v>1</v>
      </c>
      <c r="P326" s="105">
        <f t="shared" ca="1" si="107"/>
        <v>1</v>
      </c>
      <c r="Q326" s="105">
        <f t="shared" ca="1" si="108"/>
        <v>1</v>
      </c>
      <c r="R326" s="105">
        <f t="shared" ca="1" si="109"/>
        <v>1</v>
      </c>
      <c r="S326" s="105">
        <f t="shared" ca="1" si="110"/>
        <v>1</v>
      </c>
      <c r="T326" s="105">
        <f t="shared" ca="1" si="111"/>
        <v>1</v>
      </c>
      <c r="U326" s="105">
        <f t="shared" ca="1" si="112"/>
        <v>1</v>
      </c>
      <c r="V326" s="105">
        <f t="shared" ca="1" si="113"/>
        <v>1</v>
      </c>
      <c r="W326" s="105">
        <f t="shared" ca="1" si="114"/>
        <v>1</v>
      </c>
      <c r="X326" s="105">
        <f t="shared" ca="1" si="115"/>
        <v>1</v>
      </c>
      <c r="Y326" s="105">
        <f t="shared" ca="1" si="116"/>
        <v>1</v>
      </c>
      <c r="Z326" s="105">
        <f t="shared" ca="1" si="117"/>
        <v>1</v>
      </c>
      <c r="AA326" s="105">
        <f t="shared" ca="1" si="118"/>
        <v>0</v>
      </c>
      <c r="AB326" s="105">
        <f t="shared" ca="1" si="119"/>
        <v>0</v>
      </c>
      <c r="AC326" s="105"/>
      <c r="AD326" s="103"/>
      <c r="AE326" s="103"/>
      <c r="AF326" s="103"/>
      <c r="AG326" s="103"/>
      <c r="AH326" s="103"/>
      <c r="AI326" s="103"/>
      <c r="AJ326" s="103"/>
      <c r="AK326" s="103"/>
      <c r="AL326" s="103"/>
      <c r="AM326" s="103"/>
      <c r="AN326" s="103"/>
      <c r="AO326" s="103"/>
      <c r="AP326" s="103"/>
      <c r="AQ326" s="103"/>
      <c r="AR326" s="103"/>
      <c r="AS326" s="103"/>
      <c r="AT326" s="103"/>
      <c r="AU326" s="103"/>
      <c r="AV326" s="103"/>
    </row>
    <row r="327" spans="5:48">
      <c r="E327" s="105">
        <f t="shared" ca="1" si="96"/>
        <v>0</v>
      </c>
      <c r="F327" s="105">
        <f t="shared" ca="1" si="97"/>
        <v>0</v>
      </c>
      <c r="G327" s="105">
        <f t="shared" ca="1" si="98"/>
        <v>0</v>
      </c>
      <c r="H327" s="105">
        <f t="shared" ca="1" si="99"/>
        <v>0</v>
      </c>
      <c r="I327" s="105">
        <f t="shared" ca="1" si="100"/>
        <v>0</v>
      </c>
      <c r="J327" s="105">
        <f t="shared" ca="1" si="101"/>
        <v>0</v>
      </c>
      <c r="K327" s="105">
        <f t="shared" ca="1" si="102"/>
        <v>0</v>
      </c>
      <c r="L327" s="105">
        <f t="shared" ca="1" si="103"/>
        <v>0</v>
      </c>
      <c r="M327" s="105">
        <f t="shared" ca="1" si="104"/>
        <v>0</v>
      </c>
      <c r="N327" s="105">
        <f t="shared" ca="1" si="105"/>
        <v>0</v>
      </c>
      <c r="O327" s="105">
        <f t="shared" ca="1" si="106"/>
        <v>1</v>
      </c>
      <c r="P327" s="105">
        <f t="shared" ca="1" si="107"/>
        <v>1</v>
      </c>
      <c r="Q327" s="105">
        <f t="shared" ca="1" si="108"/>
        <v>1</v>
      </c>
      <c r="R327" s="105">
        <f t="shared" ca="1" si="109"/>
        <v>1</v>
      </c>
      <c r="S327" s="105">
        <f t="shared" ca="1" si="110"/>
        <v>1</v>
      </c>
      <c r="T327" s="105">
        <f t="shared" ca="1" si="111"/>
        <v>1</v>
      </c>
      <c r="U327" s="105">
        <f t="shared" ca="1" si="112"/>
        <v>1</v>
      </c>
      <c r="V327" s="105">
        <f t="shared" ca="1" si="113"/>
        <v>1</v>
      </c>
      <c r="W327" s="105">
        <f t="shared" ca="1" si="114"/>
        <v>1</v>
      </c>
      <c r="X327" s="105">
        <f t="shared" ca="1" si="115"/>
        <v>1</v>
      </c>
      <c r="Y327" s="105">
        <f t="shared" ca="1" si="116"/>
        <v>1</v>
      </c>
      <c r="Z327" s="105">
        <f t="shared" ca="1" si="117"/>
        <v>1</v>
      </c>
      <c r="AA327" s="105">
        <f t="shared" ca="1" si="118"/>
        <v>0</v>
      </c>
      <c r="AB327" s="105">
        <f t="shared" ca="1" si="119"/>
        <v>0</v>
      </c>
      <c r="AC327" s="105"/>
      <c r="AD327" s="103"/>
      <c r="AE327" s="103"/>
      <c r="AF327" s="103"/>
      <c r="AG327" s="103"/>
      <c r="AH327" s="103"/>
      <c r="AI327" s="103"/>
      <c r="AJ327" s="103"/>
      <c r="AK327" s="103"/>
      <c r="AL327" s="103"/>
      <c r="AM327" s="103"/>
      <c r="AN327" s="103"/>
      <c r="AO327" s="103"/>
      <c r="AP327" s="103"/>
      <c r="AQ327" s="103"/>
      <c r="AR327" s="103"/>
      <c r="AS327" s="103"/>
      <c r="AT327" s="103"/>
      <c r="AU327" s="103"/>
      <c r="AV327" s="103"/>
    </row>
    <row r="328" spans="5:48">
      <c r="E328" s="105">
        <f t="shared" ca="1" si="96"/>
        <v>0</v>
      </c>
      <c r="F328" s="105">
        <f t="shared" ca="1" si="97"/>
        <v>0</v>
      </c>
      <c r="G328" s="105">
        <f t="shared" ca="1" si="98"/>
        <v>0</v>
      </c>
      <c r="H328" s="105">
        <f t="shared" ca="1" si="99"/>
        <v>0</v>
      </c>
      <c r="I328" s="105">
        <f t="shared" ca="1" si="100"/>
        <v>0</v>
      </c>
      <c r="J328" s="105">
        <f t="shared" ca="1" si="101"/>
        <v>0</v>
      </c>
      <c r="K328" s="105">
        <f t="shared" ca="1" si="102"/>
        <v>0</v>
      </c>
      <c r="L328" s="105">
        <f t="shared" ca="1" si="103"/>
        <v>0</v>
      </c>
      <c r="M328" s="105">
        <f t="shared" ca="1" si="104"/>
        <v>0</v>
      </c>
      <c r="N328" s="105">
        <f t="shared" ca="1" si="105"/>
        <v>0</v>
      </c>
      <c r="O328" s="105">
        <f t="shared" ca="1" si="106"/>
        <v>1</v>
      </c>
      <c r="P328" s="105">
        <f t="shared" ca="1" si="107"/>
        <v>1</v>
      </c>
      <c r="Q328" s="105">
        <f t="shared" ca="1" si="108"/>
        <v>1</v>
      </c>
      <c r="R328" s="105">
        <f t="shared" ca="1" si="109"/>
        <v>1</v>
      </c>
      <c r="S328" s="105">
        <f t="shared" ca="1" si="110"/>
        <v>1</v>
      </c>
      <c r="T328" s="105">
        <f t="shared" ca="1" si="111"/>
        <v>1</v>
      </c>
      <c r="U328" s="105">
        <f t="shared" ca="1" si="112"/>
        <v>1</v>
      </c>
      <c r="V328" s="105">
        <f t="shared" ca="1" si="113"/>
        <v>1</v>
      </c>
      <c r="W328" s="105">
        <f t="shared" ca="1" si="114"/>
        <v>1</v>
      </c>
      <c r="X328" s="105">
        <f t="shared" ca="1" si="115"/>
        <v>1</v>
      </c>
      <c r="Y328" s="105">
        <f t="shared" ca="1" si="116"/>
        <v>1</v>
      </c>
      <c r="Z328" s="105">
        <f t="shared" ca="1" si="117"/>
        <v>1</v>
      </c>
      <c r="AA328" s="105">
        <f t="shared" ca="1" si="118"/>
        <v>0</v>
      </c>
      <c r="AB328" s="105">
        <f t="shared" ca="1" si="119"/>
        <v>0</v>
      </c>
      <c r="AC328" s="105"/>
      <c r="AD328" s="103"/>
      <c r="AE328" s="103"/>
      <c r="AF328" s="103"/>
      <c r="AG328" s="103"/>
      <c r="AH328" s="103"/>
      <c r="AI328" s="103"/>
      <c r="AJ328" s="103"/>
      <c r="AK328" s="103"/>
      <c r="AL328" s="103"/>
      <c r="AM328" s="103"/>
      <c r="AN328" s="103"/>
      <c r="AO328" s="103"/>
      <c r="AP328" s="103"/>
      <c r="AQ328" s="103"/>
      <c r="AR328" s="103"/>
      <c r="AS328" s="103"/>
      <c r="AT328" s="103"/>
      <c r="AU328" s="103"/>
      <c r="AV328" s="103"/>
    </row>
    <row r="329" spans="5:48">
      <c r="E329" s="105">
        <f t="shared" ca="1" si="96"/>
        <v>0</v>
      </c>
      <c r="F329" s="105">
        <f t="shared" ca="1" si="97"/>
        <v>0</v>
      </c>
      <c r="G329" s="105">
        <f t="shared" ca="1" si="98"/>
        <v>0</v>
      </c>
      <c r="H329" s="105">
        <f t="shared" ca="1" si="99"/>
        <v>0</v>
      </c>
      <c r="I329" s="105">
        <f t="shared" ca="1" si="100"/>
        <v>0</v>
      </c>
      <c r="J329" s="105">
        <f t="shared" ca="1" si="101"/>
        <v>0</v>
      </c>
      <c r="K329" s="105">
        <f t="shared" ca="1" si="102"/>
        <v>0</v>
      </c>
      <c r="L329" s="105">
        <f t="shared" ca="1" si="103"/>
        <v>0</v>
      </c>
      <c r="M329" s="105">
        <f t="shared" ca="1" si="104"/>
        <v>0</v>
      </c>
      <c r="N329" s="105">
        <f t="shared" ca="1" si="105"/>
        <v>0</v>
      </c>
      <c r="O329" s="105">
        <f t="shared" ca="1" si="106"/>
        <v>0</v>
      </c>
      <c r="P329" s="105">
        <f t="shared" ca="1" si="107"/>
        <v>0</v>
      </c>
      <c r="Q329" s="105">
        <f t="shared" ca="1" si="108"/>
        <v>1</v>
      </c>
      <c r="R329" s="105">
        <f t="shared" ca="1" si="109"/>
        <v>1</v>
      </c>
      <c r="S329" s="105">
        <f t="shared" ca="1" si="110"/>
        <v>1</v>
      </c>
      <c r="T329" s="105">
        <f t="shared" ca="1" si="111"/>
        <v>1</v>
      </c>
      <c r="U329" s="105">
        <f t="shared" ca="1" si="112"/>
        <v>1</v>
      </c>
      <c r="V329" s="105">
        <f t="shared" ca="1" si="113"/>
        <v>1</v>
      </c>
      <c r="W329" s="105">
        <f t="shared" ca="1" si="114"/>
        <v>1</v>
      </c>
      <c r="X329" s="105">
        <f t="shared" ca="1" si="115"/>
        <v>1</v>
      </c>
      <c r="Y329" s="105">
        <f t="shared" ca="1" si="116"/>
        <v>1</v>
      </c>
      <c r="Z329" s="105">
        <f t="shared" ca="1" si="117"/>
        <v>1</v>
      </c>
      <c r="AA329" s="105">
        <f t="shared" ca="1" si="118"/>
        <v>1</v>
      </c>
      <c r="AB329" s="105">
        <f t="shared" ca="1" si="119"/>
        <v>1</v>
      </c>
      <c r="AC329" s="105"/>
      <c r="AD329" s="103"/>
      <c r="AE329" s="103"/>
      <c r="AF329" s="103"/>
      <c r="AG329" s="103"/>
      <c r="AH329" s="103"/>
      <c r="AI329" s="103"/>
      <c r="AJ329" s="103"/>
      <c r="AK329" s="103"/>
      <c r="AL329" s="103"/>
      <c r="AM329" s="103"/>
      <c r="AN329" s="103"/>
      <c r="AO329" s="103"/>
      <c r="AP329" s="103"/>
      <c r="AQ329" s="103"/>
      <c r="AR329" s="103"/>
      <c r="AS329" s="103"/>
      <c r="AT329" s="103"/>
      <c r="AU329" s="103"/>
      <c r="AV329" s="103"/>
    </row>
    <row r="330" spans="5:48">
      <c r="E330" s="105">
        <f t="shared" ca="1" si="96"/>
        <v>0</v>
      </c>
      <c r="F330" s="105">
        <f t="shared" ca="1" si="97"/>
        <v>0</v>
      </c>
      <c r="G330" s="105">
        <f t="shared" ca="1" si="98"/>
        <v>0</v>
      </c>
      <c r="H330" s="105">
        <f t="shared" ca="1" si="99"/>
        <v>0</v>
      </c>
      <c r="I330" s="105">
        <f t="shared" ca="1" si="100"/>
        <v>0</v>
      </c>
      <c r="J330" s="105">
        <f t="shared" ca="1" si="101"/>
        <v>0</v>
      </c>
      <c r="K330" s="105">
        <f t="shared" ca="1" si="102"/>
        <v>0</v>
      </c>
      <c r="L330" s="105">
        <f t="shared" ca="1" si="103"/>
        <v>0</v>
      </c>
      <c r="M330" s="105">
        <f t="shared" ca="1" si="104"/>
        <v>0</v>
      </c>
      <c r="N330" s="105">
        <f t="shared" ca="1" si="105"/>
        <v>0</v>
      </c>
      <c r="O330" s="105">
        <f t="shared" ca="1" si="106"/>
        <v>0</v>
      </c>
      <c r="P330" s="105">
        <f t="shared" ca="1" si="107"/>
        <v>0</v>
      </c>
      <c r="Q330" s="105">
        <f t="shared" ca="1" si="108"/>
        <v>0</v>
      </c>
      <c r="R330" s="105">
        <f t="shared" ca="1" si="109"/>
        <v>1</v>
      </c>
      <c r="S330" s="105">
        <f t="shared" ca="1" si="110"/>
        <v>1</v>
      </c>
      <c r="T330" s="105">
        <f t="shared" ca="1" si="111"/>
        <v>1</v>
      </c>
      <c r="U330" s="105">
        <f t="shared" ca="1" si="112"/>
        <v>1</v>
      </c>
      <c r="V330" s="105">
        <f t="shared" ca="1" si="113"/>
        <v>1</v>
      </c>
      <c r="W330" s="105">
        <f t="shared" ca="1" si="114"/>
        <v>1</v>
      </c>
      <c r="X330" s="105">
        <f t="shared" ca="1" si="115"/>
        <v>1</v>
      </c>
      <c r="Y330" s="105">
        <f t="shared" ca="1" si="116"/>
        <v>1</v>
      </c>
      <c r="Z330" s="105">
        <f t="shared" ca="1" si="117"/>
        <v>1</v>
      </c>
      <c r="AA330" s="105">
        <f t="shared" ca="1" si="118"/>
        <v>1</v>
      </c>
      <c r="AB330" s="105">
        <f t="shared" ca="1" si="119"/>
        <v>1</v>
      </c>
      <c r="AC330" s="105"/>
      <c r="AD330" s="103"/>
      <c r="AE330" s="103"/>
      <c r="AF330" s="103"/>
      <c r="AG330" s="103"/>
      <c r="AH330" s="103"/>
      <c r="AI330" s="103"/>
      <c r="AJ330" s="103"/>
      <c r="AK330" s="103"/>
      <c r="AL330" s="103"/>
      <c r="AM330" s="103"/>
      <c r="AN330" s="103"/>
      <c r="AO330" s="103"/>
      <c r="AP330" s="103"/>
      <c r="AQ330" s="103"/>
      <c r="AR330" s="103"/>
      <c r="AS330" s="103"/>
      <c r="AT330" s="103"/>
      <c r="AU330" s="103"/>
      <c r="AV330" s="103"/>
    </row>
    <row r="331" spans="5:48">
      <c r="E331" s="105">
        <f t="shared" ca="1" si="96"/>
        <v>0</v>
      </c>
      <c r="F331" s="105">
        <f t="shared" ca="1" si="97"/>
        <v>0</v>
      </c>
      <c r="G331" s="105">
        <f t="shared" ca="1" si="98"/>
        <v>0</v>
      </c>
      <c r="H331" s="105">
        <f t="shared" ca="1" si="99"/>
        <v>0</v>
      </c>
      <c r="I331" s="105">
        <f t="shared" ca="1" si="100"/>
        <v>0</v>
      </c>
      <c r="J331" s="105">
        <f t="shared" ca="1" si="101"/>
        <v>0</v>
      </c>
      <c r="K331" s="105">
        <f t="shared" ca="1" si="102"/>
        <v>0</v>
      </c>
      <c r="L331" s="105">
        <f t="shared" ca="1" si="103"/>
        <v>0</v>
      </c>
      <c r="M331" s="105">
        <f t="shared" ca="1" si="104"/>
        <v>0</v>
      </c>
      <c r="N331" s="105">
        <f t="shared" ca="1" si="105"/>
        <v>0</v>
      </c>
      <c r="O331" s="105">
        <f t="shared" ca="1" si="106"/>
        <v>0</v>
      </c>
      <c r="P331" s="105">
        <f t="shared" ca="1" si="107"/>
        <v>0</v>
      </c>
      <c r="Q331" s="105">
        <f t="shared" ca="1" si="108"/>
        <v>0</v>
      </c>
      <c r="R331" s="105">
        <f t="shared" ca="1" si="109"/>
        <v>1</v>
      </c>
      <c r="S331" s="105">
        <f t="shared" ca="1" si="110"/>
        <v>1</v>
      </c>
      <c r="T331" s="105">
        <f t="shared" ca="1" si="111"/>
        <v>1</v>
      </c>
      <c r="U331" s="105">
        <f t="shared" ca="1" si="112"/>
        <v>1</v>
      </c>
      <c r="V331" s="105">
        <f t="shared" ca="1" si="113"/>
        <v>1</v>
      </c>
      <c r="W331" s="105">
        <f t="shared" ca="1" si="114"/>
        <v>1</v>
      </c>
      <c r="X331" s="105">
        <f t="shared" ca="1" si="115"/>
        <v>1</v>
      </c>
      <c r="Y331" s="105">
        <f t="shared" ca="1" si="116"/>
        <v>1</v>
      </c>
      <c r="Z331" s="105">
        <f t="shared" ca="1" si="117"/>
        <v>1</v>
      </c>
      <c r="AA331" s="105">
        <f t="shared" ca="1" si="118"/>
        <v>1</v>
      </c>
      <c r="AB331" s="105">
        <f t="shared" ca="1" si="119"/>
        <v>1</v>
      </c>
      <c r="AC331" s="105"/>
      <c r="AD331" s="103"/>
      <c r="AE331" s="103"/>
      <c r="AF331" s="103"/>
      <c r="AG331" s="103"/>
      <c r="AH331" s="103"/>
      <c r="AI331" s="103"/>
      <c r="AJ331" s="103"/>
      <c r="AK331" s="103"/>
      <c r="AL331" s="103"/>
      <c r="AM331" s="103"/>
      <c r="AN331" s="103"/>
      <c r="AO331" s="103"/>
      <c r="AP331" s="103"/>
      <c r="AQ331" s="103"/>
      <c r="AR331" s="103"/>
      <c r="AS331" s="103"/>
      <c r="AT331" s="103"/>
      <c r="AU331" s="103"/>
      <c r="AV331" s="103"/>
    </row>
    <row r="332" spans="5:48">
      <c r="E332" s="105">
        <f t="shared" ca="1" si="96"/>
        <v>0</v>
      </c>
      <c r="F332" s="105">
        <f t="shared" ca="1" si="97"/>
        <v>0</v>
      </c>
      <c r="G332" s="105">
        <f t="shared" ca="1" si="98"/>
        <v>0</v>
      </c>
      <c r="H332" s="105">
        <f t="shared" ca="1" si="99"/>
        <v>0</v>
      </c>
      <c r="I332" s="105">
        <f t="shared" ca="1" si="100"/>
        <v>0</v>
      </c>
      <c r="J332" s="105">
        <f t="shared" ca="1" si="101"/>
        <v>0</v>
      </c>
      <c r="K332" s="105">
        <f t="shared" ca="1" si="102"/>
        <v>0</v>
      </c>
      <c r="L332" s="105">
        <f t="shared" ca="1" si="103"/>
        <v>0</v>
      </c>
      <c r="M332" s="105">
        <f t="shared" ca="1" si="104"/>
        <v>0</v>
      </c>
      <c r="N332" s="105">
        <f t="shared" ca="1" si="105"/>
        <v>0</v>
      </c>
      <c r="O332" s="105">
        <f t="shared" ca="1" si="106"/>
        <v>0</v>
      </c>
      <c r="P332" s="105">
        <f t="shared" ca="1" si="107"/>
        <v>0</v>
      </c>
      <c r="Q332" s="105">
        <f t="shared" ca="1" si="108"/>
        <v>0</v>
      </c>
      <c r="R332" s="105">
        <f t="shared" ca="1" si="109"/>
        <v>1</v>
      </c>
      <c r="S332" s="105">
        <f t="shared" ca="1" si="110"/>
        <v>1</v>
      </c>
      <c r="T332" s="105">
        <f t="shared" ca="1" si="111"/>
        <v>1</v>
      </c>
      <c r="U332" s="105">
        <f t="shared" ca="1" si="112"/>
        <v>1</v>
      </c>
      <c r="V332" s="105">
        <f t="shared" ca="1" si="113"/>
        <v>1</v>
      </c>
      <c r="W332" s="105">
        <f t="shared" ca="1" si="114"/>
        <v>1</v>
      </c>
      <c r="X332" s="105">
        <f t="shared" ca="1" si="115"/>
        <v>1</v>
      </c>
      <c r="Y332" s="105">
        <f t="shared" ca="1" si="116"/>
        <v>1</v>
      </c>
      <c r="Z332" s="105">
        <f t="shared" ca="1" si="117"/>
        <v>1</v>
      </c>
      <c r="AA332" s="105">
        <f t="shared" ca="1" si="118"/>
        <v>1</v>
      </c>
      <c r="AB332" s="105">
        <f t="shared" ca="1" si="119"/>
        <v>1</v>
      </c>
      <c r="AC332" s="105"/>
      <c r="AD332" s="103"/>
      <c r="AE332" s="103"/>
      <c r="AF332" s="103"/>
      <c r="AG332" s="103"/>
      <c r="AH332" s="103"/>
      <c r="AI332" s="103"/>
      <c r="AJ332" s="103"/>
      <c r="AK332" s="103"/>
      <c r="AL332" s="103"/>
      <c r="AM332" s="103"/>
      <c r="AN332" s="103"/>
      <c r="AO332" s="103"/>
      <c r="AP332" s="103"/>
      <c r="AQ332" s="103"/>
      <c r="AR332" s="103"/>
      <c r="AS332" s="103"/>
      <c r="AT332" s="103"/>
      <c r="AU332" s="103"/>
      <c r="AV332" s="103"/>
    </row>
    <row r="333" spans="5:48">
      <c r="E333" s="105">
        <f t="shared" ca="1" si="96"/>
        <v>0</v>
      </c>
      <c r="F333" s="105">
        <f t="shared" ca="1" si="97"/>
        <v>0</v>
      </c>
      <c r="G333" s="105">
        <f t="shared" ca="1" si="98"/>
        <v>0</v>
      </c>
      <c r="H333" s="105">
        <f t="shared" ca="1" si="99"/>
        <v>0</v>
      </c>
      <c r="I333" s="105">
        <f t="shared" ca="1" si="100"/>
        <v>0</v>
      </c>
      <c r="J333" s="105">
        <f t="shared" ca="1" si="101"/>
        <v>0</v>
      </c>
      <c r="K333" s="105">
        <f t="shared" ca="1" si="102"/>
        <v>0</v>
      </c>
      <c r="L333" s="105">
        <f t="shared" ca="1" si="103"/>
        <v>0</v>
      </c>
      <c r="M333" s="105">
        <f t="shared" ca="1" si="104"/>
        <v>0</v>
      </c>
      <c r="N333" s="105">
        <f t="shared" ca="1" si="105"/>
        <v>0</v>
      </c>
      <c r="O333" s="105">
        <f t="shared" ca="1" si="106"/>
        <v>0</v>
      </c>
      <c r="P333" s="105">
        <f t="shared" ca="1" si="107"/>
        <v>0</v>
      </c>
      <c r="Q333" s="105">
        <f t="shared" ca="1" si="108"/>
        <v>0</v>
      </c>
      <c r="R333" s="105">
        <f t="shared" ca="1" si="109"/>
        <v>1</v>
      </c>
      <c r="S333" s="105">
        <f t="shared" ca="1" si="110"/>
        <v>1</v>
      </c>
      <c r="T333" s="105">
        <f t="shared" ca="1" si="111"/>
        <v>1</v>
      </c>
      <c r="U333" s="105">
        <f t="shared" ca="1" si="112"/>
        <v>1</v>
      </c>
      <c r="V333" s="105">
        <f t="shared" ca="1" si="113"/>
        <v>1</v>
      </c>
      <c r="W333" s="105">
        <f t="shared" ca="1" si="114"/>
        <v>1</v>
      </c>
      <c r="X333" s="105">
        <f t="shared" ca="1" si="115"/>
        <v>1</v>
      </c>
      <c r="Y333" s="105">
        <f t="shared" ca="1" si="116"/>
        <v>1</v>
      </c>
      <c r="Z333" s="105">
        <f t="shared" ca="1" si="117"/>
        <v>1</v>
      </c>
      <c r="AA333" s="105">
        <f t="shared" ca="1" si="118"/>
        <v>1</v>
      </c>
      <c r="AB333" s="105">
        <f t="shared" ca="1" si="119"/>
        <v>1</v>
      </c>
      <c r="AC333" s="105"/>
      <c r="AD333" s="103"/>
      <c r="AE333" s="103"/>
      <c r="AF333" s="103"/>
      <c r="AG333" s="103"/>
      <c r="AH333" s="103"/>
      <c r="AI333" s="103"/>
      <c r="AJ333" s="103"/>
      <c r="AK333" s="103"/>
      <c r="AL333" s="103"/>
      <c r="AM333" s="103"/>
      <c r="AN333" s="103"/>
      <c r="AO333" s="103"/>
      <c r="AP333" s="103"/>
      <c r="AQ333" s="103"/>
      <c r="AR333" s="103"/>
      <c r="AS333" s="103"/>
      <c r="AT333" s="103"/>
      <c r="AU333" s="103"/>
      <c r="AV333" s="103"/>
    </row>
    <row r="334" spans="5:48">
      <c r="E334" s="105">
        <f t="shared" ca="1" si="96"/>
        <v>0</v>
      </c>
      <c r="F334" s="105">
        <f t="shared" ca="1" si="97"/>
        <v>0</v>
      </c>
      <c r="G334" s="105">
        <f t="shared" ca="1" si="98"/>
        <v>0</v>
      </c>
      <c r="H334" s="105">
        <f t="shared" ca="1" si="99"/>
        <v>0</v>
      </c>
      <c r="I334" s="105">
        <f t="shared" ca="1" si="100"/>
        <v>0</v>
      </c>
      <c r="J334" s="105">
        <f t="shared" ca="1" si="101"/>
        <v>0</v>
      </c>
      <c r="K334" s="105">
        <f t="shared" ca="1" si="102"/>
        <v>0</v>
      </c>
      <c r="L334" s="105">
        <f t="shared" ca="1" si="103"/>
        <v>0</v>
      </c>
      <c r="M334" s="105">
        <f t="shared" ca="1" si="104"/>
        <v>0</v>
      </c>
      <c r="N334" s="105">
        <f t="shared" ca="1" si="105"/>
        <v>0</v>
      </c>
      <c r="O334" s="105">
        <f t="shared" ca="1" si="106"/>
        <v>1</v>
      </c>
      <c r="P334" s="105">
        <f t="shared" ca="1" si="107"/>
        <v>1</v>
      </c>
      <c r="Q334" s="105">
        <f t="shared" ca="1" si="108"/>
        <v>1</v>
      </c>
      <c r="R334" s="105">
        <f t="shared" ca="1" si="109"/>
        <v>1</v>
      </c>
      <c r="S334" s="105">
        <f t="shared" ca="1" si="110"/>
        <v>1</v>
      </c>
      <c r="T334" s="105">
        <f t="shared" ca="1" si="111"/>
        <v>1</v>
      </c>
      <c r="U334" s="105">
        <f t="shared" ca="1" si="112"/>
        <v>1</v>
      </c>
      <c r="V334" s="105">
        <f t="shared" ca="1" si="113"/>
        <v>1</v>
      </c>
      <c r="W334" s="105">
        <f t="shared" ca="1" si="114"/>
        <v>1</v>
      </c>
      <c r="X334" s="105">
        <f t="shared" ca="1" si="115"/>
        <v>1</v>
      </c>
      <c r="Y334" s="105">
        <f t="shared" ca="1" si="116"/>
        <v>1</v>
      </c>
      <c r="Z334" s="105">
        <f t="shared" ca="1" si="117"/>
        <v>1</v>
      </c>
      <c r="AA334" s="105">
        <f t="shared" ca="1" si="118"/>
        <v>0</v>
      </c>
      <c r="AB334" s="105">
        <f t="shared" ca="1" si="119"/>
        <v>0</v>
      </c>
      <c r="AC334" s="105"/>
      <c r="AD334" s="103"/>
      <c r="AE334" s="103"/>
      <c r="AF334" s="103"/>
      <c r="AG334" s="103"/>
      <c r="AH334" s="103"/>
      <c r="AI334" s="103"/>
      <c r="AJ334" s="103"/>
      <c r="AK334" s="103"/>
      <c r="AL334" s="103"/>
      <c r="AM334" s="103"/>
      <c r="AN334" s="103"/>
      <c r="AO334" s="103"/>
      <c r="AP334" s="103"/>
      <c r="AQ334" s="103"/>
      <c r="AR334" s="103"/>
      <c r="AS334" s="103"/>
      <c r="AT334" s="103"/>
      <c r="AU334" s="103"/>
      <c r="AV334" s="103"/>
    </row>
    <row r="335" spans="5:48">
      <c r="E335" s="105">
        <f t="shared" ca="1" si="96"/>
        <v>0</v>
      </c>
      <c r="F335" s="105">
        <f t="shared" ca="1" si="97"/>
        <v>0</v>
      </c>
      <c r="G335" s="105">
        <f t="shared" ca="1" si="98"/>
        <v>0</v>
      </c>
      <c r="H335" s="105">
        <f t="shared" ca="1" si="99"/>
        <v>0</v>
      </c>
      <c r="I335" s="105">
        <f t="shared" ca="1" si="100"/>
        <v>0</v>
      </c>
      <c r="J335" s="105">
        <f t="shared" ca="1" si="101"/>
        <v>0</v>
      </c>
      <c r="K335" s="105">
        <f t="shared" ca="1" si="102"/>
        <v>0</v>
      </c>
      <c r="L335" s="105">
        <f t="shared" ca="1" si="103"/>
        <v>0</v>
      </c>
      <c r="M335" s="105">
        <f t="shared" ca="1" si="104"/>
        <v>0</v>
      </c>
      <c r="N335" s="105">
        <f t="shared" ca="1" si="105"/>
        <v>0</v>
      </c>
      <c r="O335" s="105">
        <f t="shared" ca="1" si="106"/>
        <v>0</v>
      </c>
      <c r="P335" s="105">
        <f t="shared" ca="1" si="107"/>
        <v>0</v>
      </c>
      <c r="Q335" s="105">
        <f t="shared" ca="1" si="108"/>
        <v>0</v>
      </c>
      <c r="R335" s="105">
        <f t="shared" ca="1" si="109"/>
        <v>0</v>
      </c>
      <c r="S335" s="105">
        <f t="shared" ca="1" si="110"/>
        <v>0</v>
      </c>
      <c r="T335" s="105">
        <f t="shared" ca="1" si="111"/>
        <v>0</v>
      </c>
      <c r="U335" s="105">
        <f t="shared" ca="1" si="112"/>
        <v>0</v>
      </c>
      <c r="V335" s="105">
        <f t="shared" ca="1" si="113"/>
        <v>1</v>
      </c>
      <c r="W335" s="105">
        <f t="shared" ca="1" si="114"/>
        <v>1</v>
      </c>
      <c r="X335" s="105">
        <f t="shared" ca="1" si="115"/>
        <v>1</v>
      </c>
      <c r="Y335" s="105">
        <f t="shared" ca="1" si="116"/>
        <v>1</v>
      </c>
      <c r="Z335" s="105">
        <f t="shared" ca="1" si="117"/>
        <v>1</v>
      </c>
      <c r="AA335" s="105">
        <f t="shared" ca="1" si="118"/>
        <v>1</v>
      </c>
      <c r="AB335" s="105">
        <f t="shared" ca="1" si="119"/>
        <v>1</v>
      </c>
      <c r="AC335" s="105"/>
      <c r="AD335" s="103"/>
      <c r="AE335" s="103"/>
      <c r="AF335" s="103"/>
      <c r="AG335" s="103"/>
      <c r="AH335" s="103"/>
      <c r="AI335" s="103"/>
      <c r="AJ335" s="103"/>
      <c r="AK335" s="103"/>
      <c r="AL335" s="103"/>
      <c r="AM335" s="103"/>
      <c r="AN335" s="103"/>
      <c r="AO335" s="103"/>
      <c r="AP335" s="103"/>
      <c r="AQ335" s="103"/>
      <c r="AR335" s="103"/>
      <c r="AS335" s="103"/>
      <c r="AT335" s="103"/>
      <c r="AU335" s="103"/>
      <c r="AV335" s="103"/>
    </row>
    <row r="336" spans="5:48">
      <c r="E336" s="105">
        <f t="shared" ca="1" si="96"/>
        <v>0</v>
      </c>
      <c r="F336" s="105">
        <f t="shared" ca="1" si="97"/>
        <v>0</v>
      </c>
      <c r="G336" s="105">
        <f t="shared" ca="1" si="98"/>
        <v>0</v>
      </c>
      <c r="H336" s="105">
        <f t="shared" ca="1" si="99"/>
        <v>0</v>
      </c>
      <c r="I336" s="105">
        <f t="shared" ca="1" si="100"/>
        <v>0</v>
      </c>
      <c r="J336" s="105">
        <f t="shared" ca="1" si="101"/>
        <v>0</v>
      </c>
      <c r="K336" s="105">
        <f t="shared" ca="1" si="102"/>
        <v>0</v>
      </c>
      <c r="L336" s="105">
        <f t="shared" ca="1" si="103"/>
        <v>0</v>
      </c>
      <c r="M336" s="105">
        <f t="shared" ca="1" si="104"/>
        <v>0</v>
      </c>
      <c r="N336" s="105">
        <f t="shared" ca="1" si="105"/>
        <v>0</v>
      </c>
      <c r="O336" s="105">
        <f t="shared" ca="1" si="106"/>
        <v>0</v>
      </c>
      <c r="P336" s="105">
        <f t="shared" ca="1" si="107"/>
        <v>0</v>
      </c>
      <c r="Q336" s="105">
        <f t="shared" ca="1" si="108"/>
        <v>0</v>
      </c>
      <c r="R336" s="105">
        <f t="shared" ca="1" si="109"/>
        <v>0</v>
      </c>
      <c r="S336" s="105">
        <f t="shared" ca="1" si="110"/>
        <v>0</v>
      </c>
      <c r="T336" s="105">
        <f t="shared" ca="1" si="111"/>
        <v>0</v>
      </c>
      <c r="U336" s="105">
        <f t="shared" ca="1" si="112"/>
        <v>0</v>
      </c>
      <c r="V336" s="105">
        <f t="shared" ca="1" si="113"/>
        <v>0</v>
      </c>
      <c r="W336" s="105">
        <f t="shared" ca="1" si="114"/>
        <v>0</v>
      </c>
      <c r="X336" s="105">
        <f t="shared" ca="1" si="115"/>
        <v>0</v>
      </c>
      <c r="Y336" s="105">
        <f t="shared" ca="1" si="116"/>
        <v>0</v>
      </c>
      <c r="Z336" s="105">
        <f t="shared" ca="1" si="117"/>
        <v>0</v>
      </c>
      <c r="AA336" s="105">
        <f t="shared" ca="1" si="118"/>
        <v>0</v>
      </c>
      <c r="AB336" s="105">
        <f t="shared" ca="1" si="119"/>
        <v>0</v>
      </c>
      <c r="AC336" s="105"/>
      <c r="AD336" s="103"/>
      <c r="AE336" s="103"/>
      <c r="AF336" s="103"/>
      <c r="AG336" s="103"/>
      <c r="AH336" s="103"/>
      <c r="AI336" s="103"/>
      <c r="AJ336" s="103"/>
      <c r="AK336" s="103"/>
      <c r="AL336" s="103"/>
      <c r="AM336" s="103"/>
      <c r="AN336" s="103"/>
      <c r="AO336" s="103"/>
      <c r="AP336" s="103"/>
      <c r="AQ336" s="103"/>
      <c r="AR336" s="103"/>
      <c r="AS336" s="103"/>
      <c r="AT336" s="103"/>
      <c r="AU336" s="103"/>
      <c r="AV336" s="103"/>
    </row>
    <row r="337" spans="5:48">
      <c r="E337" s="105">
        <f t="shared" ca="1" si="96"/>
        <v>0</v>
      </c>
      <c r="F337" s="105">
        <f t="shared" ca="1" si="97"/>
        <v>0</v>
      </c>
      <c r="G337" s="105">
        <f t="shared" ca="1" si="98"/>
        <v>0</v>
      </c>
      <c r="H337" s="105">
        <f t="shared" ca="1" si="99"/>
        <v>0</v>
      </c>
      <c r="I337" s="105">
        <f t="shared" ca="1" si="100"/>
        <v>0</v>
      </c>
      <c r="J337" s="105">
        <f t="shared" ca="1" si="101"/>
        <v>0</v>
      </c>
      <c r="K337" s="105">
        <f t="shared" ca="1" si="102"/>
        <v>0</v>
      </c>
      <c r="L337" s="105">
        <f t="shared" ca="1" si="103"/>
        <v>0</v>
      </c>
      <c r="M337" s="105">
        <f t="shared" ca="1" si="104"/>
        <v>0</v>
      </c>
      <c r="N337" s="105">
        <f t="shared" ca="1" si="105"/>
        <v>0</v>
      </c>
      <c r="O337" s="105">
        <f t="shared" ca="1" si="106"/>
        <v>0</v>
      </c>
      <c r="P337" s="105">
        <f t="shared" ca="1" si="107"/>
        <v>0</v>
      </c>
      <c r="Q337" s="105">
        <f t="shared" ca="1" si="108"/>
        <v>0</v>
      </c>
      <c r="R337" s="105">
        <f t="shared" ca="1" si="109"/>
        <v>0</v>
      </c>
      <c r="S337" s="105">
        <f t="shared" ca="1" si="110"/>
        <v>0</v>
      </c>
      <c r="T337" s="105">
        <f t="shared" ca="1" si="111"/>
        <v>0</v>
      </c>
      <c r="U337" s="105">
        <f t="shared" ca="1" si="112"/>
        <v>0</v>
      </c>
      <c r="V337" s="105">
        <f t="shared" ca="1" si="113"/>
        <v>0</v>
      </c>
      <c r="W337" s="105">
        <f t="shared" ca="1" si="114"/>
        <v>0</v>
      </c>
      <c r="X337" s="105">
        <f t="shared" ca="1" si="115"/>
        <v>0</v>
      </c>
      <c r="Y337" s="105">
        <f t="shared" ca="1" si="116"/>
        <v>0</v>
      </c>
      <c r="Z337" s="105">
        <f t="shared" ca="1" si="117"/>
        <v>0</v>
      </c>
      <c r="AA337" s="105">
        <f t="shared" ca="1" si="118"/>
        <v>0</v>
      </c>
      <c r="AB337" s="105">
        <f t="shared" ca="1" si="119"/>
        <v>0</v>
      </c>
      <c r="AC337" s="105"/>
      <c r="AD337" s="103"/>
      <c r="AE337" s="103"/>
      <c r="AF337" s="103"/>
      <c r="AG337" s="103"/>
      <c r="AH337" s="103"/>
      <c r="AI337" s="103"/>
      <c r="AJ337" s="103"/>
      <c r="AK337" s="103"/>
      <c r="AL337" s="103"/>
      <c r="AM337" s="103"/>
      <c r="AN337" s="103"/>
      <c r="AO337" s="103"/>
      <c r="AP337" s="103"/>
      <c r="AQ337" s="103"/>
      <c r="AR337" s="103"/>
      <c r="AS337" s="103"/>
      <c r="AT337" s="103"/>
      <c r="AU337" s="103"/>
      <c r="AV337" s="103"/>
    </row>
    <row r="338" spans="5:48">
      <c r="E338" s="105">
        <f t="shared" ca="1" si="96"/>
        <v>0</v>
      </c>
      <c r="F338" s="105">
        <f t="shared" ca="1" si="97"/>
        <v>0</v>
      </c>
      <c r="G338" s="105">
        <f t="shared" ca="1" si="98"/>
        <v>0</v>
      </c>
      <c r="H338" s="105">
        <f t="shared" ca="1" si="99"/>
        <v>0</v>
      </c>
      <c r="I338" s="105">
        <f t="shared" ca="1" si="100"/>
        <v>0</v>
      </c>
      <c r="J338" s="105">
        <f t="shared" ca="1" si="101"/>
        <v>0</v>
      </c>
      <c r="K338" s="105">
        <f t="shared" ca="1" si="102"/>
        <v>0</v>
      </c>
      <c r="L338" s="105">
        <f t="shared" ca="1" si="103"/>
        <v>0</v>
      </c>
      <c r="M338" s="105">
        <f t="shared" ca="1" si="104"/>
        <v>0</v>
      </c>
      <c r="N338" s="105">
        <f t="shared" ca="1" si="105"/>
        <v>0</v>
      </c>
      <c r="O338" s="105">
        <f t="shared" ca="1" si="106"/>
        <v>0</v>
      </c>
      <c r="P338" s="105">
        <f t="shared" ca="1" si="107"/>
        <v>0</v>
      </c>
      <c r="Q338" s="105">
        <f t="shared" ca="1" si="108"/>
        <v>0</v>
      </c>
      <c r="R338" s="105">
        <f t="shared" ca="1" si="109"/>
        <v>0</v>
      </c>
      <c r="S338" s="105">
        <f t="shared" ca="1" si="110"/>
        <v>0</v>
      </c>
      <c r="T338" s="105">
        <f t="shared" ca="1" si="111"/>
        <v>0</v>
      </c>
      <c r="U338" s="105">
        <f t="shared" ca="1" si="112"/>
        <v>0</v>
      </c>
      <c r="V338" s="105">
        <f t="shared" ca="1" si="113"/>
        <v>0</v>
      </c>
      <c r="W338" s="105">
        <f t="shared" ca="1" si="114"/>
        <v>0</v>
      </c>
      <c r="X338" s="105">
        <f t="shared" ca="1" si="115"/>
        <v>0</v>
      </c>
      <c r="Y338" s="105">
        <f t="shared" ca="1" si="116"/>
        <v>0</v>
      </c>
      <c r="Z338" s="105">
        <f t="shared" ca="1" si="117"/>
        <v>0</v>
      </c>
      <c r="AA338" s="105">
        <f t="shared" ca="1" si="118"/>
        <v>0</v>
      </c>
      <c r="AB338" s="105">
        <f t="shared" ca="1" si="119"/>
        <v>0</v>
      </c>
      <c r="AC338" s="105"/>
      <c r="AD338" s="103"/>
      <c r="AE338" s="103"/>
      <c r="AF338" s="103"/>
      <c r="AG338" s="103"/>
      <c r="AH338" s="103"/>
      <c r="AI338" s="103"/>
      <c r="AJ338" s="103"/>
      <c r="AK338" s="103"/>
      <c r="AL338" s="103"/>
      <c r="AM338" s="103"/>
      <c r="AN338" s="103"/>
      <c r="AO338" s="103"/>
      <c r="AP338" s="103"/>
      <c r="AQ338" s="103"/>
      <c r="AR338" s="103"/>
      <c r="AS338" s="103"/>
      <c r="AT338" s="103"/>
      <c r="AU338" s="103"/>
      <c r="AV338" s="103"/>
    </row>
    <row r="339" spans="5:48">
      <c r="E339" s="105">
        <f t="shared" ca="1" si="96"/>
        <v>0</v>
      </c>
      <c r="F339" s="105">
        <f t="shared" ca="1" si="97"/>
        <v>0</v>
      </c>
      <c r="G339" s="105">
        <f t="shared" ca="1" si="98"/>
        <v>0</v>
      </c>
      <c r="H339" s="105">
        <f t="shared" ca="1" si="99"/>
        <v>0</v>
      </c>
      <c r="I339" s="105">
        <f t="shared" ca="1" si="100"/>
        <v>0</v>
      </c>
      <c r="J339" s="105">
        <f t="shared" ca="1" si="101"/>
        <v>0</v>
      </c>
      <c r="K339" s="105">
        <f t="shared" ca="1" si="102"/>
        <v>0</v>
      </c>
      <c r="L339" s="105">
        <f t="shared" ca="1" si="103"/>
        <v>0</v>
      </c>
      <c r="M339" s="105">
        <f t="shared" ca="1" si="104"/>
        <v>0</v>
      </c>
      <c r="N339" s="105">
        <f t="shared" ca="1" si="105"/>
        <v>0</v>
      </c>
      <c r="O339" s="105">
        <f t="shared" ca="1" si="106"/>
        <v>0</v>
      </c>
      <c r="P339" s="105">
        <f t="shared" ca="1" si="107"/>
        <v>0</v>
      </c>
      <c r="Q339" s="105">
        <f t="shared" ca="1" si="108"/>
        <v>0</v>
      </c>
      <c r="R339" s="105">
        <f t="shared" ca="1" si="109"/>
        <v>0</v>
      </c>
      <c r="S339" s="105">
        <f t="shared" ca="1" si="110"/>
        <v>0</v>
      </c>
      <c r="T339" s="105">
        <f t="shared" ca="1" si="111"/>
        <v>0</v>
      </c>
      <c r="U339" s="105">
        <f t="shared" ca="1" si="112"/>
        <v>0</v>
      </c>
      <c r="V339" s="105">
        <f t="shared" ca="1" si="113"/>
        <v>0</v>
      </c>
      <c r="W339" s="105">
        <f t="shared" ca="1" si="114"/>
        <v>0</v>
      </c>
      <c r="X339" s="105">
        <f t="shared" ca="1" si="115"/>
        <v>0</v>
      </c>
      <c r="Y339" s="105">
        <f t="shared" ca="1" si="116"/>
        <v>0</v>
      </c>
      <c r="Z339" s="105">
        <f t="shared" ca="1" si="117"/>
        <v>0</v>
      </c>
      <c r="AA339" s="105">
        <f t="shared" ca="1" si="118"/>
        <v>0</v>
      </c>
      <c r="AB339" s="105">
        <f t="shared" ca="1" si="119"/>
        <v>0</v>
      </c>
      <c r="AC339" s="105"/>
      <c r="AD339" s="103"/>
      <c r="AE339" s="103"/>
      <c r="AF339" s="103"/>
      <c r="AG339" s="103"/>
      <c r="AH339" s="103"/>
      <c r="AI339" s="103"/>
      <c r="AJ339" s="103"/>
      <c r="AK339" s="103"/>
      <c r="AL339" s="103"/>
      <c r="AM339" s="103"/>
      <c r="AN339" s="103"/>
      <c r="AO339" s="103"/>
      <c r="AP339" s="103"/>
      <c r="AQ339" s="103"/>
      <c r="AR339" s="103"/>
      <c r="AS339" s="103"/>
      <c r="AT339" s="103"/>
      <c r="AU339" s="103"/>
      <c r="AV339" s="103"/>
    </row>
    <row r="340" spans="5:48">
      <c r="E340" s="105">
        <f t="shared" ca="1" si="96"/>
        <v>0</v>
      </c>
      <c r="F340" s="105">
        <f t="shared" ca="1" si="97"/>
        <v>0</v>
      </c>
      <c r="G340" s="105">
        <f t="shared" ca="1" si="98"/>
        <v>0</v>
      </c>
      <c r="H340" s="105">
        <f t="shared" ca="1" si="99"/>
        <v>0</v>
      </c>
      <c r="I340" s="105">
        <f t="shared" ca="1" si="100"/>
        <v>0</v>
      </c>
      <c r="J340" s="105">
        <f t="shared" ca="1" si="101"/>
        <v>0</v>
      </c>
      <c r="K340" s="105">
        <f t="shared" ca="1" si="102"/>
        <v>0</v>
      </c>
      <c r="L340" s="105">
        <f t="shared" ca="1" si="103"/>
        <v>0</v>
      </c>
      <c r="M340" s="105">
        <f t="shared" ca="1" si="104"/>
        <v>0</v>
      </c>
      <c r="N340" s="105">
        <f t="shared" ca="1" si="105"/>
        <v>0</v>
      </c>
      <c r="O340" s="105">
        <f t="shared" ca="1" si="106"/>
        <v>0</v>
      </c>
      <c r="P340" s="105">
        <f t="shared" ca="1" si="107"/>
        <v>0</v>
      </c>
      <c r="Q340" s="105">
        <f t="shared" ca="1" si="108"/>
        <v>0</v>
      </c>
      <c r="R340" s="105">
        <f t="shared" ca="1" si="109"/>
        <v>0</v>
      </c>
      <c r="S340" s="105">
        <f t="shared" ca="1" si="110"/>
        <v>0</v>
      </c>
      <c r="T340" s="105">
        <f t="shared" ca="1" si="111"/>
        <v>0</v>
      </c>
      <c r="U340" s="105">
        <f t="shared" ca="1" si="112"/>
        <v>0</v>
      </c>
      <c r="V340" s="105">
        <f t="shared" ca="1" si="113"/>
        <v>0</v>
      </c>
      <c r="W340" s="105">
        <f t="shared" ca="1" si="114"/>
        <v>0</v>
      </c>
      <c r="X340" s="105">
        <f t="shared" ca="1" si="115"/>
        <v>0</v>
      </c>
      <c r="Y340" s="105">
        <f t="shared" ca="1" si="116"/>
        <v>0</v>
      </c>
      <c r="Z340" s="105">
        <f t="shared" ca="1" si="117"/>
        <v>0</v>
      </c>
      <c r="AA340" s="105">
        <f t="shared" ca="1" si="118"/>
        <v>0</v>
      </c>
      <c r="AB340" s="105">
        <f t="shared" ca="1" si="119"/>
        <v>0</v>
      </c>
      <c r="AC340" s="105"/>
      <c r="AD340" s="103"/>
      <c r="AE340" s="103"/>
      <c r="AF340" s="103"/>
      <c r="AG340" s="103"/>
      <c r="AH340" s="103"/>
      <c r="AI340" s="103"/>
      <c r="AJ340" s="103"/>
      <c r="AK340" s="103"/>
      <c r="AL340" s="103"/>
      <c r="AM340" s="103"/>
      <c r="AN340" s="103"/>
      <c r="AO340" s="103"/>
      <c r="AP340" s="103"/>
      <c r="AQ340" s="103"/>
      <c r="AR340" s="103"/>
      <c r="AS340" s="103"/>
      <c r="AT340" s="103"/>
      <c r="AU340" s="103"/>
      <c r="AV340" s="103"/>
    </row>
    <row r="341" spans="5:48">
      <c r="E341" s="105">
        <f t="shared" ca="1" si="96"/>
        <v>0</v>
      </c>
      <c r="F341" s="105">
        <f t="shared" ca="1" si="97"/>
        <v>0</v>
      </c>
      <c r="G341" s="105">
        <f t="shared" ca="1" si="98"/>
        <v>0</v>
      </c>
      <c r="H341" s="105">
        <f t="shared" ca="1" si="99"/>
        <v>0</v>
      </c>
      <c r="I341" s="105">
        <f t="shared" ca="1" si="100"/>
        <v>0</v>
      </c>
      <c r="J341" s="105">
        <f t="shared" ca="1" si="101"/>
        <v>0</v>
      </c>
      <c r="K341" s="105">
        <f t="shared" ca="1" si="102"/>
        <v>0</v>
      </c>
      <c r="L341" s="105">
        <f t="shared" ca="1" si="103"/>
        <v>0</v>
      </c>
      <c r="M341" s="105">
        <f t="shared" ca="1" si="104"/>
        <v>0</v>
      </c>
      <c r="N341" s="105">
        <f t="shared" ca="1" si="105"/>
        <v>0</v>
      </c>
      <c r="O341" s="105">
        <f t="shared" ca="1" si="106"/>
        <v>0</v>
      </c>
      <c r="P341" s="105">
        <f t="shared" ca="1" si="107"/>
        <v>0</v>
      </c>
      <c r="Q341" s="105">
        <f t="shared" ca="1" si="108"/>
        <v>0</v>
      </c>
      <c r="R341" s="105">
        <f t="shared" ca="1" si="109"/>
        <v>0</v>
      </c>
      <c r="S341" s="105">
        <f t="shared" ca="1" si="110"/>
        <v>0</v>
      </c>
      <c r="T341" s="105">
        <f t="shared" ca="1" si="111"/>
        <v>0</v>
      </c>
      <c r="U341" s="105">
        <f t="shared" ca="1" si="112"/>
        <v>0</v>
      </c>
      <c r="V341" s="105">
        <f t="shared" ca="1" si="113"/>
        <v>0</v>
      </c>
      <c r="W341" s="105">
        <f t="shared" ca="1" si="114"/>
        <v>0</v>
      </c>
      <c r="X341" s="105">
        <f t="shared" ca="1" si="115"/>
        <v>0</v>
      </c>
      <c r="Y341" s="105">
        <f t="shared" ca="1" si="116"/>
        <v>0</v>
      </c>
      <c r="Z341" s="105">
        <f t="shared" ca="1" si="117"/>
        <v>0</v>
      </c>
      <c r="AA341" s="105">
        <f t="shared" ca="1" si="118"/>
        <v>0</v>
      </c>
      <c r="AB341" s="105">
        <f t="shared" ca="1" si="119"/>
        <v>0</v>
      </c>
      <c r="AC341" s="105"/>
      <c r="AD341" s="103"/>
      <c r="AE341" s="103"/>
      <c r="AF341" s="103"/>
      <c r="AG341" s="103"/>
      <c r="AH341" s="103"/>
      <c r="AI341" s="103"/>
      <c r="AJ341" s="103"/>
      <c r="AK341" s="103"/>
      <c r="AL341" s="103"/>
      <c r="AM341" s="103"/>
      <c r="AN341" s="103"/>
      <c r="AO341" s="103"/>
      <c r="AP341" s="103"/>
      <c r="AQ341" s="103"/>
      <c r="AR341" s="103"/>
      <c r="AS341" s="103"/>
      <c r="AT341" s="103"/>
      <c r="AU341" s="103"/>
      <c r="AV341" s="103"/>
    </row>
    <row r="342" spans="5:48">
      <c r="E342" s="105">
        <f t="shared" ca="1" si="96"/>
        <v>0</v>
      </c>
      <c r="F342" s="105">
        <f t="shared" ca="1" si="97"/>
        <v>0</v>
      </c>
      <c r="G342" s="105">
        <f t="shared" ca="1" si="98"/>
        <v>0</v>
      </c>
      <c r="H342" s="105">
        <f t="shared" ca="1" si="99"/>
        <v>0</v>
      </c>
      <c r="I342" s="105">
        <f t="shared" ca="1" si="100"/>
        <v>0</v>
      </c>
      <c r="J342" s="105">
        <f t="shared" ca="1" si="101"/>
        <v>0</v>
      </c>
      <c r="K342" s="105">
        <f t="shared" ca="1" si="102"/>
        <v>0</v>
      </c>
      <c r="L342" s="105">
        <f t="shared" ca="1" si="103"/>
        <v>0</v>
      </c>
      <c r="M342" s="105">
        <f t="shared" ca="1" si="104"/>
        <v>0</v>
      </c>
      <c r="N342" s="105">
        <f t="shared" ca="1" si="105"/>
        <v>0</v>
      </c>
      <c r="O342" s="105">
        <f t="shared" ca="1" si="106"/>
        <v>0</v>
      </c>
      <c r="P342" s="105">
        <f t="shared" ca="1" si="107"/>
        <v>0</v>
      </c>
      <c r="Q342" s="105">
        <f t="shared" ca="1" si="108"/>
        <v>0</v>
      </c>
      <c r="R342" s="105">
        <f t="shared" ca="1" si="109"/>
        <v>0</v>
      </c>
      <c r="S342" s="105">
        <f t="shared" ca="1" si="110"/>
        <v>0</v>
      </c>
      <c r="T342" s="105">
        <f t="shared" ca="1" si="111"/>
        <v>0</v>
      </c>
      <c r="U342" s="105">
        <f t="shared" ca="1" si="112"/>
        <v>0</v>
      </c>
      <c r="V342" s="105">
        <f t="shared" ca="1" si="113"/>
        <v>0</v>
      </c>
      <c r="W342" s="105">
        <f t="shared" ca="1" si="114"/>
        <v>0</v>
      </c>
      <c r="X342" s="105">
        <f t="shared" ca="1" si="115"/>
        <v>0</v>
      </c>
      <c r="Y342" s="105">
        <f t="shared" ca="1" si="116"/>
        <v>0</v>
      </c>
      <c r="Z342" s="105">
        <f t="shared" ca="1" si="117"/>
        <v>0</v>
      </c>
      <c r="AA342" s="105">
        <f t="shared" ca="1" si="118"/>
        <v>0</v>
      </c>
      <c r="AB342" s="105">
        <f t="shared" ca="1" si="119"/>
        <v>0</v>
      </c>
      <c r="AC342" s="105"/>
      <c r="AD342" s="103"/>
      <c r="AE342" s="103"/>
      <c r="AF342" s="103"/>
      <c r="AG342" s="103"/>
      <c r="AH342" s="103"/>
      <c r="AI342" s="103"/>
      <c r="AJ342" s="103"/>
      <c r="AK342" s="103"/>
      <c r="AL342" s="103"/>
      <c r="AM342" s="103"/>
      <c r="AN342" s="103"/>
      <c r="AO342" s="103"/>
      <c r="AP342" s="103"/>
      <c r="AQ342" s="103"/>
      <c r="AR342" s="103"/>
      <c r="AS342" s="103"/>
      <c r="AT342" s="103"/>
      <c r="AU342" s="103"/>
      <c r="AV342" s="103"/>
    </row>
    <row r="343" spans="5:48">
      <c r="E343" s="105">
        <f t="shared" ca="1" si="96"/>
        <v>0</v>
      </c>
      <c r="F343" s="105">
        <f t="shared" ca="1" si="97"/>
        <v>0</v>
      </c>
      <c r="G343" s="105">
        <f t="shared" ca="1" si="98"/>
        <v>0</v>
      </c>
      <c r="H343" s="105">
        <f t="shared" ca="1" si="99"/>
        <v>0</v>
      </c>
      <c r="I343" s="105">
        <f t="shared" ca="1" si="100"/>
        <v>0</v>
      </c>
      <c r="J343" s="105">
        <f t="shared" ca="1" si="101"/>
        <v>0</v>
      </c>
      <c r="K343" s="105">
        <f t="shared" ca="1" si="102"/>
        <v>0</v>
      </c>
      <c r="L343" s="105">
        <f t="shared" ca="1" si="103"/>
        <v>0</v>
      </c>
      <c r="M343" s="105">
        <f t="shared" ca="1" si="104"/>
        <v>0</v>
      </c>
      <c r="N343" s="105">
        <f t="shared" ca="1" si="105"/>
        <v>0</v>
      </c>
      <c r="O343" s="105">
        <f t="shared" ca="1" si="106"/>
        <v>0</v>
      </c>
      <c r="P343" s="105">
        <f t="shared" ca="1" si="107"/>
        <v>0</v>
      </c>
      <c r="Q343" s="105">
        <f t="shared" ca="1" si="108"/>
        <v>0</v>
      </c>
      <c r="R343" s="105">
        <f t="shared" ca="1" si="109"/>
        <v>0</v>
      </c>
      <c r="S343" s="105">
        <f t="shared" ca="1" si="110"/>
        <v>0</v>
      </c>
      <c r="T343" s="105">
        <f t="shared" ca="1" si="111"/>
        <v>0</v>
      </c>
      <c r="U343" s="105">
        <f t="shared" ca="1" si="112"/>
        <v>0</v>
      </c>
      <c r="V343" s="105">
        <f t="shared" ca="1" si="113"/>
        <v>0</v>
      </c>
      <c r="W343" s="105">
        <f t="shared" ca="1" si="114"/>
        <v>0</v>
      </c>
      <c r="X343" s="105">
        <f t="shared" ca="1" si="115"/>
        <v>0</v>
      </c>
      <c r="Y343" s="105">
        <f t="shared" ca="1" si="116"/>
        <v>0</v>
      </c>
      <c r="Z343" s="105">
        <f t="shared" ca="1" si="117"/>
        <v>0</v>
      </c>
      <c r="AA343" s="105">
        <f t="shared" ca="1" si="118"/>
        <v>0</v>
      </c>
      <c r="AB343" s="105">
        <f t="shared" ca="1" si="119"/>
        <v>0</v>
      </c>
      <c r="AC343" s="105"/>
      <c r="AD343" s="103"/>
      <c r="AE343" s="103"/>
      <c r="AF343" s="103"/>
      <c r="AG343" s="103"/>
      <c r="AH343" s="103"/>
      <c r="AI343" s="103"/>
      <c r="AJ343" s="103"/>
      <c r="AK343" s="103"/>
      <c r="AL343" s="103"/>
      <c r="AM343" s="103"/>
      <c r="AN343" s="103"/>
      <c r="AO343" s="103"/>
      <c r="AP343" s="103"/>
      <c r="AQ343" s="103"/>
      <c r="AR343" s="103"/>
      <c r="AS343" s="103"/>
      <c r="AT343" s="103"/>
      <c r="AU343" s="103"/>
      <c r="AV343" s="103"/>
    </row>
    <row r="344" spans="5:48">
      <c r="E344" s="105">
        <f t="shared" ca="1" si="96"/>
        <v>0</v>
      </c>
      <c r="F344" s="105">
        <f t="shared" ca="1" si="97"/>
        <v>0</v>
      </c>
      <c r="G344" s="105">
        <f t="shared" ca="1" si="98"/>
        <v>0</v>
      </c>
      <c r="H344" s="105">
        <f t="shared" ca="1" si="99"/>
        <v>0</v>
      </c>
      <c r="I344" s="105">
        <f t="shared" ca="1" si="100"/>
        <v>0</v>
      </c>
      <c r="J344" s="105">
        <f t="shared" ca="1" si="101"/>
        <v>0</v>
      </c>
      <c r="K344" s="105">
        <f t="shared" ca="1" si="102"/>
        <v>0</v>
      </c>
      <c r="L344" s="105">
        <f t="shared" ca="1" si="103"/>
        <v>0</v>
      </c>
      <c r="M344" s="105">
        <f t="shared" ca="1" si="104"/>
        <v>0</v>
      </c>
      <c r="N344" s="105">
        <f t="shared" ca="1" si="105"/>
        <v>0</v>
      </c>
      <c r="O344" s="105">
        <f t="shared" ca="1" si="106"/>
        <v>0</v>
      </c>
      <c r="P344" s="105">
        <f t="shared" ca="1" si="107"/>
        <v>0</v>
      </c>
      <c r="Q344" s="105">
        <f t="shared" ca="1" si="108"/>
        <v>0</v>
      </c>
      <c r="R344" s="105">
        <f t="shared" ca="1" si="109"/>
        <v>0</v>
      </c>
      <c r="S344" s="105">
        <f t="shared" ca="1" si="110"/>
        <v>0</v>
      </c>
      <c r="T344" s="105">
        <f t="shared" ca="1" si="111"/>
        <v>0</v>
      </c>
      <c r="U344" s="105">
        <f t="shared" ca="1" si="112"/>
        <v>0</v>
      </c>
      <c r="V344" s="105">
        <f t="shared" ca="1" si="113"/>
        <v>0</v>
      </c>
      <c r="W344" s="105">
        <f t="shared" ca="1" si="114"/>
        <v>0</v>
      </c>
      <c r="X344" s="105">
        <f t="shared" ca="1" si="115"/>
        <v>0</v>
      </c>
      <c r="Y344" s="105">
        <f t="shared" ca="1" si="116"/>
        <v>0</v>
      </c>
      <c r="Z344" s="105">
        <f t="shared" ca="1" si="117"/>
        <v>0</v>
      </c>
      <c r="AA344" s="105">
        <f t="shared" ca="1" si="118"/>
        <v>0</v>
      </c>
      <c r="AB344" s="105">
        <f t="shared" ca="1" si="119"/>
        <v>0</v>
      </c>
      <c r="AC344" s="105"/>
      <c r="AD344" s="103"/>
      <c r="AE344" s="103"/>
      <c r="AF344" s="103"/>
      <c r="AG344" s="103"/>
      <c r="AH344" s="103"/>
      <c r="AI344" s="103"/>
      <c r="AJ344" s="103"/>
      <c r="AK344" s="103"/>
      <c r="AL344" s="103"/>
      <c r="AM344" s="103"/>
      <c r="AN344" s="103"/>
      <c r="AO344" s="103"/>
      <c r="AP344" s="103"/>
      <c r="AQ344" s="103"/>
      <c r="AR344" s="103"/>
      <c r="AS344" s="103"/>
      <c r="AT344" s="103"/>
      <c r="AU344" s="103"/>
      <c r="AV344" s="103"/>
    </row>
    <row r="345" spans="5:48">
      <c r="E345" s="105">
        <f t="shared" ca="1" si="96"/>
        <v>0</v>
      </c>
      <c r="F345" s="105">
        <f t="shared" ca="1" si="97"/>
        <v>0</v>
      </c>
      <c r="G345" s="105">
        <f t="shared" ca="1" si="98"/>
        <v>0</v>
      </c>
      <c r="H345" s="105">
        <f t="shared" ca="1" si="99"/>
        <v>0</v>
      </c>
      <c r="I345" s="105">
        <f t="shared" ca="1" si="100"/>
        <v>0</v>
      </c>
      <c r="J345" s="105">
        <f t="shared" ca="1" si="101"/>
        <v>0</v>
      </c>
      <c r="K345" s="105">
        <f t="shared" ca="1" si="102"/>
        <v>0</v>
      </c>
      <c r="L345" s="105">
        <f t="shared" ca="1" si="103"/>
        <v>0</v>
      </c>
      <c r="M345" s="105">
        <f t="shared" ca="1" si="104"/>
        <v>0</v>
      </c>
      <c r="N345" s="105">
        <f t="shared" ca="1" si="105"/>
        <v>0</v>
      </c>
      <c r="O345" s="105">
        <f t="shared" ca="1" si="106"/>
        <v>0</v>
      </c>
      <c r="P345" s="105">
        <f t="shared" ca="1" si="107"/>
        <v>0</v>
      </c>
      <c r="Q345" s="105">
        <f t="shared" ca="1" si="108"/>
        <v>0</v>
      </c>
      <c r="R345" s="105">
        <f t="shared" ca="1" si="109"/>
        <v>0</v>
      </c>
      <c r="S345" s="105">
        <f t="shared" ca="1" si="110"/>
        <v>0</v>
      </c>
      <c r="T345" s="105">
        <f t="shared" ca="1" si="111"/>
        <v>0</v>
      </c>
      <c r="U345" s="105">
        <f t="shared" ca="1" si="112"/>
        <v>0</v>
      </c>
      <c r="V345" s="105">
        <f t="shared" ca="1" si="113"/>
        <v>0</v>
      </c>
      <c r="W345" s="105">
        <f t="shared" ca="1" si="114"/>
        <v>0</v>
      </c>
      <c r="X345" s="105">
        <f t="shared" ca="1" si="115"/>
        <v>0</v>
      </c>
      <c r="Y345" s="105">
        <f t="shared" ca="1" si="116"/>
        <v>0</v>
      </c>
      <c r="Z345" s="105">
        <f t="shared" ca="1" si="117"/>
        <v>0</v>
      </c>
      <c r="AA345" s="105">
        <f t="shared" ca="1" si="118"/>
        <v>0</v>
      </c>
      <c r="AB345" s="105">
        <f t="shared" ca="1" si="119"/>
        <v>0</v>
      </c>
      <c r="AC345" s="105"/>
      <c r="AD345" s="103"/>
      <c r="AE345" s="103"/>
      <c r="AF345" s="103"/>
      <c r="AG345" s="103"/>
      <c r="AH345" s="103"/>
      <c r="AI345" s="103"/>
      <c r="AJ345" s="103"/>
      <c r="AK345" s="103"/>
      <c r="AL345" s="103"/>
      <c r="AM345" s="103"/>
      <c r="AN345" s="103"/>
      <c r="AO345" s="103"/>
      <c r="AP345" s="103"/>
      <c r="AQ345" s="103"/>
      <c r="AR345" s="103"/>
      <c r="AS345" s="103"/>
      <c r="AT345" s="103"/>
      <c r="AU345" s="103"/>
      <c r="AV345" s="103"/>
    </row>
    <row r="346" spans="5:48">
      <c r="E346" s="105">
        <f t="shared" ca="1" si="96"/>
        <v>0</v>
      </c>
      <c r="F346" s="105">
        <f t="shared" ca="1" si="97"/>
        <v>0</v>
      </c>
      <c r="G346" s="105">
        <f t="shared" ca="1" si="98"/>
        <v>0</v>
      </c>
      <c r="H346" s="105">
        <f t="shared" ca="1" si="99"/>
        <v>0</v>
      </c>
      <c r="I346" s="105">
        <f t="shared" ca="1" si="100"/>
        <v>0</v>
      </c>
      <c r="J346" s="105">
        <f t="shared" ca="1" si="101"/>
        <v>0</v>
      </c>
      <c r="K346" s="105">
        <f t="shared" ca="1" si="102"/>
        <v>0</v>
      </c>
      <c r="L346" s="105">
        <f t="shared" ca="1" si="103"/>
        <v>0</v>
      </c>
      <c r="M346" s="105">
        <f t="shared" ca="1" si="104"/>
        <v>0</v>
      </c>
      <c r="N346" s="105">
        <f t="shared" ca="1" si="105"/>
        <v>0</v>
      </c>
      <c r="O346" s="105">
        <f t="shared" ca="1" si="106"/>
        <v>0</v>
      </c>
      <c r="P346" s="105">
        <f t="shared" ca="1" si="107"/>
        <v>0</v>
      </c>
      <c r="Q346" s="105">
        <f t="shared" ca="1" si="108"/>
        <v>0</v>
      </c>
      <c r="R346" s="105">
        <f t="shared" ca="1" si="109"/>
        <v>0</v>
      </c>
      <c r="S346" s="105">
        <f t="shared" ca="1" si="110"/>
        <v>0</v>
      </c>
      <c r="T346" s="105">
        <f t="shared" ca="1" si="111"/>
        <v>0</v>
      </c>
      <c r="U346" s="105">
        <f t="shared" ca="1" si="112"/>
        <v>0</v>
      </c>
      <c r="V346" s="105">
        <f t="shared" ca="1" si="113"/>
        <v>0</v>
      </c>
      <c r="W346" s="105">
        <f t="shared" ca="1" si="114"/>
        <v>0</v>
      </c>
      <c r="X346" s="105">
        <f t="shared" ca="1" si="115"/>
        <v>0</v>
      </c>
      <c r="Y346" s="105">
        <f t="shared" ca="1" si="116"/>
        <v>0</v>
      </c>
      <c r="Z346" s="105">
        <f t="shared" ca="1" si="117"/>
        <v>0</v>
      </c>
      <c r="AA346" s="105">
        <f t="shared" ca="1" si="118"/>
        <v>0</v>
      </c>
      <c r="AB346" s="105">
        <f t="shared" ca="1" si="119"/>
        <v>0</v>
      </c>
      <c r="AC346" s="105"/>
      <c r="AD346" s="103"/>
      <c r="AE346" s="103"/>
      <c r="AF346" s="103"/>
      <c r="AG346" s="103"/>
      <c r="AH346" s="103"/>
      <c r="AI346" s="103"/>
      <c r="AJ346" s="103"/>
      <c r="AK346" s="103"/>
      <c r="AL346" s="103"/>
      <c r="AM346" s="103"/>
      <c r="AN346" s="103"/>
      <c r="AO346" s="103"/>
      <c r="AP346" s="103"/>
      <c r="AQ346" s="103"/>
      <c r="AR346" s="103"/>
      <c r="AS346" s="103"/>
      <c r="AT346" s="103"/>
      <c r="AU346" s="103"/>
      <c r="AV346" s="103"/>
    </row>
    <row r="347" spans="5:48">
      <c r="E347" s="105">
        <f t="shared" ca="1" si="96"/>
        <v>0</v>
      </c>
      <c r="F347" s="105">
        <f t="shared" ca="1" si="97"/>
        <v>0</v>
      </c>
      <c r="G347" s="105">
        <f t="shared" ca="1" si="98"/>
        <v>0</v>
      </c>
      <c r="H347" s="105">
        <f t="shared" ca="1" si="99"/>
        <v>0</v>
      </c>
      <c r="I347" s="105">
        <f t="shared" ca="1" si="100"/>
        <v>0</v>
      </c>
      <c r="J347" s="105">
        <f t="shared" ca="1" si="101"/>
        <v>0</v>
      </c>
      <c r="K347" s="105">
        <f t="shared" ca="1" si="102"/>
        <v>0</v>
      </c>
      <c r="L347" s="105">
        <f t="shared" ca="1" si="103"/>
        <v>0</v>
      </c>
      <c r="M347" s="105">
        <f t="shared" ca="1" si="104"/>
        <v>0</v>
      </c>
      <c r="N347" s="105">
        <f t="shared" ca="1" si="105"/>
        <v>0</v>
      </c>
      <c r="O347" s="105">
        <f t="shared" ca="1" si="106"/>
        <v>0</v>
      </c>
      <c r="P347" s="105">
        <f t="shared" ca="1" si="107"/>
        <v>0</v>
      </c>
      <c r="Q347" s="105">
        <f t="shared" ca="1" si="108"/>
        <v>0</v>
      </c>
      <c r="R347" s="105">
        <f t="shared" ca="1" si="109"/>
        <v>0</v>
      </c>
      <c r="S347" s="105">
        <f t="shared" ca="1" si="110"/>
        <v>0</v>
      </c>
      <c r="T347" s="105">
        <f t="shared" ca="1" si="111"/>
        <v>0</v>
      </c>
      <c r="U347" s="105">
        <f t="shared" ca="1" si="112"/>
        <v>0</v>
      </c>
      <c r="V347" s="105">
        <f t="shared" ca="1" si="113"/>
        <v>0</v>
      </c>
      <c r="W347" s="105">
        <f t="shared" ca="1" si="114"/>
        <v>0</v>
      </c>
      <c r="X347" s="105">
        <f t="shared" ca="1" si="115"/>
        <v>0</v>
      </c>
      <c r="Y347" s="105">
        <f t="shared" ca="1" si="116"/>
        <v>0</v>
      </c>
      <c r="Z347" s="105">
        <f t="shared" ca="1" si="117"/>
        <v>0</v>
      </c>
      <c r="AA347" s="105">
        <f t="shared" ca="1" si="118"/>
        <v>0</v>
      </c>
      <c r="AB347" s="105">
        <f t="shared" ca="1" si="119"/>
        <v>0</v>
      </c>
      <c r="AC347" s="105"/>
      <c r="AD347" s="103"/>
      <c r="AE347" s="103"/>
      <c r="AF347" s="103"/>
      <c r="AG347" s="103"/>
      <c r="AH347" s="103"/>
      <c r="AI347" s="103"/>
      <c r="AJ347" s="103"/>
      <c r="AK347" s="103"/>
      <c r="AL347" s="103"/>
      <c r="AM347" s="103"/>
      <c r="AN347" s="103"/>
      <c r="AO347" s="103"/>
      <c r="AP347" s="103"/>
      <c r="AQ347" s="103"/>
      <c r="AR347" s="103"/>
      <c r="AS347" s="103"/>
      <c r="AT347" s="103"/>
      <c r="AU347" s="103"/>
      <c r="AV347" s="103"/>
    </row>
    <row r="348" spans="5:48">
      <c r="E348" s="105">
        <f t="shared" ca="1" si="96"/>
        <v>0</v>
      </c>
      <c r="F348" s="105">
        <f t="shared" ca="1" si="97"/>
        <v>0</v>
      </c>
      <c r="G348" s="105">
        <f t="shared" ca="1" si="98"/>
        <v>0</v>
      </c>
      <c r="H348" s="105">
        <f t="shared" ca="1" si="99"/>
        <v>0</v>
      </c>
      <c r="I348" s="105">
        <f t="shared" ca="1" si="100"/>
        <v>0</v>
      </c>
      <c r="J348" s="105">
        <f t="shared" ca="1" si="101"/>
        <v>0</v>
      </c>
      <c r="K348" s="105">
        <f t="shared" ca="1" si="102"/>
        <v>0</v>
      </c>
      <c r="L348" s="105">
        <f t="shared" ca="1" si="103"/>
        <v>0</v>
      </c>
      <c r="M348" s="105">
        <f t="shared" ca="1" si="104"/>
        <v>0</v>
      </c>
      <c r="N348" s="105">
        <f t="shared" ca="1" si="105"/>
        <v>0</v>
      </c>
      <c r="O348" s="105">
        <f t="shared" ca="1" si="106"/>
        <v>0</v>
      </c>
      <c r="P348" s="105">
        <f t="shared" ca="1" si="107"/>
        <v>0</v>
      </c>
      <c r="Q348" s="105">
        <f t="shared" ca="1" si="108"/>
        <v>0</v>
      </c>
      <c r="R348" s="105">
        <f t="shared" ca="1" si="109"/>
        <v>0</v>
      </c>
      <c r="S348" s="105">
        <f t="shared" ca="1" si="110"/>
        <v>0</v>
      </c>
      <c r="T348" s="105">
        <f t="shared" ca="1" si="111"/>
        <v>0</v>
      </c>
      <c r="U348" s="105">
        <f t="shared" ca="1" si="112"/>
        <v>0</v>
      </c>
      <c r="V348" s="105">
        <f t="shared" ca="1" si="113"/>
        <v>0</v>
      </c>
      <c r="W348" s="105">
        <f t="shared" ca="1" si="114"/>
        <v>0</v>
      </c>
      <c r="X348" s="105">
        <f t="shared" ca="1" si="115"/>
        <v>0</v>
      </c>
      <c r="Y348" s="105">
        <f t="shared" ca="1" si="116"/>
        <v>0</v>
      </c>
      <c r="Z348" s="105">
        <f t="shared" ca="1" si="117"/>
        <v>0</v>
      </c>
      <c r="AA348" s="105">
        <f t="shared" ca="1" si="118"/>
        <v>0</v>
      </c>
      <c r="AB348" s="105">
        <f t="shared" ca="1" si="119"/>
        <v>0</v>
      </c>
      <c r="AC348" s="105"/>
      <c r="AD348" s="103"/>
      <c r="AE348" s="103"/>
      <c r="AF348" s="103"/>
      <c r="AG348" s="103"/>
      <c r="AH348" s="103"/>
      <c r="AI348" s="103"/>
      <c r="AJ348" s="103"/>
      <c r="AK348" s="103"/>
      <c r="AL348" s="103"/>
      <c r="AM348" s="103"/>
      <c r="AN348" s="103"/>
      <c r="AO348" s="103"/>
      <c r="AP348" s="103"/>
      <c r="AQ348" s="103"/>
      <c r="AR348" s="103"/>
      <c r="AS348" s="103"/>
      <c r="AT348" s="103"/>
      <c r="AU348" s="103"/>
      <c r="AV348" s="103"/>
    </row>
    <row r="349" spans="5:48">
      <c r="E349" s="105">
        <f t="shared" ca="1" si="96"/>
        <v>0</v>
      </c>
      <c r="F349" s="105">
        <f t="shared" ca="1" si="97"/>
        <v>0</v>
      </c>
      <c r="G349" s="105">
        <f t="shared" ca="1" si="98"/>
        <v>0</v>
      </c>
      <c r="H349" s="105">
        <f t="shared" ca="1" si="99"/>
        <v>0</v>
      </c>
      <c r="I349" s="105">
        <f t="shared" ca="1" si="100"/>
        <v>0</v>
      </c>
      <c r="J349" s="105">
        <f t="shared" ca="1" si="101"/>
        <v>0</v>
      </c>
      <c r="K349" s="105">
        <f t="shared" ca="1" si="102"/>
        <v>0</v>
      </c>
      <c r="L349" s="105">
        <f t="shared" ca="1" si="103"/>
        <v>0</v>
      </c>
      <c r="M349" s="105">
        <f t="shared" ca="1" si="104"/>
        <v>0</v>
      </c>
      <c r="N349" s="105">
        <f t="shared" ca="1" si="105"/>
        <v>0</v>
      </c>
      <c r="O349" s="105">
        <f t="shared" ca="1" si="106"/>
        <v>0</v>
      </c>
      <c r="P349" s="105">
        <f t="shared" ca="1" si="107"/>
        <v>0</v>
      </c>
      <c r="Q349" s="105">
        <f t="shared" ca="1" si="108"/>
        <v>0</v>
      </c>
      <c r="R349" s="105">
        <f t="shared" ca="1" si="109"/>
        <v>0</v>
      </c>
      <c r="S349" s="105">
        <f t="shared" ca="1" si="110"/>
        <v>0</v>
      </c>
      <c r="T349" s="105">
        <f t="shared" ca="1" si="111"/>
        <v>0</v>
      </c>
      <c r="U349" s="105">
        <f t="shared" ca="1" si="112"/>
        <v>0</v>
      </c>
      <c r="V349" s="105">
        <f t="shared" ca="1" si="113"/>
        <v>0</v>
      </c>
      <c r="W349" s="105">
        <f t="shared" ca="1" si="114"/>
        <v>0</v>
      </c>
      <c r="X349" s="105">
        <f t="shared" ca="1" si="115"/>
        <v>0</v>
      </c>
      <c r="Y349" s="105">
        <f t="shared" ca="1" si="116"/>
        <v>0</v>
      </c>
      <c r="Z349" s="105">
        <f t="shared" ca="1" si="117"/>
        <v>0</v>
      </c>
      <c r="AA349" s="105">
        <f t="shared" ca="1" si="118"/>
        <v>0</v>
      </c>
      <c r="AB349" s="105">
        <f t="shared" ca="1" si="119"/>
        <v>0</v>
      </c>
      <c r="AC349" s="105"/>
      <c r="AD349" s="103"/>
      <c r="AE349" s="103"/>
      <c r="AF349" s="103"/>
      <c r="AG349" s="103"/>
      <c r="AH349" s="103"/>
      <c r="AI349" s="103"/>
      <c r="AJ349" s="103"/>
      <c r="AK349" s="103"/>
      <c r="AL349" s="103"/>
      <c r="AM349" s="103"/>
      <c r="AN349" s="103"/>
      <c r="AO349" s="103"/>
      <c r="AP349" s="103"/>
      <c r="AQ349" s="103"/>
      <c r="AR349" s="103"/>
      <c r="AS349" s="103"/>
      <c r="AT349" s="103"/>
      <c r="AU349" s="103"/>
      <c r="AV349" s="103"/>
    </row>
    <row r="350" spans="5:48">
      <c r="E350" s="105">
        <f t="shared" ca="1" si="96"/>
        <v>0</v>
      </c>
      <c r="F350" s="105">
        <f t="shared" ca="1" si="97"/>
        <v>0</v>
      </c>
      <c r="G350" s="105">
        <f t="shared" ca="1" si="98"/>
        <v>0</v>
      </c>
      <c r="H350" s="105">
        <f t="shared" ca="1" si="99"/>
        <v>0</v>
      </c>
      <c r="I350" s="105">
        <f t="shared" ca="1" si="100"/>
        <v>0</v>
      </c>
      <c r="J350" s="105">
        <f t="shared" ca="1" si="101"/>
        <v>0</v>
      </c>
      <c r="K350" s="105">
        <f t="shared" ca="1" si="102"/>
        <v>0</v>
      </c>
      <c r="L350" s="105">
        <f t="shared" ca="1" si="103"/>
        <v>0</v>
      </c>
      <c r="M350" s="105">
        <f t="shared" ca="1" si="104"/>
        <v>0</v>
      </c>
      <c r="N350" s="105">
        <f t="shared" ca="1" si="105"/>
        <v>0</v>
      </c>
      <c r="O350" s="105">
        <f t="shared" ca="1" si="106"/>
        <v>0</v>
      </c>
      <c r="P350" s="105">
        <f t="shared" ca="1" si="107"/>
        <v>0</v>
      </c>
      <c r="Q350" s="105">
        <f t="shared" ca="1" si="108"/>
        <v>0</v>
      </c>
      <c r="R350" s="105">
        <f t="shared" ca="1" si="109"/>
        <v>0</v>
      </c>
      <c r="S350" s="105">
        <f t="shared" ca="1" si="110"/>
        <v>0</v>
      </c>
      <c r="T350" s="105">
        <f t="shared" ca="1" si="111"/>
        <v>0</v>
      </c>
      <c r="U350" s="105">
        <f t="shared" ca="1" si="112"/>
        <v>0</v>
      </c>
      <c r="V350" s="105">
        <f t="shared" ca="1" si="113"/>
        <v>0</v>
      </c>
      <c r="W350" s="105">
        <f t="shared" ca="1" si="114"/>
        <v>0</v>
      </c>
      <c r="X350" s="105">
        <f t="shared" ca="1" si="115"/>
        <v>0</v>
      </c>
      <c r="Y350" s="105">
        <f t="shared" ca="1" si="116"/>
        <v>0</v>
      </c>
      <c r="Z350" s="105">
        <f t="shared" ca="1" si="117"/>
        <v>0</v>
      </c>
      <c r="AA350" s="105">
        <f t="shared" ca="1" si="118"/>
        <v>0</v>
      </c>
      <c r="AB350" s="105">
        <f t="shared" ca="1" si="119"/>
        <v>0</v>
      </c>
      <c r="AC350" s="105"/>
      <c r="AD350" s="103"/>
      <c r="AE350" s="103"/>
      <c r="AF350" s="103"/>
      <c r="AG350" s="103"/>
      <c r="AH350" s="103"/>
      <c r="AI350" s="103"/>
      <c r="AJ350" s="103"/>
      <c r="AK350" s="103"/>
      <c r="AL350" s="103"/>
      <c r="AM350" s="103"/>
      <c r="AN350" s="103"/>
      <c r="AO350" s="103"/>
      <c r="AP350" s="103"/>
      <c r="AQ350" s="103"/>
      <c r="AR350" s="103"/>
      <c r="AS350" s="103"/>
      <c r="AT350" s="103"/>
      <c r="AU350" s="103"/>
      <c r="AV350" s="103"/>
    </row>
    <row r="351" spans="5:48">
      <c r="E351" s="105">
        <f t="shared" ca="1" si="96"/>
        <v>0</v>
      </c>
      <c r="F351" s="105">
        <f t="shared" ca="1" si="97"/>
        <v>0</v>
      </c>
      <c r="G351" s="105">
        <f t="shared" ca="1" si="98"/>
        <v>0</v>
      </c>
      <c r="H351" s="105">
        <f t="shared" ca="1" si="99"/>
        <v>0</v>
      </c>
      <c r="I351" s="105">
        <f t="shared" ca="1" si="100"/>
        <v>0</v>
      </c>
      <c r="J351" s="105">
        <f t="shared" ca="1" si="101"/>
        <v>0</v>
      </c>
      <c r="K351" s="105">
        <f t="shared" ca="1" si="102"/>
        <v>0</v>
      </c>
      <c r="L351" s="105">
        <f t="shared" ca="1" si="103"/>
        <v>0</v>
      </c>
      <c r="M351" s="105">
        <f t="shared" ca="1" si="104"/>
        <v>0</v>
      </c>
      <c r="N351" s="105">
        <f t="shared" ca="1" si="105"/>
        <v>0</v>
      </c>
      <c r="O351" s="105">
        <f t="shared" ca="1" si="106"/>
        <v>0</v>
      </c>
      <c r="P351" s="105">
        <f t="shared" ca="1" si="107"/>
        <v>0</v>
      </c>
      <c r="Q351" s="105">
        <f t="shared" ca="1" si="108"/>
        <v>0</v>
      </c>
      <c r="R351" s="105">
        <f t="shared" ca="1" si="109"/>
        <v>0</v>
      </c>
      <c r="S351" s="105">
        <f t="shared" ca="1" si="110"/>
        <v>0</v>
      </c>
      <c r="T351" s="105">
        <f t="shared" ca="1" si="111"/>
        <v>0</v>
      </c>
      <c r="U351" s="105">
        <f t="shared" ca="1" si="112"/>
        <v>0</v>
      </c>
      <c r="V351" s="105">
        <f t="shared" ca="1" si="113"/>
        <v>0</v>
      </c>
      <c r="W351" s="105">
        <f t="shared" ca="1" si="114"/>
        <v>0</v>
      </c>
      <c r="X351" s="105">
        <f t="shared" ca="1" si="115"/>
        <v>0</v>
      </c>
      <c r="Y351" s="105">
        <f t="shared" ca="1" si="116"/>
        <v>0</v>
      </c>
      <c r="Z351" s="105">
        <f t="shared" ca="1" si="117"/>
        <v>0</v>
      </c>
      <c r="AA351" s="105">
        <f t="shared" ca="1" si="118"/>
        <v>0</v>
      </c>
      <c r="AB351" s="105">
        <f t="shared" ca="1" si="119"/>
        <v>0</v>
      </c>
      <c r="AC351" s="105"/>
      <c r="AD351" s="103"/>
      <c r="AE351" s="103"/>
      <c r="AF351" s="103"/>
      <c r="AG351" s="103"/>
      <c r="AH351" s="103"/>
      <c r="AI351" s="103"/>
      <c r="AJ351" s="103"/>
      <c r="AK351" s="103"/>
      <c r="AL351" s="103"/>
      <c r="AM351" s="103"/>
      <c r="AN351" s="103"/>
      <c r="AO351" s="103"/>
      <c r="AP351" s="103"/>
      <c r="AQ351" s="103"/>
      <c r="AR351" s="103"/>
      <c r="AS351" s="103"/>
      <c r="AT351" s="103"/>
      <c r="AU351" s="103"/>
      <c r="AV351" s="103"/>
    </row>
    <row r="352" spans="5:48">
      <c r="E352" s="105">
        <f t="shared" ca="1" si="96"/>
        <v>0</v>
      </c>
      <c r="F352" s="105">
        <f t="shared" ca="1" si="97"/>
        <v>0</v>
      </c>
      <c r="G352" s="105">
        <f t="shared" ca="1" si="98"/>
        <v>0</v>
      </c>
      <c r="H352" s="105">
        <f t="shared" ca="1" si="99"/>
        <v>0</v>
      </c>
      <c r="I352" s="105">
        <f t="shared" ca="1" si="100"/>
        <v>0</v>
      </c>
      <c r="J352" s="105">
        <f t="shared" ca="1" si="101"/>
        <v>0</v>
      </c>
      <c r="K352" s="105">
        <f t="shared" ca="1" si="102"/>
        <v>0</v>
      </c>
      <c r="L352" s="105">
        <f t="shared" ca="1" si="103"/>
        <v>0</v>
      </c>
      <c r="M352" s="105">
        <f t="shared" ca="1" si="104"/>
        <v>0</v>
      </c>
      <c r="N352" s="105">
        <f t="shared" ca="1" si="105"/>
        <v>0</v>
      </c>
      <c r="O352" s="105">
        <f t="shared" ca="1" si="106"/>
        <v>0</v>
      </c>
      <c r="P352" s="105">
        <f t="shared" ca="1" si="107"/>
        <v>0</v>
      </c>
      <c r="Q352" s="105">
        <f t="shared" ca="1" si="108"/>
        <v>0</v>
      </c>
      <c r="R352" s="105">
        <f t="shared" ca="1" si="109"/>
        <v>0</v>
      </c>
      <c r="S352" s="105">
        <f t="shared" ca="1" si="110"/>
        <v>0</v>
      </c>
      <c r="T352" s="105">
        <f t="shared" ca="1" si="111"/>
        <v>0</v>
      </c>
      <c r="U352" s="105">
        <f t="shared" ca="1" si="112"/>
        <v>0</v>
      </c>
      <c r="V352" s="105">
        <f t="shared" ca="1" si="113"/>
        <v>0</v>
      </c>
      <c r="W352" s="105">
        <f t="shared" ca="1" si="114"/>
        <v>0</v>
      </c>
      <c r="X352" s="105">
        <f t="shared" ca="1" si="115"/>
        <v>0</v>
      </c>
      <c r="Y352" s="105">
        <f t="shared" ca="1" si="116"/>
        <v>0</v>
      </c>
      <c r="Z352" s="105">
        <f t="shared" ca="1" si="117"/>
        <v>0</v>
      </c>
      <c r="AA352" s="105">
        <f t="shared" ca="1" si="118"/>
        <v>0</v>
      </c>
      <c r="AB352" s="105">
        <f t="shared" ca="1" si="119"/>
        <v>0</v>
      </c>
      <c r="AC352" s="105"/>
      <c r="AD352" s="103"/>
      <c r="AE352" s="103"/>
      <c r="AF352" s="103"/>
      <c r="AG352" s="103"/>
      <c r="AH352" s="103"/>
      <c r="AI352" s="103"/>
      <c r="AJ352" s="103"/>
      <c r="AK352" s="103"/>
      <c r="AL352" s="103"/>
      <c r="AM352" s="103"/>
      <c r="AN352" s="103"/>
      <c r="AO352" s="103"/>
      <c r="AP352" s="103"/>
      <c r="AQ352" s="103"/>
      <c r="AR352" s="103"/>
      <c r="AS352" s="103"/>
      <c r="AT352" s="103"/>
      <c r="AU352" s="103"/>
      <c r="AV352" s="103"/>
    </row>
    <row r="353" spans="5:48">
      <c r="E353" s="105">
        <f t="shared" ca="1" si="96"/>
        <v>0</v>
      </c>
      <c r="F353" s="105">
        <f t="shared" ca="1" si="97"/>
        <v>0</v>
      </c>
      <c r="G353" s="105">
        <f t="shared" ca="1" si="98"/>
        <v>0</v>
      </c>
      <c r="H353" s="105">
        <f t="shared" ca="1" si="99"/>
        <v>0</v>
      </c>
      <c r="I353" s="105">
        <f t="shared" ca="1" si="100"/>
        <v>0</v>
      </c>
      <c r="J353" s="105">
        <f t="shared" ca="1" si="101"/>
        <v>0</v>
      </c>
      <c r="K353" s="105">
        <f t="shared" ca="1" si="102"/>
        <v>0</v>
      </c>
      <c r="L353" s="105">
        <f t="shared" ca="1" si="103"/>
        <v>0</v>
      </c>
      <c r="M353" s="105">
        <f t="shared" ca="1" si="104"/>
        <v>0</v>
      </c>
      <c r="N353" s="105">
        <f t="shared" ca="1" si="105"/>
        <v>0</v>
      </c>
      <c r="O353" s="105">
        <f t="shared" ca="1" si="106"/>
        <v>0</v>
      </c>
      <c r="P353" s="105">
        <f t="shared" ca="1" si="107"/>
        <v>0</v>
      </c>
      <c r="Q353" s="105">
        <f t="shared" ca="1" si="108"/>
        <v>0</v>
      </c>
      <c r="R353" s="105">
        <f t="shared" ca="1" si="109"/>
        <v>0</v>
      </c>
      <c r="S353" s="105">
        <f t="shared" ca="1" si="110"/>
        <v>0</v>
      </c>
      <c r="T353" s="105">
        <f t="shared" ca="1" si="111"/>
        <v>0</v>
      </c>
      <c r="U353" s="105">
        <f t="shared" ca="1" si="112"/>
        <v>0</v>
      </c>
      <c r="V353" s="105">
        <f t="shared" ca="1" si="113"/>
        <v>0</v>
      </c>
      <c r="W353" s="105">
        <f t="shared" ca="1" si="114"/>
        <v>0</v>
      </c>
      <c r="X353" s="105">
        <f t="shared" ca="1" si="115"/>
        <v>0</v>
      </c>
      <c r="Y353" s="105">
        <f t="shared" ca="1" si="116"/>
        <v>0</v>
      </c>
      <c r="Z353" s="105">
        <f t="shared" ca="1" si="117"/>
        <v>0</v>
      </c>
      <c r="AA353" s="105">
        <f t="shared" ca="1" si="118"/>
        <v>0</v>
      </c>
      <c r="AB353" s="105">
        <f t="shared" ca="1" si="119"/>
        <v>0</v>
      </c>
      <c r="AC353" s="105"/>
      <c r="AD353" s="103"/>
      <c r="AE353" s="103"/>
      <c r="AF353" s="103"/>
      <c r="AG353" s="103"/>
      <c r="AH353" s="103"/>
      <c r="AI353" s="103"/>
      <c r="AJ353" s="103"/>
      <c r="AK353" s="103"/>
      <c r="AL353" s="103"/>
      <c r="AM353" s="103"/>
      <c r="AN353" s="103"/>
      <c r="AO353" s="103"/>
      <c r="AP353" s="103"/>
      <c r="AQ353" s="103"/>
      <c r="AR353" s="103"/>
      <c r="AS353" s="103"/>
      <c r="AT353" s="103"/>
      <c r="AU353" s="103"/>
      <c r="AV353" s="103"/>
    </row>
    <row r="354" spans="5:48">
      <c r="E354" s="105">
        <f t="shared" ca="1" si="96"/>
        <v>0</v>
      </c>
      <c r="F354" s="105">
        <f t="shared" ca="1" si="97"/>
        <v>0</v>
      </c>
      <c r="G354" s="105">
        <f t="shared" ca="1" si="98"/>
        <v>0</v>
      </c>
      <c r="H354" s="105">
        <f t="shared" ca="1" si="99"/>
        <v>0</v>
      </c>
      <c r="I354" s="105">
        <f t="shared" ca="1" si="100"/>
        <v>0</v>
      </c>
      <c r="J354" s="105">
        <f t="shared" ca="1" si="101"/>
        <v>0</v>
      </c>
      <c r="K354" s="105">
        <f t="shared" ca="1" si="102"/>
        <v>0</v>
      </c>
      <c r="L354" s="105">
        <f t="shared" ca="1" si="103"/>
        <v>0</v>
      </c>
      <c r="M354" s="105">
        <f t="shared" ca="1" si="104"/>
        <v>0</v>
      </c>
      <c r="N354" s="105">
        <f t="shared" ca="1" si="105"/>
        <v>0</v>
      </c>
      <c r="O354" s="105">
        <f t="shared" ca="1" si="106"/>
        <v>0</v>
      </c>
      <c r="P354" s="105">
        <f t="shared" ca="1" si="107"/>
        <v>0</v>
      </c>
      <c r="Q354" s="105">
        <f t="shared" ca="1" si="108"/>
        <v>0</v>
      </c>
      <c r="R354" s="105">
        <f t="shared" ca="1" si="109"/>
        <v>0</v>
      </c>
      <c r="S354" s="105">
        <f t="shared" ca="1" si="110"/>
        <v>0</v>
      </c>
      <c r="T354" s="105">
        <f t="shared" ca="1" si="111"/>
        <v>0</v>
      </c>
      <c r="U354" s="105">
        <f t="shared" ca="1" si="112"/>
        <v>0</v>
      </c>
      <c r="V354" s="105">
        <f t="shared" ca="1" si="113"/>
        <v>0</v>
      </c>
      <c r="W354" s="105">
        <f t="shared" ca="1" si="114"/>
        <v>0</v>
      </c>
      <c r="X354" s="105">
        <f t="shared" ca="1" si="115"/>
        <v>0</v>
      </c>
      <c r="Y354" s="105">
        <f t="shared" ca="1" si="116"/>
        <v>0</v>
      </c>
      <c r="Z354" s="105">
        <f t="shared" ca="1" si="117"/>
        <v>0</v>
      </c>
      <c r="AA354" s="105">
        <f t="shared" ca="1" si="118"/>
        <v>0</v>
      </c>
      <c r="AB354" s="105">
        <f t="shared" ca="1" si="119"/>
        <v>0</v>
      </c>
      <c r="AC354" s="105"/>
      <c r="AD354" s="103"/>
      <c r="AE354" s="103"/>
      <c r="AF354" s="103"/>
      <c r="AG354" s="103"/>
      <c r="AH354" s="103"/>
      <c r="AI354" s="103"/>
      <c r="AJ354" s="103"/>
      <c r="AK354" s="103"/>
      <c r="AL354" s="103"/>
      <c r="AM354" s="103"/>
      <c r="AN354" s="103"/>
      <c r="AO354" s="103"/>
      <c r="AP354" s="103"/>
      <c r="AQ354" s="103"/>
      <c r="AR354" s="103"/>
      <c r="AS354" s="103"/>
      <c r="AT354" s="103"/>
      <c r="AU354" s="103"/>
      <c r="AV354" s="103"/>
    </row>
    <row r="355" spans="5:48">
      <c r="E355" s="105">
        <f t="shared" ca="1" si="96"/>
        <v>0</v>
      </c>
      <c r="F355" s="105">
        <f t="shared" ca="1" si="97"/>
        <v>0</v>
      </c>
      <c r="G355" s="105">
        <f t="shared" ca="1" si="98"/>
        <v>0</v>
      </c>
      <c r="H355" s="105">
        <f t="shared" ca="1" si="99"/>
        <v>0</v>
      </c>
      <c r="I355" s="105">
        <f t="shared" ca="1" si="100"/>
        <v>0</v>
      </c>
      <c r="J355" s="105">
        <f t="shared" ca="1" si="101"/>
        <v>0</v>
      </c>
      <c r="K355" s="105">
        <f t="shared" ca="1" si="102"/>
        <v>0</v>
      </c>
      <c r="L355" s="105">
        <f t="shared" ca="1" si="103"/>
        <v>0</v>
      </c>
      <c r="M355" s="105">
        <f t="shared" ca="1" si="104"/>
        <v>0</v>
      </c>
      <c r="N355" s="105">
        <f t="shared" ca="1" si="105"/>
        <v>0</v>
      </c>
      <c r="O355" s="105">
        <f t="shared" ca="1" si="106"/>
        <v>0</v>
      </c>
      <c r="P355" s="105">
        <f t="shared" ca="1" si="107"/>
        <v>0</v>
      </c>
      <c r="Q355" s="105">
        <f t="shared" ca="1" si="108"/>
        <v>0</v>
      </c>
      <c r="R355" s="105">
        <f t="shared" ca="1" si="109"/>
        <v>0</v>
      </c>
      <c r="S355" s="105">
        <f t="shared" ca="1" si="110"/>
        <v>0</v>
      </c>
      <c r="T355" s="105">
        <f t="shared" ca="1" si="111"/>
        <v>0</v>
      </c>
      <c r="U355" s="105">
        <f t="shared" ca="1" si="112"/>
        <v>0</v>
      </c>
      <c r="V355" s="105">
        <f t="shared" ca="1" si="113"/>
        <v>0</v>
      </c>
      <c r="W355" s="105">
        <f t="shared" ca="1" si="114"/>
        <v>0</v>
      </c>
      <c r="X355" s="105">
        <f t="shared" ca="1" si="115"/>
        <v>0</v>
      </c>
      <c r="Y355" s="105">
        <f t="shared" ca="1" si="116"/>
        <v>0</v>
      </c>
      <c r="Z355" s="105">
        <f t="shared" ca="1" si="117"/>
        <v>0</v>
      </c>
      <c r="AA355" s="105">
        <f t="shared" ca="1" si="118"/>
        <v>0</v>
      </c>
      <c r="AB355" s="105">
        <f t="shared" ca="1" si="119"/>
        <v>0</v>
      </c>
      <c r="AC355" s="105"/>
      <c r="AD355" s="103"/>
      <c r="AE355" s="103"/>
      <c r="AF355" s="103"/>
      <c r="AG355" s="103"/>
      <c r="AH355" s="103"/>
      <c r="AI355" s="103"/>
      <c r="AJ355" s="103"/>
      <c r="AK355" s="103"/>
      <c r="AL355" s="103"/>
      <c r="AM355" s="103"/>
      <c r="AN355" s="103"/>
      <c r="AO355" s="103"/>
      <c r="AP355" s="103"/>
      <c r="AQ355" s="103"/>
      <c r="AR355" s="103"/>
      <c r="AS355" s="103"/>
      <c r="AT355" s="103"/>
      <c r="AU355" s="103"/>
      <c r="AV355" s="103"/>
    </row>
    <row r="356" spans="5:48">
      <c r="E356" s="105">
        <f t="shared" ca="1" si="96"/>
        <v>0</v>
      </c>
      <c r="F356" s="105">
        <f t="shared" ca="1" si="97"/>
        <v>0</v>
      </c>
      <c r="G356" s="105">
        <f t="shared" ca="1" si="98"/>
        <v>0</v>
      </c>
      <c r="H356" s="105">
        <f t="shared" ca="1" si="99"/>
        <v>0</v>
      </c>
      <c r="I356" s="105">
        <f t="shared" ca="1" si="100"/>
        <v>0</v>
      </c>
      <c r="J356" s="105">
        <f t="shared" ca="1" si="101"/>
        <v>0</v>
      </c>
      <c r="K356" s="105">
        <f t="shared" ca="1" si="102"/>
        <v>0</v>
      </c>
      <c r="L356" s="105">
        <f t="shared" ca="1" si="103"/>
        <v>0</v>
      </c>
      <c r="M356" s="105">
        <f t="shared" ca="1" si="104"/>
        <v>0</v>
      </c>
      <c r="N356" s="105">
        <f t="shared" ca="1" si="105"/>
        <v>0</v>
      </c>
      <c r="O356" s="105">
        <f t="shared" ca="1" si="106"/>
        <v>0</v>
      </c>
      <c r="P356" s="105">
        <f t="shared" ca="1" si="107"/>
        <v>0</v>
      </c>
      <c r="Q356" s="105">
        <f t="shared" ca="1" si="108"/>
        <v>0</v>
      </c>
      <c r="R356" s="105">
        <f t="shared" ca="1" si="109"/>
        <v>0</v>
      </c>
      <c r="S356" s="105">
        <f t="shared" ca="1" si="110"/>
        <v>0</v>
      </c>
      <c r="T356" s="105">
        <f t="shared" ca="1" si="111"/>
        <v>0</v>
      </c>
      <c r="U356" s="105">
        <f t="shared" ca="1" si="112"/>
        <v>0</v>
      </c>
      <c r="V356" s="105">
        <f t="shared" ca="1" si="113"/>
        <v>0</v>
      </c>
      <c r="W356" s="105">
        <f t="shared" ca="1" si="114"/>
        <v>0</v>
      </c>
      <c r="X356" s="105">
        <f t="shared" ca="1" si="115"/>
        <v>0</v>
      </c>
      <c r="Y356" s="105">
        <f t="shared" ca="1" si="116"/>
        <v>0</v>
      </c>
      <c r="Z356" s="105">
        <f t="shared" ca="1" si="117"/>
        <v>0</v>
      </c>
      <c r="AA356" s="105">
        <f t="shared" ca="1" si="118"/>
        <v>0</v>
      </c>
      <c r="AB356" s="105">
        <f t="shared" ca="1" si="119"/>
        <v>0</v>
      </c>
      <c r="AC356" s="105"/>
      <c r="AD356" s="103"/>
      <c r="AE356" s="103"/>
      <c r="AF356" s="103"/>
      <c r="AG356" s="103"/>
      <c r="AH356" s="103"/>
      <c r="AI356" s="103"/>
      <c r="AJ356" s="103"/>
      <c r="AK356" s="103"/>
      <c r="AL356" s="103"/>
      <c r="AM356" s="103"/>
      <c r="AN356" s="103"/>
      <c r="AO356" s="103"/>
      <c r="AP356" s="103"/>
      <c r="AQ356" s="103"/>
      <c r="AR356" s="103"/>
      <c r="AS356" s="103"/>
      <c r="AT356" s="103"/>
      <c r="AU356" s="103"/>
      <c r="AV356" s="103"/>
    </row>
    <row r="357" spans="5:48">
      <c r="E357" s="105">
        <f t="shared" ca="1" si="96"/>
        <v>0</v>
      </c>
      <c r="F357" s="105">
        <f t="shared" ca="1" si="97"/>
        <v>0</v>
      </c>
      <c r="G357" s="105">
        <f t="shared" ca="1" si="98"/>
        <v>0</v>
      </c>
      <c r="H357" s="105">
        <f t="shared" ca="1" si="99"/>
        <v>0</v>
      </c>
      <c r="I357" s="105">
        <f t="shared" ca="1" si="100"/>
        <v>0</v>
      </c>
      <c r="J357" s="105">
        <f t="shared" ca="1" si="101"/>
        <v>0</v>
      </c>
      <c r="K357" s="105">
        <f t="shared" ca="1" si="102"/>
        <v>0</v>
      </c>
      <c r="L357" s="105">
        <f t="shared" ca="1" si="103"/>
        <v>0</v>
      </c>
      <c r="M357" s="105">
        <f t="shared" ca="1" si="104"/>
        <v>0</v>
      </c>
      <c r="N357" s="105">
        <f t="shared" ca="1" si="105"/>
        <v>0</v>
      </c>
      <c r="O357" s="105">
        <f t="shared" ca="1" si="106"/>
        <v>0</v>
      </c>
      <c r="P357" s="105">
        <f t="shared" ca="1" si="107"/>
        <v>0</v>
      </c>
      <c r="Q357" s="105">
        <f t="shared" ca="1" si="108"/>
        <v>0</v>
      </c>
      <c r="R357" s="105">
        <f t="shared" ca="1" si="109"/>
        <v>0</v>
      </c>
      <c r="S357" s="105">
        <f t="shared" ca="1" si="110"/>
        <v>0</v>
      </c>
      <c r="T357" s="105">
        <f t="shared" ca="1" si="111"/>
        <v>0</v>
      </c>
      <c r="U357" s="105">
        <f t="shared" ca="1" si="112"/>
        <v>0</v>
      </c>
      <c r="V357" s="105">
        <f t="shared" ca="1" si="113"/>
        <v>0</v>
      </c>
      <c r="W357" s="105">
        <f t="shared" ca="1" si="114"/>
        <v>0</v>
      </c>
      <c r="X357" s="105">
        <f t="shared" ca="1" si="115"/>
        <v>0</v>
      </c>
      <c r="Y357" s="105">
        <f t="shared" ca="1" si="116"/>
        <v>0</v>
      </c>
      <c r="Z357" s="105">
        <f t="shared" ca="1" si="117"/>
        <v>0</v>
      </c>
      <c r="AA357" s="105">
        <f t="shared" ca="1" si="118"/>
        <v>0</v>
      </c>
      <c r="AB357" s="105">
        <f t="shared" ca="1" si="119"/>
        <v>0</v>
      </c>
      <c r="AC357" s="105"/>
      <c r="AD357" s="103"/>
      <c r="AE357" s="103"/>
      <c r="AF357" s="103"/>
      <c r="AG357" s="103"/>
      <c r="AH357" s="103"/>
      <c r="AI357" s="103"/>
      <c r="AJ357" s="103"/>
      <c r="AK357" s="103"/>
      <c r="AL357" s="103"/>
      <c r="AM357" s="103"/>
      <c r="AN357" s="103"/>
      <c r="AO357" s="103"/>
      <c r="AP357" s="103"/>
      <c r="AQ357" s="103"/>
      <c r="AR357" s="103"/>
      <c r="AS357" s="103"/>
      <c r="AT357" s="103"/>
      <c r="AU357" s="103"/>
      <c r="AV357" s="103"/>
    </row>
    <row r="358" spans="5:48">
      <c r="E358" s="105" t="e">
        <f>IF(#REF!&lt;=$E$150,IF($E$150&lt;#REF!,1,0),0)</f>
        <v>#REF!</v>
      </c>
      <c r="F358" s="105" t="e">
        <f>IF(#REF!&lt;=$F$150,IF($F$150&lt;#REF!,1,0),0)</f>
        <v>#REF!</v>
      </c>
      <c r="G358" s="105" t="e">
        <f>IF(#REF!&lt;=$G$150,IF($G$150&lt;#REF!,1,0),0)</f>
        <v>#REF!</v>
      </c>
      <c r="H358" s="105" t="e">
        <f>IF(#REF!&lt;=$H$150,IF($H$150&lt;#REF!,1,0),0)</f>
        <v>#REF!</v>
      </c>
      <c r="I358" s="105" t="e">
        <f>IF(#REF!&lt;=$I$150,IF($I$150&lt;#REF!,1,0),0)</f>
        <v>#REF!</v>
      </c>
      <c r="J358" s="105" t="e">
        <f>IF(#REF!&lt;=$J$150,IF($J$150&lt;#REF!,1,0),0)</f>
        <v>#REF!</v>
      </c>
      <c r="K358" s="105" t="e">
        <f>IF(#REF!&lt;=$K$150,IF($K$150&lt;#REF!,1,0),0)</f>
        <v>#REF!</v>
      </c>
      <c r="L358" s="105" t="e">
        <f>IF(#REF!&lt;=$L$150,IF($L$150&lt;#REF!,1,0),0)</f>
        <v>#REF!</v>
      </c>
      <c r="M358" s="105" t="e">
        <f>IF(#REF!&lt;=$M$150,IF($M$150&lt;#REF!,1,0),0)</f>
        <v>#REF!</v>
      </c>
      <c r="N358" s="105" t="e">
        <f>IF(#REF!&lt;=$N$150,IF($N$150&lt;#REF!,1,0),0)</f>
        <v>#REF!</v>
      </c>
      <c r="O358" s="105" t="e">
        <f>IF(#REF!&lt;=$O$150,IF($O$150&lt;#REF!,1,0),0)</f>
        <v>#REF!</v>
      </c>
      <c r="P358" s="105" t="e">
        <f>IF(#REF!&lt;=$P$150,IF($P$150&lt;#REF!,1,0),0)</f>
        <v>#REF!</v>
      </c>
      <c r="Q358" s="105" t="e">
        <f>IF(#REF!&lt;=$Q$150,IF($Q$150&lt;#REF!,1,0),0)</f>
        <v>#REF!</v>
      </c>
      <c r="R358" s="105" t="e">
        <f>IF(#REF!&lt;=$R$150,IF($R$150&lt;#REF!,1,0),0)</f>
        <v>#REF!</v>
      </c>
      <c r="S358" s="105" t="e">
        <f>IF(#REF!&lt;=$S$150,IF($S$150&lt;#REF!,1,0),0)</f>
        <v>#REF!</v>
      </c>
      <c r="T358" s="105" t="e">
        <f>IF(#REF!&lt;=$T$150,IF($T$150&lt;#REF!,1,0),0)</f>
        <v>#REF!</v>
      </c>
      <c r="U358" s="105" t="e">
        <f>IF(#REF!&lt;=$U$150,IF($U$150&lt;#REF!,1,0),0)</f>
        <v>#REF!</v>
      </c>
      <c r="V358" s="105" t="e">
        <f>IF(#REF!&lt;=$V$150,IF($V$150&lt;#REF!,1,0),0)</f>
        <v>#REF!</v>
      </c>
      <c r="W358" s="105" t="e">
        <f>IF(#REF!&lt;=$W$150,IF($W$150&lt;#REF!,1,0),0)</f>
        <v>#REF!</v>
      </c>
      <c r="X358" s="105" t="e">
        <f>IF(#REF!&lt;=$X$150,IF($X$150&lt;#REF!,1,0),0)</f>
        <v>#REF!</v>
      </c>
      <c r="Y358" s="105" t="e">
        <f>IF(#REF!&lt;=$Y$150,IF($Y$150&lt;#REF!,1,0),0)</f>
        <v>#REF!</v>
      </c>
      <c r="Z358" s="105" t="e">
        <f>IF(#REF!&lt;=$Z$150,IF($Z$150&lt;#REF!,1,0),0)</f>
        <v>#REF!</v>
      </c>
      <c r="AA358" s="105" t="e">
        <f>IF(#REF!&lt;=$AA$150,IF($AA$150&lt;#REF!,1,0),0)</f>
        <v>#REF!</v>
      </c>
      <c r="AB358" s="105" t="e">
        <f>IF(#REF!&lt;=$AB$150,IF($AB$150&lt;#REF!,1,0),0)</f>
        <v>#REF!</v>
      </c>
      <c r="AC358" s="105"/>
      <c r="AD358" s="103"/>
      <c r="AE358" s="103"/>
      <c r="AF358" s="103"/>
      <c r="AG358" s="103"/>
      <c r="AH358" s="103"/>
      <c r="AI358" s="103"/>
      <c r="AJ358" s="103"/>
      <c r="AK358" s="103"/>
      <c r="AL358" s="103"/>
      <c r="AM358" s="103"/>
      <c r="AN358" s="103"/>
      <c r="AO358" s="103"/>
      <c r="AP358" s="103"/>
      <c r="AQ358" s="103"/>
      <c r="AR358" s="103"/>
      <c r="AS358" s="103"/>
      <c r="AT358" s="103"/>
      <c r="AU358" s="103"/>
      <c r="AV358" s="103"/>
    </row>
    <row r="359" spans="5:48">
      <c r="E359" s="105">
        <f t="shared" ref="E359:E370" ca="1" si="120">IF($B64&lt;=$E$150,IF($E$150&lt;$C64,1,0),0)</f>
        <v>0</v>
      </c>
      <c r="F359" s="105">
        <f t="shared" ref="F359:F370" ca="1" si="121">IF($B64&lt;=$F$150,IF($F$150&lt;$C64,1,0),0)</f>
        <v>0</v>
      </c>
      <c r="G359" s="105">
        <f t="shared" ref="G359:G370" ca="1" si="122">IF($B64&lt;=$G$150,IF($G$150&lt;$C64,1,0),0)</f>
        <v>0</v>
      </c>
      <c r="H359" s="105">
        <f t="shared" ref="H359:H370" ca="1" si="123">IF($B64&lt;=$H$150,IF($H$150&lt;$C64,1,0),0)</f>
        <v>0</v>
      </c>
      <c r="I359" s="105">
        <f t="shared" ref="I359:I370" ca="1" si="124">IF($B64&lt;=$I$150,IF($I$150&lt;$C64,1,0),0)</f>
        <v>0</v>
      </c>
      <c r="J359" s="105">
        <f t="shared" ref="J359:J370" ca="1" si="125">IF($B64&lt;=$J$150,IF($J$150&lt;$C64,1,0),0)</f>
        <v>0</v>
      </c>
      <c r="K359" s="105">
        <f t="shared" ref="K359:K370" ca="1" si="126">IF($B64&lt;=$K$150,IF($K$150&lt;$C64,1,0),0)</f>
        <v>0</v>
      </c>
      <c r="L359" s="105">
        <f t="shared" ref="L359:L370" ca="1" si="127">IF($B64&lt;=$L$150,IF($L$150&lt;$C64,1,0),0)</f>
        <v>0</v>
      </c>
      <c r="M359" s="105">
        <f t="shared" ref="M359:M370" ca="1" si="128">IF($B64&lt;=$M$150,IF($M$150&lt;$C64,1,0),0)</f>
        <v>0</v>
      </c>
      <c r="N359" s="105">
        <f t="shared" ref="N359:N370" ca="1" si="129">IF($B64&lt;=$N$150,IF($N$150&lt;$C64,1,0),0)</f>
        <v>0</v>
      </c>
      <c r="O359" s="105">
        <f t="shared" ref="O359:O370" ca="1" si="130">IF($B64&lt;=$O$150,IF($O$150&lt;$C64,1,0),0)</f>
        <v>0</v>
      </c>
      <c r="P359" s="105">
        <f t="shared" ref="P359:P370" ca="1" si="131">IF($B64&lt;=$P$150,IF($P$150&lt;$C64,1,0),0)</f>
        <v>0</v>
      </c>
      <c r="Q359" s="105">
        <f t="shared" ref="Q359:Q370" ca="1" si="132">IF($B64&lt;=$Q$150,IF($Q$150&lt;$C64,1,0),0)</f>
        <v>0</v>
      </c>
      <c r="R359" s="105">
        <f t="shared" ref="R359:R370" ca="1" si="133">IF($B64&lt;=$R$150,IF($R$150&lt;$C64,1,0),0)</f>
        <v>0</v>
      </c>
      <c r="S359" s="105">
        <f t="shared" ref="S359:S370" ca="1" si="134">IF($B64&lt;=$S$150,IF($S$150&lt;$C64,1,0),0)</f>
        <v>0</v>
      </c>
      <c r="T359" s="105">
        <f t="shared" ref="T359:T370" ca="1" si="135">IF($B64&lt;=$T$150,IF($T$150&lt;$C64,1,0),0)</f>
        <v>0</v>
      </c>
      <c r="U359" s="105">
        <f t="shared" ref="U359:U370" ca="1" si="136">IF($B64&lt;=$U$150,IF($U$150&lt;$C64,1,0),0)</f>
        <v>0</v>
      </c>
      <c r="V359" s="105">
        <f t="shared" ref="V359:V370" ca="1" si="137">IF($B64&lt;=$V$150,IF($V$150&lt;$C64,1,0),0)</f>
        <v>0</v>
      </c>
      <c r="W359" s="105">
        <f t="shared" ref="W359:W370" ca="1" si="138">IF($B64&lt;=$W$150,IF($W$150&lt;$C64,1,0),0)</f>
        <v>0</v>
      </c>
      <c r="X359" s="105">
        <f t="shared" ref="X359:X370" ca="1" si="139">IF($B64&lt;=$X$150,IF($X$150&lt;$C64,1,0),0)</f>
        <v>0</v>
      </c>
      <c r="Y359" s="105">
        <f t="shared" ref="Y359:Y370" ca="1" si="140">IF($B64&lt;=$Y$150,IF($Y$150&lt;$C64,1,0),0)</f>
        <v>0</v>
      </c>
      <c r="Z359" s="105">
        <f t="shared" ref="Z359:Z370" ca="1" si="141">IF($B64&lt;=$Z$150,IF($Z$150&lt;$C64,1,0),0)</f>
        <v>0</v>
      </c>
      <c r="AA359" s="105">
        <f t="shared" ref="AA359:AA370" ca="1" si="142">IF($B64&lt;=$AA$150,IF($AA$150&lt;$C64,1,0),0)</f>
        <v>0</v>
      </c>
      <c r="AB359" s="105">
        <f t="shared" ref="AB359:AB370" ca="1" si="143">IF($B64&lt;=$AB$150,IF($AB$150&lt;$C64,1,0),0)</f>
        <v>0</v>
      </c>
      <c r="AC359" s="105"/>
      <c r="AD359" s="103"/>
      <c r="AE359" s="103"/>
      <c r="AF359" s="103"/>
      <c r="AG359" s="103"/>
      <c r="AH359" s="103"/>
      <c r="AI359" s="103"/>
      <c r="AJ359" s="103"/>
      <c r="AK359" s="103"/>
      <c r="AL359" s="103"/>
      <c r="AM359" s="103"/>
      <c r="AN359" s="103"/>
      <c r="AO359" s="103"/>
      <c r="AP359" s="103"/>
      <c r="AQ359" s="103"/>
      <c r="AR359" s="103"/>
      <c r="AS359" s="103"/>
      <c r="AT359" s="103"/>
      <c r="AU359" s="103"/>
      <c r="AV359" s="103"/>
    </row>
    <row r="360" spans="5:48">
      <c r="E360" s="105">
        <f t="shared" ca="1" si="120"/>
        <v>0</v>
      </c>
      <c r="F360" s="105">
        <f t="shared" ca="1" si="121"/>
        <v>0</v>
      </c>
      <c r="G360" s="105">
        <f t="shared" ca="1" si="122"/>
        <v>0</v>
      </c>
      <c r="H360" s="105">
        <f t="shared" ca="1" si="123"/>
        <v>0</v>
      </c>
      <c r="I360" s="105">
        <f t="shared" ca="1" si="124"/>
        <v>0</v>
      </c>
      <c r="J360" s="105">
        <f t="shared" ca="1" si="125"/>
        <v>0</v>
      </c>
      <c r="K360" s="105">
        <f t="shared" ca="1" si="126"/>
        <v>0</v>
      </c>
      <c r="L360" s="105">
        <f t="shared" ca="1" si="127"/>
        <v>0</v>
      </c>
      <c r="M360" s="105">
        <f t="shared" ca="1" si="128"/>
        <v>0</v>
      </c>
      <c r="N360" s="105">
        <f t="shared" ca="1" si="129"/>
        <v>0</v>
      </c>
      <c r="O360" s="105">
        <f t="shared" ca="1" si="130"/>
        <v>0</v>
      </c>
      <c r="P360" s="105">
        <f t="shared" ca="1" si="131"/>
        <v>0</v>
      </c>
      <c r="Q360" s="105">
        <f t="shared" ca="1" si="132"/>
        <v>0</v>
      </c>
      <c r="R360" s="105">
        <f t="shared" ca="1" si="133"/>
        <v>0</v>
      </c>
      <c r="S360" s="105">
        <f t="shared" ca="1" si="134"/>
        <v>0</v>
      </c>
      <c r="T360" s="105">
        <f t="shared" ca="1" si="135"/>
        <v>0</v>
      </c>
      <c r="U360" s="105">
        <f t="shared" ca="1" si="136"/>
        <v>0</v>
      </c>
      <c r="V360" s="105">
        <f t="shared" ca="1" si="137"/>
        <v>0</v>
      </c>
      <c r="W360" s="105">
        <f t="shared" ca="1" si="138"/>
        <v>0</v>
      </c>
      <c r="X360" s="105">
        <f t="shared" ca="1" si="139"/>
        <v>0</v>
      </c>
      <c r="Y360" s="105">
        <f t="shared" ca="1" si="140"/>
        <v>0</v>
      </c>
      <c r="Z360" s="105">
        <f t="shared" ca="1" si="141"/>
        <v>0</v>
      </c>
      <c r="AA360" s="105">
        <f t="shared" ca="1" si="142"/>
        <v>0</v>
      </c>
      <c r="AB360" s="105">
        <f t="shared" ca="1" si="143"/>
        <v>0</v>
      </c>
      <c r="AC360" s="105"/>
      <c r="AD360" s="103"/>
      <c r="AE360" s="103"/>
      <c r="AF360" s="103"/>
      <c r="AG360" s="103"/>
      <c r="AH360" s="103"/>
      <c r="AI360" s="103"/>
      <c r="AJ360" s="103"/>
      <c r="AK360" s="103"/>
      <c r="AL360" s="103"/>
      <c r="AM360" s="103"/>
      <c r="AN360" s="103"/>
      <c r="AO360" s="103"/>
      <c r="AP360" s="103"/>
      <c r="AQ360" s="103"/>
      <c r="AR360" s="103"/>
      <c r="AS360" s="103"/>
      <c r="AT360" s="103"/>
      <c r="AU360" s="103"/>
      <c r="AV360" s="103"/>
    </row>
    <row r="361" spans="5:48">
      <c r="E361" s="105">
        <f t="shared" ca="1" si="120"/>
        <v>0</v>
      </c>
      <c r="F361" s="105">
        <f t="shared" ca="1" si="121"/>
        <v>0</v>
      </c>
      <c r="G361" s="105">
        <f t="shared" ca="1" si="122"/>
        <v>0</v>
      </c>
      <c r="H361" s="105">
        <f t="shared" ca="1" si="123"/>
        <v>0</v>
      </c>
      <c r="I361" s="105">
        <f t="shared" ca="1" si="124"/>
        <v>0</v>
      </c>
      <c r="J361" s="105">
        <f t="shared" ca="1" si="125"/>
        <v>0</v>
      </c>
      <c r="K361" s="105">
        <f t="shared" ca="1" si="126"/>
        <v>0</v>
      </c>
      <c r="L361" s="105">
        <f t="shared" ca="1" si="127"/>
        <v>0</v>
      </c>
      <c r="M361" s="105">
        <f t="shared" ca="1" si="128"/>
        <v>0</v>
      </c>
      <c r="N361" s="105">
        <f t="shared" ca="1" si="129"/>
        <v>0</v>
      </c>
      <c r="O361" s="105">
        <f t="shared" ca="1" si="130"/>
        <v>0</v>
      </c>
      <c r="P361" s="105">
        <f t="shared" ca="1" si="131"/>
        <v>0</v>
      </c>
      <c r="Q361" s="105">
        <f t="shared" ca="1" si="132"/>
        <v>0</v>
      </c>
      <c r="R361" s="105">
        <f t="shared" ca="1" si="133"/>
        <v>0</v>
      </c>
      <c r="S361" s="105">
        <f t="shared" ca="1" si="134"/>
        <v>0</v>
      </c>
      <c r="T361" s="105">
        <f t="shared" ca="1" si="135"/>
        <v>0</v>
      </c>
      <c r="U361" s="105">
        <f t="shared" ca="1" si="136"/>
        <v>0</v>
      </c>
      <c r="V361" s="105">
        <f t="shared" ca="1" si="137"/>
        <v>0</v>
      </c>
      <c r="W361" s="105">
        <f t="shared" ca="1" si="138"/>
        <v>0</v>
      </c>
      <c r="X361" s="105">
        <f t="shared" ca="1" si="139"/>
        <v>0</v>
      </c>
      <c r="Y361" s="105">
        <f t="shared" ca="1" si="140"/>
        <v>0</v>
      </c>
      <c r="Z361" s="105">
        <f t="shared" ca="1" si="141"/>
        <v>0</v>
      </c>
      <c r="AA361" s="105">
        <f t="shared" ca="1" si="142"/>
        <v>0</v>
      </c>
      <c r="AB361" s="105">
        <f t="shared" ca="1" si="143"/>
        <v>0</v>
      </c>
      <c r="AC361" s="105"/>
      <c r="AD361" s="103"/>
      <c r="AE361" s="103"/>
      <c r="AF361" s="103"/>
      <c r="AG361" s="103"/>
      <c r="AH361" s="103"/>
      <c r="AI361" s="103"/>
      <c r="AJ361" s="103"/>
      <c r="AK361" s="103"/>
      <c r="AL361" s="103"/>
      <c r="AM361" s="103"/>
      <c r="AN361" s="103"/>
      <c r="AO361" s="103"/>
      <c r="AP361" s="103"/>
      <c r="AQ361" s="103"/>
      <c r="AR361" s="103"/>
      <c r="AS361" s="103"/>
      <c r="AT361" s="103"/>
      <c r="AU361" s="103"/>
      <c r="AV361" s="103"/>
    </row>
    <row r="362" spans="5:48">
      <c r="E362" s="105">
        <f t="shared" ca="1" si="120"/>
        <v>0</v>
      </c>
      <c r="F362" s="105">
        <f t="shared" ca="1" si="121"/>
        <v>0</v>
      </c>
      <c r="G362" s="105">
        <f t="shared" ca="1" si="122"/>
        <v>0</v>
      </c>
      <c r="H362" s="105">
        <f t="shared" ca="1" si="123"/>
        <v>0</v>
      </c>
      <c r="I362" s="105">
        <f t="shared" ca="1" si="124"/>
        <v>0</v>
      </c>
      <c r="J362" s="105">
        <f t="shared" ca="1" si="125"/>
        <v>0</v>
      </c>
      <c r="K362" s="105">
        <f t="shared" ca="1" si="126"/>
        <v>0</v>
      </c>
      <c r="L362" s="105">
        <f t="shared" ca="1" si="127"/>
        <v>0</v>
      </c>
      <c r="M362" s="105">
        <f t="shared" ca="1" si="128"/>
        <v>0</v>
      </c>
      <c r="N362" s="105">
        <f t="shared" ca="1" si="129"/>
        <v>0</v>
      </c>
      <c r="O362" s="105">
        <f t="shared" ca="1" si="130"/>
        <v>0</v>
      </c>
      <c r="P362" s="105">
        <f t="shared" ca="1" si="131"/>
        <v>0</v>
      </c>
      <c r="Q362" s="105">
        <f t="shared" ca="1" si="132"/>
        <v>0</v>
      </c>
      <c r="R362" s="105">
        <f t="shared" ca="1" si="133"/>
        <v>0</v>
      </c>
      <c r="S362" s="105">
        <f t="shared" ca="1" si="134"/>
        <v>0</v>
      </c>
      <c r="T362" s="105">
        <f t="shared" ca="1" si="135"/>
        <v>0</v>
      </c>
      <c r="U362" s="105">
        <f t="shared" ca="1" si="136"/>
        <v>0</v>
      </c>
      <c r="V362" s="105">
        <f t="shared" ca="1" si="137"/>
        <v>0</v>
      </c>
      <c r="W362" s="105">
        <f t="shared" ca="1" si="138"/>
        <v>0</v>
      </c>
      <c r="X362" s="105">
        <f t="shared" ca="1" si="139"/>
        <v>0</v>
      </c>
      <c r="Y362" s="105">
        <f t="shared" ca="1" si="140"/>
        <v>0</v>
      </c>
      <c r="Z362" s="105">
        <f t="shared" ca="1" si="141"/>
        <v>0</v>
      </c>
      <c r="AA362" s="105">
        <f t="shared" ca="1" si="142"/>
        <v>0</v>
      </c>
      <c r="AB362" s="105">
        <f t="shared" ca="1" si="143"/>
        <v>0</v>
      </c>
      <c r="AC362" s="105"/>
      <c r="AD362" s="103"/>
      <c r="AE362" s="103"/>
      <c r="AF362" s="103"/>
      <c r="AG362" s="103"/>
      <c r="AH362" s="103"/>
      <c r="AI362" s="103"/>
      <c r="AJ362" s="103"/>
      <c r="AK362" s="103"/>
      <c r="AL362" s="103"/>
      <c r="AM362" s="103"/>
      <c r="AN362" s="103"/>
      <c r="AO362" s="103"/>
      <c r="AP362" s="103"/>
      <c r="AQ362" s="103"/>
      <c r="AR362" s="103"/>
      <c r="AS362" s="103"/>
      <c r="AT362" s="103"/>
      <c r="AU362" s="103"/>
      <c r="AV362" s="103"/>
    </row>
    <row r="363" spans="5:48">
      <c r="E363" s="105">
        <f t="shared" ca="1" si="120"/>
        <v>0</v>
      </c>
      <c r="F363" s="105">
        <f t="shared" ca="1" si="121"/>
        <v>0</v>
      </c>
      <c r="G363" s="105">
        <f t="shared" ca="1" si="122"/>
        <v>0</v>
      </c>
      <c r="H363" s="105">
        <f t="shared" ca="1" si="123"/>
        <v>0</v>
      </c>
      <c r="I363" s="105">
        <f t="shared" ca="1" si="124"/>
        <v>0</v>
      </c>
      <c r="J363" s="105">
        <f t="shared" ca="1" si="125"/>
        <v>0</v>
      </c>
      <c r="K363" s="105">
        <f t="shared" ca="1" si="126"/>
        <v>0</v>
      </c>
      <c r="L363" s="105">
        <f t="shared" ca="1" si="127"/>
        <v>0</v>
      </c>
      <c r="M363" s="105">
        <f t="shared" ca="1" si="128"/>
        <v>0</v>
      </c>
      <c r="N363" s="105">
        <f t="shared" ca="1" si="129"/>
        <v>0</v>
      </c>
      <c r="O363" s="105">
        <f t="shared" ca="1" si="130"/>
        <v>0</v>
      </c>
      <c r="P363" s="105">
        <f t="shared" ca="1" si="131"/>
        <v>0</v>
      </c>
      <c r="Q363" s="105">
        <f t="shared" ca="1" si="132"/>
        <v>0</v>
      </c>
      <c r="R363" s="105">
        <f t="shared" ca="1" si="133"/>
        <v>0</v>
      </c>
      <c r="S363" s="105">
        <f t="shared" ca="1" si="134"/>
        <v>0</v>
      </c>
      <c r="T363" s="105">
        <f t="shared" ca="1" si="135"/>
        <v>0</v>
      </c>
      <c r="U363" s="105">
        <f t="shared" ca="1" si="136"/>
        <v>0</v>
      </c>
      <c r="V363" s="105">
        <f t="shared" ca="1" si="137"/>
        <v>0</v>
      </c>
      <c r="W363" s="105">
        <f t="shared" ca="1" si="138"/>
        <v>0</v>
      </c>
      <c r="X363" s="105">
        <f t="shared" ca="1" si="139"/>
        <v>0</v>
      </c>
      <c r="Y363" s="105">
        <f t="shared" ca="1" si="140"/>
        <v>0</v>
      </c>
      <c r="Z363" s="105">
        <f t="shared" ca="1" si="141"/>
        <v>0</v>
      </c>
      <c r="AA363" s="105">
        <f t="shared" ca="1" si="142"/>
        <v>0</v>
      </c>
      <c r="AB363" s="105">
        <f t="shared" ca="1" si="143"/>
        <v>0</v>
      </c>
      <c r="AC363" s="105"/>
      <c r="AD363" s="103"/>
      <c r="AE363" s="103"/>
      <c r="AF363" s="103"/>
      <c r="AG363" s="103"/>
      <c r="AH363" s="103"/>
      <c r="AI363" s="103"/>
      <c r="AJ363" s="103"/>
      <c r="AK363" s="103"/>
      <c r="AL363" s="103"/>
      <c r="AM363" s="103"/>
      <c r="AN363" s="103"/>
      <c r="AO363" s="103"/>
      <c r="AP363" s="103"/>
      <c r="AQ363" s="103"/>
      <c r="AR363" s="103"/>
      <c r="AS363" s="103"/>
      <c r="AT363" s="103"/>
      <c r="AU363" s="103"/>
      <c r="AV363" s="103"/>
    </row>
    <row r="364" spans="5:48">
      <c r="E364" s="105">
        <f t="shared" ca="1" si="120"/>
        <v>0</v>
      </c>
      <c r="F364" s="105">
        <f t="shared" ca="1" si="121"/>
        <v>0</v>
      </c>
      <c r="G364" s="105">
        <f t="shared" ca="1" si="122"/>
        <v>0</v>
      </c>
      <c r="H364" s="105">
        <f t="shared" ca="1" si="123"/>
        <v>0</v>
      </c>
      <c r="I364" s="105">
        <f t="shared" ca="1" si="124"/>
        <v>0</v>
      </c>
      <c r="J364" s="105">
        <f t="shared" ca="1" si="125"/>
        <v>0</v>
      </c>
      <c r="K364" s="105">
        <f t="shared" ca="1" si="126"/>
        <v>0</v>
      </c>
      <c r="L364" s="105">
        <f t="shared" ca="1" si="127"/>
        <v>0</v>
      </c>
      <c r="M364" s="105">
        <f t="shared" ca="1" si="128"/>
        <v>0</v>
      </c>
      <c r="N364" s="105">
        <f t="shared" ca="1" si="129"/>
        <v>0</v>
      </c>
      <c r="O364" s="105">
        <f t="shared" ca="1" si="130"/>
        <v>0</v>
      </c>
      <c r="P364" s="105">
        <f t="shared" ca="1" si="131"/>
        <v>0</v>
      </c>
      <c r="Q364" s="105">
        <f t="shared" ca="1" si="132"/>
        <v>0</v>
      </c>
      <c r="R364" s="105">
        <f t="shared" ca="1" si="133"/>
        <v>0</v>
      </c>
      <c r="S364" s="105">
        <f t="shared" ca="1" si="134"/>
        <v>0</v>
      </c>
      <c r="T364" s="105">
        <f t="shared" ca="1" si="135"/>
        <v>0</v>
      </c>
      <c r="U364" s="105">
        <f t="shared" ca="1" si="136"/>
        <v>0</v>
      </c>
      <c r="V364" s="105">
        <f t="shared" ca="1" si="137"/>
        <v>0</v>
      </c>
      <c r="W364" s="105">
        <f t="shared" ca="1" si="138"/>
        <v>0</v>
      </c>
      <c r="X364" s="105">
        <f t="shared" ca="1" si="139"/>
        <v>0</v>
      </c>
      <c r="Y364" s="105">
        <f t="shared" ca="1" si="140"/>
        <v>0</v>
      </c>
      <c r="Z364" s="105">
        <f t="shared" ca="1" si="141"/>
        <v>0</v>
      </c>
      <c r="AA364" s="105">
        <f t="shared" ca="1" si="142"/>
        <v>0</v>
      </c>
      <c r="AB364" s="105">
        <f t="shared" ca="1" si="143"/>
        <v>0</v>
      </c>
      <c r="AC364" s="105"/>
      <c r="AD364" s="103"/>
      <c r="AE364" s="103"/>
      <c r="AF364" s="103"/>
      <c r="AG364" s="103"/>
      <c r="AH364" s="103"/>
      <c r="AI364" s="103"/>
      <c r="AJ364" s="103"/>
      <c r="AK364" s="103"/>
      <c r="AL364" s="103"/>
      <c r="AM364" s="103"/>
      <c r="AN364" s="103"/>
      <c r="AO364" s="103"/>
      <c r="AP364" s="103"/>
      <c r="AQ364" s="103"/>
      <c r="AR364" s="103"/>
      <c r="AS364" s="103"/>
      <c r="AT364" s="103"/>
      <c r="AU364" s="103"/>
      <c r="AV364" s="103"/>
    </row>
    <row r="365" spans="5:48">
      <c r="E365" s="105">
        <f t="shared" ca="1" si="120"/>
        <v>0</v>
      </c>
      <c r="F365" s="105">
        <f t="shared" ca="1" si="121"/>
        <v>0</v>
      </c>
      <c r="G365" s="105">
        <f t="shared" ca="1" si="122"/>
        <v>0</v>
      </c>
      <c r="H365" s="105">
        <f t="shared" ca="1" si="123"/>
        <v>0</v>
      </c>
      <c r="I365" s="105">
        <f t="shared" ca="1" si="124"/>
        <v>0</v>
      </c>
      <c r="J365" s="105">
        <f t="shared" ca="1" si="125"/>
        <v>0</v>
      </c>
      <c r="K365" s="105">
        <f t="shared" ca="1" si="126"/>
        <v>0</v>
      </c>
      <c r="L365" s="105">
        <f t="shared" ca="1" si="127"/>
        <v>0</v>
      </c>
      <c r="M365" s="105">
        <f t="shared" ca="1" si="128"/>
        <v>0</v>
      </c>
      <c r="N365" s="105">
        <f t="shared" ca="1" si="129"/>
        <v>0</v>
      </c>
      <c r="O365" s="105">
        <f t="shared" ca="1" si="130"/>
        <v>0</v>
      </c>
      <c r="P365" s="105">
        <f t="shared" ca="1" si="131"/>
        <v>0</v>
      </c>
      <c r="Q365" s="105">
        <f t="shared" ca="1" si="132"/>
        <v>0</v>
      </c>
      <c r="R365" s="105">
        <f t="shared" ca="1" si="133"/>
        <v>0</v>
      </c>
      <c r="S365" s="105">
        <f t="shared" ca="1" si="134"/>
        <v>0</v>
      </c>
      <c r="T365" s="105">
        <f t="shared" ca="1" si="135"/>
        <v>0</v>
      </c>
      <c r="U365" s="105">
        <f t="shared" ca="1" si="136"/>
        <v>0</v>
      </c>
      <c r="V365" s="105">
        <f t="shared" ca="1" si="137"/>
        <v>0</v>
      </c>
      <c r="W365" s="105">
        <f t="shared" ca="1" si="138"/>
        <v>0</v>
      </c>
      <c r="X365" s="105">
        <f t="shared" ca="1" si="139"/>
        <v>0</v>
      </c>
      <c r="Y365" s="105">
        <f t="shared" ca="1" si="140"/>
        <v>0</v>
      </c>
      <c r="Z365" s="105">
        <f t="shared" ca="1" si="141"/>
        <v>0</v>
      </c>
      <c r="AA365" s="105">
        <f t="shared" ca="1" si="142"/>
        <v>0</v>
      </c>
      <c r="AB365" s="105">
        <f t="shared" ca="1" si="143"/>
        <v>0</v>
      </c>
      <c r="AC365" s="105"/>
      <c r="AD365" s="103"/>
      <c r="AE365" s="103"/>
      <c r="AF365" s="103"/>
      <c r="AG365" s="103"/>
      <c r="AH365" s="103"/>
      <c r="AI365" s="103"/>
      <c r="AJ365" s="103"/>
      <c r="AK365" s="103"/>
      <c r="AL365" s="103"/>
      <c r="AM365" s="103"/>
      <c r="AN365" s="103"/>
      <c r="AO365" s="103"/>
      <c r="AP365" s="103"/>
      <c r="AQ365" s="103"/>
      <c r="AR365" s="103"/>
      <c r="AS365" s="103"/>
      <c r="AT365" s="103"/>
      <c r="AU365" s="103"/>
      <c r="AV365" s="103"/>
    </row>
    <row r="366" spans="5:48">
      <c r="E366" s="105">
        <f t="shared" ca="1" si="120"/>
        <v>0</v>
      </c>
      <c r="F366" s="105">
        <f t="shared" ca="1" si="121"/>
        <v>0</v>
      </c>
      <c r="G366" s="105">
        <f t="shared" ca="1" si="122"/>
        <v>0</v>
      </c>
      <c r="H366" s="105">
        <f t="shared" ca="1" si="123"/>
        <v>0</v>
      </c>
      <c r="I366" s="105">
        <f t="shared" ca="1" si="124"/>
        <v>0</v>
      </c>
      <c r="J366" s="105">
        <f t="shared" ca="1" si="125"/>
        <v>0</v>
      </c>
      <c r="K366" s="105">
        <f t="shared" ca="1" si="126"/>
        <v>0</v>
      </c>
      <c r="L366" s="105">
        <f t="shared" ca="1" si="127"/>
        <v>0</v>
      </c>
      <c r="M366" s="105">
        <f t="shared" ca="1" si="128"/>
        <v>0</v>
      </c>
      <c r="N366" s="105">
        <f t="shared" ca="1" si="129"/>
        <v>0</v>
      </c>
      <c r="O366" s="105">
        <f t="shared" ca="1" si="130"/>
        <v>0</v>
      </c>
      <c r="P366" s="105">
        <f t="shared" ca="1" si="131"/>
        <v>0</v>
      </c>
      <c r="Q366" s="105">
        <f t="shared" ca="1" si="132"/>
        <v>0</v>
      </c>
      <c r="R366" s="105">
        <f t="shared" ca="1" si="133"/>
        <v>0</v>
      </c>
      <c r="S366" s="105">
        <f t="shared" ca="1" si="134"/>
        <v>0</v>
      </c>
      <c r="T366" s="105">
        <f t="shared" ca="1" si="135"/>
        <v>0</v>
      </c>
      <c r="U366" s="105">
        <f t="shared" ca="1" si="136"/>
        <v>0</v>
      </c>
      <c r="V366" s="105">
        <f t="shared" ca="1" si="137"/>
        <v>0</v>
      </c>
      <c r="W366" s="105">
        <f t="shared" ca="1" si="138"/>
        <v>0</v>
      </c>
      <c r="X366" s="105">
        <f t="shared" ca="1" si="139"/>
        <v>0</v>
      </c>
      <c r="Y366" s="105">
        <f t="shared" ca="1" si="140"/>
        <v>0</v>
      </c>
      <c r="Z366" s="105">
        <f t="shared" ca="1" si="141"/>
        <v>0</v>
      </c>
      <c r="AA366" s="105">
        <f t="shared" ca="1" si="142"/>
        <v>0</v>
      </c>
      <c r="AB366" s="105">
        <f t="shared" ca="1" si="143"/>
        <v>0</v>
      </c>
      <c r="AC366" s="105"/>
      <c r="AD366" s="103"/>
      <c r="AE366" s="103"/>
      <c r="AF366" s="103"/>
      <c r="AG366" s="103"/>
      <c r="AH366" s="103"/>
      <c r="AI366" s="103"/>
      <c r="AJ366" s="103"/>
      <c r="AK366" s="103"/>
      <c r="AL366" s="103"/>
      <c r="AM366" s="103"/>
      <c r="AN366" s="103"/>
      <c r="AO366" s="103"/>
      <c r="AP366" s="103"/>
      <c r="AQ366" s="103"/>
      <c r="AR366" s="103"/>
      <c r="AS366" s="103"/>
      <c r="AT366" s="103"/>
      <c r="AU366" s="103"/>
      <c r="AV366" s="103"/>
    </row>
    <row r="367" spans="5:48">
      <c r="E367" s="105">
        <f t="shared" ca="1" si="120"/>
        <v>0</v>
      </c>
      <c r="F367" s="105">
        <f t="shared" ca="1" si="121"/>
        <v>0</v>
      </c>
      <c r="G367" s="105">
        <f t="shared" ca="1" si="122"/>
        <v>0</v>
      </c>
      <c r="H367" s="105">
        <f t="shared" ca="1" si="123"/>
        <v>0</v>
      </c>
      <c r="I367" s="105">
        <f t="shared" ca="1" si="124"/>
        <v>0</v>
      </c>
      <c r="J367" s="105">
        <f t="shared" ca="1" si="125"/>
        <v>0</v>
      </c>
      <c r="K367" s="105">
        <f t="shared" ca="1" si="126"/>
        <v>0</v>
      </c>
      <c r="L367" s="105">
        <f t="shared" ca="1" si="127"/>
        <v>0</v>
      </c>
      <c r="M367" s="105">
        <f t="shared" ca="1" si="128"/>
        <v>0</v>
      </c>
      <c r="N367" s="105">
        <f t="shared" ca="1" si="129"/>
        <v>0</v>
      </c>
      <c r="O367" s="105">
        <f t="shared" ca="1" si="130"/>
        <v>0</v>
      </c>
      <c r="P367" s="105">
        <f t="shared" ca="1" si="131"/>
        <v>0</v>
      </c>
      <c r="Q367" s="105">
        <f t="shared" ca="1" si="132"/>
        <v>0</v>
      </c>
      <c r="R367" s="105">
        <f t="shared" ca="1" si="133"/>
        <v>0</v>
      </c>
      <c r="S367" s="105">
        <f t="shared" ca="1" si="134"/>
        <v>0</v>
      </c>
      <c r="T367" s="105">
        <f t="shared" ca="1" si="135"/>
        <v>0</v>
      </c>
      <c r="U367" s="105">
        <f t="shared" ca="1" si="136"/>
        <v>0</v>
      </c>
      <c r="V367" s="105">
        <f t="shared" ca="1" si="137"/>
        <v>0</v>
      </c>
      <c r="W367" s="105">
        <f t="shared" ca="1" si="138"/>
        <v>0</v>
      </c>
      <c r="X367" s="105">
        <f t="shared" ca="1" si="139"/>
        <v>0</v>
      </c>
      <c r="Y367" s="105">
        <f t="shared" ca="1" si="140"/>
        <v>0</v>
      </c>
      <c r="Z367" s="105">
        <f t="shared" ca="1" si="141"/>
        <v>0</v>
      </c>
      <c r="AA367" s="105">
        <f t="shared" ca="1" si="142"/>
        <v>0</v>
      </c>
      <c r="AB367" s="105">
        <f t="shared" ca="1" si="143"/>
        <v>0</v>
      </c>
      <c r="AC367" s="105"/>
      <c r="AD367" s="103"/>
      <c r="AE367" s="103"/>
      <c r="AF367" s="103"/>
      <c r="AG367" s="103"/>
      <c r="AH367" s="103"/>
      <c r="AI367" s="103"/>
      <c r="AJ367" s="103"/>
      <c r="AK367" s="103"/>
      <c r="AL367" s="103"/>
      <c r="AM367" s="103"/>
      <c r="AN367" s="103"/>
      <c r="AO367" s="103"/>
      <c r="AP367" s="103"/>
      <c r="AQ367" s="103"/>
      <c r="AR367" s="103"/>
      <c r="AS367" s="103"/>
      <c r="AT367" s="103"/>
      <c r="AU367" s="103"/>
      <c r="AV367" s="103"/>
    </row>
    <row r="368" spans="5:48">
      <c r="E368" s="105">
        <f t="shared" ca="1" si="120"/>
        <v>0</v>
      </c>
      <c r="F368" s="105">
        <f t="shared" ca="1" si="121"/>
        <v>0</v>
      </c>
      <c r="G368" s="105">
        <f t="shared" ca="1" si="122"/>
        <v>0</v>
      </c>
      <c r="H368" s="105">
        <f t="shared" ca="1" si="123"/>
        <v>0</v>
      </c>
      <c r="I368" s="105">
        <f t="shared" ca="1" si="124"/>
        <v>0</v>
      </c>
      <c r="J368" s="105">
        <f t="shared" ca="1" si="125"/>
        <v>0</v>
      </c>
      <c r="K368" s="105">
        <f t="shared" ca="1" si="126"/>
        <v>0</v>
      </c>
      <c r="L368" s="105">
        <f t="shared" ca="1" si="127"/>
        <v>0</v>
      </c>
      <c r="M368" s="105">
        <f t="shared" ca="1" si="128"/>
        <v>0</v>
      </c>
      <c r="N368" s="105">
        <f t="shared" ca="1" si="129"/>
        <v>0</v>
      </c>
      <c r="O368" s="105">
        <f t="shared" ca="1" si="130"/>
        <v>0</v>
      </c>
      <c r="P368" s="105">
        <f t="shared" ca="1" si="131"/>
        <v>0</v>
      </c>
      <c r="Q368" s="105">
        <f t="shared" ca="1" si="132"/>
        <v>0</v>
      </c>
      <c r="R368" s="105">
        <f t="shared" ca="1" si="133"/>
        <v>0</v>
      </c>
      <c r="S368" s="105">
        <f t="shared" ca="1" si="134"/>
        <v>0</v>
      </c>
      <c r="T368" s="105">
        <f t="shared" ca="1" si="135"/>
        <v>0</v>
      </c>
      <c r="U368" s="105">
        <f t="shared" ca="1" si="136"/>
        <v>0</v>
      </c>
      <c r="V368" s="105">
        <f t="shared" ca="1" si="137"/>
        <v>0</v>
      </c>
      <c r="W368" s="105">
        <f t="shared" ca="1" si="138"/>
        <v>0</v>
      </c>
      <c r="X368" s="105">
        <f t="shared" ca="1" si="139"/>
        <v>0</v>
      </c>
      <c r="Y368" s="105">
        <f t="shared" ca="1" si="140"/>
        <v>0</v>
      </c>
      <c r="Z368" s="105">
        <f t="shared" ca="1" si="141"/>
        <v>0</v>
      </c>
      <c r="AA368" s="105">
        <f t="shared" ca="1" si="142"/>
        <v>0</v>
      </c>
      <c r="AB368" s="105">
        <f t="shared" ca="1" si="143"/>
        <v>0</v>
      </c>
      <c r="AC368" s="105"/>
      <c r="AD368" s="103"/>
      <c r="AE368" s="103"/>
      <c r="AF368" s="103"/>
      <c r="AG368" s="103"/>
      <c r="AH368" s="103"/>
      <c r="AI368" s="103"/>
      <c r="AJ368" s="103"/>
      <c r="AK368" s="103"/>
      <c r="AL368" s="103"/>
      <c r="AM368" s="103"/>
      <c r="AN368" s="103"/>
      <c r="AO368" s="103"/>
      <c r="AP368" s="103"/>
      <c r="AQ368" s="103"/>
      <c r="AR368" s="103"/>
      <c r="AS368" s="103"/>
      <c r="AT368" s="103"/>
      <c r="AU368" s="103"/>
      <c r="AV368" s="103"/>
    </row>
    <row r="369" spans="5:48">
      <c r="E369" s="105">
        <f t="shared" ca="1" si="120"/>
        <v>0</v>
      </c>
      <c r="F369" s="105">
        <f t="shared" ca="1" si="121"/>
        <v>0</v>
      </c>
      <c r="G369" s="105">
        <f t="shared" ca="1" si="122"/>
        <v>0</v>
      </c>
      <c r="H369" s="105">
        <f t="shared" ca="1" si="123"/>
        <v>0</v>
      </c>
      <c r="I369" s="105">
        <f t="shared" ca="1" si="124"/>
        <v>0</v>
      </c>
      <c r="J369" s="105">
        <f t="shared" ca="1" si="125"/>
        <v>0</v>
      </c>
      <c r="K369" s="105">
        <f t="shared" ca="1" si="126"/>
        <v>0</v>
      </c>
      <c r="L369" s="105">
        <f t="shared" ca="1" si="127"/>
        <v>0</v>
      </c>
      <c r="M369" s="105">
        <f t="shared" ca="1" si="128"/>
        <v>0</v>
      </c>
      <c r="N369" s="105">
        <f t="shared" ca="1" si="129"/>
        <v>0</v>
      </c>
      <c r="O369" s="105">
        <f t="shared" ca="1" si="130"/>
        <v>0</v>
      </c>
      <c r="P369" s="105">
        <f t="shared" ca="1" si="131"/>
        <v>0</v>
      </c>
      <c r="Q369" s="105">
        <f t="shared" ca="1" si="132"/>
        <v>0</v>
      </c>
      <c r="R369" s="105">
        <f t="shared" ca="1" si="133"/>
        <v>0</v>
      </c>
      <c r="S369" s="105">
        <f t="shared" ca="1" si="134"/>
        <v>0</v>
      </c>
      <c r="T369" s="105">
        <f t="shared" ca="1" si="135"/>
        <v>0</v>
      </c>
      <c r="U369" s="105">
        <f t="shared" ca="1" si="136"/>
        <v>0</v>
      </c>
      <c r="V369" s="105">
        <f t="shared" ca="1" si="137"/>
        <v>0</v>
      </c>
      <c r="W369" s="105">
        <f t="shared" ca="1" si="138"/>
        <v>0</v>
      </c>
      <c r="X369" s="105">
        <f t="shared" ca="1" si="139"/>
        <v>0</v>
      </c>
      <c r="Y369" s="105">
        <f t="shared" ca="1" si="140"/>
        <v>0</v>
      </c>
      <c r="Z369" s="105">
        <f t="shared" ca="1" si="141"/>
        <v>0</v>
      </c>
      <c r="AA369" s="105">
        <f t="shared" ca="1" si="142"/>
        <v>0</v>
      </c>
      <c r="AB369" s="105">
        <f t="shared" ca="1" si="143"/>
        <v>0</v>
      </c>
      <c r="AC369" s="105"/>
      <c r="AD369" s="103"/>
      <c r="AE369" s="103"/>
      <c r="AF369" s="103"/>
      <c r="AG369" s="103"/>
      <c r="AH369" s="103"/>
      <c r="AI369" s="103"/>
      <c r="AJ369" s="103"/>
      <c r="AK369" s="103"/>
      <c r="AL369" s="103"/>
      <c r="AM369" s="103"/>
      <c r="AN369" s="103"/>
      <c r="AO369" s="103"/>
      <c r="AP369" s="103"/>
      <c r="AQ369" s="103"/>
      <c r="AR369" s="103"/>
      <c r="AS369" s="103"/>
      <c r="AT369" s="103"/>
      <c r="AU369" s="103"/>
      <c r="AV369" s="103"/>
    </row>
    <row r="370" spans="5:48">
      <c r="E370" s="105">
        <f t="shared" ca="1" si="120"/>
        <v>0</v>
      </c>
      <c r="F370" s="105">
        <f t="shared" ca="1" si="121"/>
        <v>0</v>
      </c>
      <c r="G370" s="105">
        <f t="shared" ca="1" si="122"/>
        <v>0</v>
      </c>
      <c r="H370" s="105">
        <f t="shared" ca="1" si="123"/>
        <v>0</v>
      </c>
      <c r="I370" s="105">
        <f t="shared" ca="1" si="124"/>
        <v>0</v>
      </c>
      <c r="J370" s="105">
        <f t="shared" ca="1" si="125"/>
        <v>0</v>
      </c>
      <c r="K370" s="105">
        <f t="shared" ca="1" si="126"/>
        <v>0</v>
      </c>
      <c r="L370" s="105">
        <f t="shared" ca="1" si="127"/>
        <v>0</v>
      </c>
      <c r="M370" s="105">
        <f t="shared" ca="1" si="128"/>
        <v>0</v>
      </c>
      <c r="N370" s="105">
        <f t="shared" ca="1" si="129"/>
        <v>0</v>
      </c>
      <c r="O370" s="105">
        <f t="shared" ca="1" si="130"/>
        <v>0</v>
      </c>
      <c r="P370" s="105">
        <f t="shared" ca="1" si="131"/>
        <v>0</v>
      </c>
      <c r="Q370" s="105">
        <f t="shared" ca="1" si="132"/>
        <v>0</v>
      </c>
      <c r="R370" s="105">
        <f t="shared" ca="1" si="133"/>
        <v>0</v>
      </c>
      <c r="S370" s="105">
        <f t="shared" ca="1" si="134"/>
        <v>0</v>
      </c>
      <c r="T370" s="105">
        <f t="shared" ca="1" si="135"/>
        <v>0</v>
      </c>
      <c r="U370" s="105">
        <f t="shared" ca="1" si="136"/>
        <v>0</v>
      </c>
      <c r="V370" s="105">
        <f t="shared" ca="1" si="137"/>
        <v>0</v>
      </c>
      <c r="W370" s="105">
        <f t="shared" ca="1" si="138"/>
        <v>0</v>
      </c>
      <c r="X370" s="105">
        <f t="shared" ca="1" si="139"/>
        <v>0</v>
      </c>
      <c r="Y370" s="105">
        <f t="shared" ca="1" si="140"/>
        <v>0</v>
      </c>
      <c r="Z370" s="105">
        <f t="shared" ca="1" si="141"/>
        <v>0</v>
      </c>
      <c r="AA370" s="105">
        <f t="shared" ca="1" si="142"/>
        <v>0</v>
      </c>
      <c r="AB370" s="105">
        <f t="shared" ca="1" si="143"/>
        <v>0</v>
      </c>
      <c r="AC370" s="105"/>
      <c r="AD370" s="103"/>
      <c r="AE370" s="103"/>
      <c r="AF370" s="103"/>
      <c r="AG370" s="103"/>
      <c r="AH370" s="103"/>
      <c r="AI370" s="103"/>
      <c r="AJ370" s="103"/>
      <c r="AK370" s="103"/>
      <c r="AL370" s="103"/>
      <c r="AM370" s="103"/>
      <c r="AN370" s="103"/>
      <c r="AO370" s="103"/>
      <c r="AP370" s="103"/>
      <c r="AQ370" s="103"/>
      <c r="AR370" s="103"/>
      <c r="AS370" s="103"/>
      <c r="AT370" s="103"/>
      <c r="AU370" s="103"/>
      <c r="AV370" s="103"/>
    </row>
    <row r="371" spans="5:48">
      <c r="E371" s="105"/>
      <c r="F371" s="105"/>
      <c r="G371" s="105"/>
      <c r="H371" s="105"/>
      <c r="I371" s="105"/>
      <c r="J371" s="105"/>
      <c r="K371" s="105"/>
      <c r="L371" s="105"/>
      <c r="M371" s="105"/>
      <c r="N371" s="105"/>
      <c r="O371" s="105"/>
      <c r="P371" s="105"/>
      <c r="Q371" s="105"/>
      <c r="R371" s="105"/>
      <c r="S371" s="105"/>
      <c r="T371" s="105"/>
      <c r="U371" s="105"/>
      <c r="V371" s="105"/>
      <c r="W371" s="105"/>
      <c r="X371" s="105"/>
      <c r="Y371" s="105"/>
      <c r="Z371" s="105"/>
      <c r="AA371" s="105"/>
      <c r="AB371" s="105"/>
      <c r="AC371" s="105"/>
      <c r="AD371" s="103"/>
      <c r="AE371" s="103"/>
      <c r="AF371" s="103"/>
      <c r="AG371" s="103"/>
      <c r="AH371" s="103"/>
      <c r="AI371" s="103"/>
      <c r="AJ371" s="103"/>
      <c r="AK371" s="103"/>
      <c r="AL371" s="103"/>
      <c r="AM371" s="103"/>
      <c r="AN371" s="103"/>
      <c r="AO371" s="103"/>
      <c r="AP371" s="103"/>
      <c r="AQ371" s="103"/>
      <c r="AR371" s="103"/>
      <c r="AS371" s="103"/>
      <c r="AT371" s="103"/>
      <c r="AU371" s="103"/>
      <c r="AV371" s="103"/>
    </row>
    <row r="372" spans="5:48">
      <c r="E372" s="105">
        <f ca="1">SUM(E151:E267)</f>
        <v>0</v>
      </c>
      <c r="F372" s="105">
        <f t="shared" ref="F372:AB372" ca="1" si="144">SUM(F151:F274)</f>
        <v>0</v>
      </c>
      <c r="G372" s="105">
        <f t="shared" ca="1" si="144"/>
        <v>8</v>
      </c>
      <c r="H372" s="105">
        <f t="shared" ca="1" si="144"/>
        <v>19</v>
      </c>
      <c r="I372" s="105">
        <f t="shared" ca="1" si="144"/>
        <v>19</v>
      </c>
      <c r="J372" s="105">
        <f t="shared" ca="1" si="144"/>
        <v>19</v>
      </c>
      <c r="K372" s="105">
        <f t="shared" ca="1" si="144"/>
        <v>19</v>
      </c>
      <c r="L372" s="105">
        <f t="shared" ca="1" si="144"/>
        <v>20</v>
      </c>
      <c r="M372" s="105">
        <f t="shared" ca="1" si="144"/>
        <v>21</v>
      </c>
      <c r="N372" s="105">
        <f t="shared" ca="1" si="144"/>
        <v>21</v>
      </c>
      <c r="O372" s="105">
        <f t="shared" ca="1" si="144"/>
        <v>31</v>
      </c>
      <c r="P372" s="105">
        <f t="shared" ca="1" si="144"/>
        <v>31</v>
      </c>
      <c r="Q372" s="105">
        <f t="shared" ca="1" si="144"/>
        <v>24</v>
      </c>
      <c r="R372" s="105">
        <f t="shared" ca="1" si="144"/>
        <v>28</v>
      </c>
      <c r="S372" s="105">
        <f t="shared" ca="1" si="144"/>
        <v>28</v>
      </c>
      <c r="T372" s="105">
        <f t="shared" ca="1" si="144"/>
        <v>15</v>
      </c>
      <c r="U372" s="105">
        <f t="shared" ca="1" si="144"/>
        <v>15</v>
      </c>
      <c r="V372" s="105">
        <f t="shared" ca="1" si="144"/>
        <v>17</v>
      </c>
      <c r="W372" s="105">
        <f t="shared" ca="1" si="144"/>
        <v>17</v>
      </c>
      <c r="X372" s="105">
        <f t="shared" ca="1" si="144"/>
        <v>17</v>
      </c>
      <c r="Y372" s="105">
        <f t="shared" ca="1" si="144"/>
        <v>17</v>
      </c>
      <c r="Z372" s="105">
        <f t="shared" ca="1" si="144"/>
        <v>17</v>
      </c>
      <c r="AA372" s="105">
        <f t="shared" ca="1" si="144"/>
        <v>7</v>
      </c>
      <c r="AB372" s="105">
        <f t="shared" ca="1" si="144"/>
        <v>7</v>
      </c>
      <c r="AC372" s="105"/>
      <c r="AD372" s="103"/>
      <c r="AE372" s="103"/>
      <c r="AF372" s="103"/>
      <c r="AG372" s="103"/>
      <c r="AH372" s="103"/>
      <c r="AI372" s="103"/>
      <c r="AJ372" s="103"/>
      <c r="AK372" s="103"/>
      <c r="AL372" s="103"/>
      <c r="AM372" s="103"/>
      <c r="AN372" s="103"/>
      <c r="AO372" s="103"/>
      <c r="AP372" s="103"/>
      <c r="AQ372" s="103"/>
      <c r="AR372" s="103"/>
      <c r="AS372" s="103"/>
      <c r="AT372" s="103"/>
      <c r="AU372" s="103"/>
      <c r="AV372" s="103"/>
    </row>
    <row r="373" spans="5:48">
      <c r="E373" s="105"/>
      <c r="F373" s="105"/>
      <c r="G373" s="105"/>
      <c r="H373" s="105"/>
      <c r="I373" s="105"/>
      <c r="J373" s="105"/>
      <c r="K373" s="105"/>
      <c r="L373" s="105"/>
      <c r="M373" s="105"/>
      <c r="N373" s="105"/>
      <c r="O373" s="105"/>
      <c r="P373" s="105"/>
      <c r="Q373" s="105"/>
      <c r="R373" s="105"/>
      <c r="S373" s="105"/>
      <c r="T373" s="105"/>
      <c r="U373" s="105"/>
      <c r="V373" s="105"/>
      <c r="W373" s="105"/>
      <c r="X373" s="105"/>
      <c r="Y373" s="105"/>
      <c r="Z373" s="105"/>
      <c r="AA373" s="105"/>
      <c r="AB373" s="105"/>
      <c r="AC373" s="105"/>
    </row>
    <row r="374" spans="5:48">
      <c r="E374" s="105"/>
      <c r="F374" s="105"/>
      <c r="G374" s="105"/>
      <c r="H374" s="105"/>
      <c r="I374" s="105"/>
      <c r="J374" s="105"/>
      <c r="K374" s="105"/>
      <c r="L374" s="105"/>
      <c r="M374" s="105"/>
      <c r="N374" s="105"/>
      <c r="O374" s="105"/>
      <c r="P374" s="105"/>
      <c r="Q374" s="105"/>
      <c r="R374" s="105"/>
      <c r="S374" s="105"/>
      <c r="T374" s="105"/>
      <c r="U374" s="105"/>
      <c r="V374" s="105"/>
      <c r="W374" s="105"/>
      <c r="X374" s="105"/>
      <c r="Y374" s="105"/>
      <c r="Z374" s="105"/>
      <c r="AA374" s="105"/>
      <c r="AB374" s="105"/>
      <c r="AC374" s="105"/>
    </row>
  </sheetData>
  <sheetProtection selectLockedCells="1" selectUnlockedCells="1"/>
  <autoFilter ref="B5:D138" xr:uid="{00000000-0001-0000-0100-000000000000}">
    <sortState xmlns:xlrd2="http://schemas.microsoft.com/office/spreadsheetml/2017/richdata2" ref="B6:D138">
      <sortCondition ref="B5:B138"/>
    </sortState>
  </autoFilter>
  <sortState xmlns:xlrd2="http://schemas.microsoft.com/office/spreadsheetml/2017/richdata2" ref="B5:D76">
    <sortCondition ref="B5:B76"/>
    <sortCondition ref="C5:C76"/>
  </sortState>
  <mergeCells count="2">
    <mergeCell ref="D2:G3"/>
    <mergeCell ref="F28:I34"/>
  </mergeCells>
  <dataValidations count="1">
    <dataValidation type="whole" showErrorMessage="1" errorTitle="Błąd" error="Wprowadzona numer dnia jest nieprawidłowy!" sqref="B3" xr:uid="{00000000-0002-0000-0100-000000000000}">
      <formula1>1</formula1>
      <formula2>31</formula2>
    </dataValidation>
  </dataValidations>
  <pageMargins left="0.7" right="0.7" top="0.75" bottom="0.75" header="0.51180555555555551" footer="0.51180555555555551"/>
  <pageSetup paperSize="9" firstPageNumber="0" orientation="portrait" r:id="rId1"/>
  <headerFooter alignWithMargins="0"/>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3</vt:i4>
      </vt:variant>
    </vt:vector>
  </HeadingPairs>
  <TitlesOfParts>
    <vt:vector size="5" baseType="lpstr">
      <vt:lpstr>MAOP</vt:lpstr>
      <vt:lpstr>Statystyki dnia</vt:lpstr>
      <vt:lpstr>'Statystyki dnia'!Excel_BuiltIn__FilterDatabase</vt:lpstr>
      <vt:lpstr>MAOP!Print_Area</vt:lpstr>
      <vt:lpstr>'Statystyki dnia'!Print_Area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Piotr</dc:creator>
  <cp:lastModifiedBy>Mateusz Judziński</cp:lastModifiedBy>
  <cp:lastPrinted>2023-10-27T10:37:16Z</cp:lastPrinted>
  <dcterms:created xsi:type="dcterms:W3CDTF">2015-11-09T14:09:34Z</dcterms:created>
  <dcterms:modified xsi:type="dcterms:W3CDTF">2025-01-13T11:06:39Z</dcterms:modified>
</cp:coreProperties>
</file>